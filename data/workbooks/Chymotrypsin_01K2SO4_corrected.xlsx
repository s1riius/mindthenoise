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sirius/MolPhys/Activities/review/corrections/"/>
    </mc:Choice>
  </mc:AlternateContent>
  <xr:revisionPtr revIDLastSave="0" documentId="13_ncr:1_{097D6D7D-2B4B-4C45-B575-58613325C1F2}" xr6:coauthVersionLast="47" xr6:coauthVersionMax="47" xr10:uidLastSave="{00000000-0000-0000-0000-000000000000}"/>
  <bookViews>
    <workbookView xWindow="0" yWindow="660" windowWidth="33360" windowHeight="18060" tabRatio="500" xr2:uid="{00000000-000D-0000-FFFF-FFFF00000000}"/>
  </bookViews>
  <sheets>
    <sheet name="K2SO4" sheetId="1" r:id="rId1"/>
    <sheet name="Corrections log" sheetId="2" r:id="rId2"/>
  </sheets>
  <definedNames>
    <definedName name="solver_adj" localSheetId="0" hidden="1">K2SO4!$S$23:$S$26</definedName>
    <definedName name="solver_cvg" localSheetId="0" hidden="1">0.0001</definedName>
    <definedName name="solver_drv" localSheetId="0" hidden="1">2</definedName>
    <definedName name="solver_eng" localSheetId="0" hidden="1">1</definedName>
    <definedName name="solver_itr" localSheetId="0" hidden="1">2147483647</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2</definedName>
    <definedName name="solver_nod" localSheetId="0" hidden="1">2147483647</definedName>
    <definedName name="solver_num" localSheetId="0" hidden="1">0</definedName>
    <definedName name="solver_opt" localSheetId="0" hidden="1">K2SO4!$S$27</definedName>
    <definedName name="solver_pre" localSheetId="0" hidden="1">0.000001</definedName>
    <definedName name="solver_rbv" localSheetId="0" hidden="1">1</definedName>
    <definedName name="solver_rlx" localSheetId="0" hidden="1">2</definedName>
    <definedName name="solver_rsd" localSheetId="0" hidden="1">0</definedName>
    <definedName name="solver_scl" localSheetId="0" hidden="1">1</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2</definedName>
    <definedName name="solver_val" localSheetId="0" hidden="1">0</definedName>
    <definedName name="solver_ver" localSheetId="0" hidden="1">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N51" i="1" l="1"/>
  <c r="H51" i="1"/>
  <c r="N50" i="1"/>
  <c r="N49" i="1"/>
  <c r="N48" i="1"/>
  <c r="E48" i="1"/>
  <c r="F48" i="1" s="1"/>
  <c r="N47" i="1"/>
  <c r="N46" i="1"/>
  <c r="H46" i="1"/>
  <c r="F46" i="1"/>
  <c r="E46" i="1"/>
  <c r="E47" i="1" s="1"/>
  <c r="F47" i="1" s="1"/>
  <c r="N45" i="1"/>
  <c r="N44" i="1"/>
  <c r="N43" i="1"/>
  <c r="H43" i="1"/>
  <c r="N42" i="1"/>
  <c r="E42" i="1"/>
  <c r="N41" i="1"/>
  <c r="E41" i="1"/>
  <c r="F41" i="1" s="1"/>
  <c r="N40" i="1"/>
  <c r="E40" i="1"/>
  <c r="F40" i="1" s="1"/>
  <c r="N39" i="1"/>
  <c r="I39" i="1"/>
  <c r="H39" i="1"/>
  <c r="N38" i="1"/>
  <c r="H38" i="1"/>
  <c r="N37" i="1"/>
  <c r="H37" i="1"/>
  <c r="U36" i="1"/>
  <c r="N36" i="1"/>
  <c r="H36" i="1"/>
  <c r="N35" i="1"/>
  <c r="N34" i="1"/>
  <c r="H34" i="1"/>
  <c r="E34" i="1"/>
  <c r="N33" i="1"/>
  <c r="H33" i="1"/>
  <c r="N32" i="1"/>
  <c r="H32" i="1"/>
  <c r="N31" i="1"/>
  <c r="N29" i="1"/>
  <c r="F29" i="1"/>
  <c r="E29" i="1"/>
  <c r="E30" i="1" s="1"/>
  <c r="N28" i="1"/>
  <c r="E28" i="1"/>
  <c r="F28" i="1" s="1"/>
  <c r="N27" i="1"/>
  <c r="H27" i="1"/>
  <c r="N26" i="1"/>
  <c r="H26" i="1"/>
  <c r="N24" i="1"/>
  <c r="H24" i="1"/>
  <c r="E24" i="1"/>
  <c r="N23" i="1"/>
  <c r="N22" i="1"/>
  <c r="E22" i="1"/>
  <c r="E23" i="1" s="1"/>
  <c r="F23" i="1" s="1"/>
  <c r="N21" i="1"/>
  <c r="N20" i="1"/>
  <c r="I20" i="1"/>
  <c r="H20" i="1"/>
  <c r="N19" i="1"/>
  <c r="AC18" i="1"/>
  <c r="AD18" i="1" s="1"/>
  <c r="AE18" i="1" s="1"/>
  <c r="AF18" i="1" s="1"/>
  <c r="N18" i="1"/>
  <c r="H18" i="1"/>
  <c r="AC17" i="1"/>
  <c r="AD17" i="1" s="1"/>
  <c r="AE17" i="1" s="1"/>
  <c r="AF17" i="1" s="1"/>
  <c r="N17" i="1"/>
  <c r="H17" i="1"/>
  <c r="F17" i="1"/>
  <c r="N16" i="1"/>
  <c r="E16" i="1"/>
  <c r="E17" i="1" s="1"/>
  <c r="E18" i="1" s="1"/>
  <c r="AC15" i="1"/>
  <c r="AD15" i="1" s="1"/>
  <c r="AE15" i="1" s="1"/>
  <c r="AF15" i="1" s="1"/>
  <c r="N15" i="1"/>
  <c r="H15" i="1"/>
  <c r="N14" i="1"/>
  <c r="N13" i="1"/>
  <c r="N12" i="1"/>
  <c r="H12" i="1"/>
  <c r="E12" i="1"/>
  <c r="E13" i="1" s="1"/>
  <c r="AF11" i="1"/>
  <c r="AE11" i="1"/>
  <c r="AC11" i="1"/>
  <c r="H49" i="1" s="1"/>
  <c r="N11" i="1"/>
  <c r="AF10" i="1"/>
  <c r="AE10" i="1"/>
  <c r="AC10" i="1"/>
  <c r="N10" i="1"/>
  <c r="E10" i="1"/>
  <c r="E11" i="1" s="1"/>
  <c r="F11" i="1" s="1"/>
  <c r="AF9" i="1"/>
  <c r="AE9" i="1"/>
  <c r="AC9" i="1"/>
  <c r="N9" i="1"/>
  <c r="H9" i="1"/>
  <c r="AF8" i="1"/>
  <c r="AE8" i="1"/>
  <c r="AC8" i="1"/>
  <c r="H30" i="1" s="1"/>
  <c r="I30" i="1" s="1"/>
  <c r="N8" i="1"/>
  <c r="H8" i="1"/>
  <c r="I8" i="1" s="1"/>
  <c r="AF7" i="1"/>
  <c r="AE7" i="1"/>
  <c r="AC7" i="1"/>
  <c r="N7" i="1"/>
  <c r="AF6" i="1"/>
  <c r="AE6" i="1"/>
  <c r="AC6" i="1"/>
  <c r="H19" i="1" s="1"/>
  <c r="I19" i="1" s="1"/>
  <c r="N6" i="1"/>
  <c r="H6" i="1"/>
  <c r="AF5" i="1"/>
  <c r="AE5" i="1"/>
  <c r="AC5" i="1"/>
  <c r="N5" i="1"/>
  <c r="H5" i="1"/>
  <c r="AF4" i="1"/>
  <c r="AE4" i="1"/>
  <c r="AC4" i="1"/>
  <c r="H7" i="1" s="1"/>
  <c r="N4" i="1"/>
  <c r="H4" i="1"/>
  <c r="E4" i="1"/>
  <c r="E5" i="1" s="1"/>
  <c r="AF3" i="1"/>
  <c r="AE3" i="1"/>
  <c r="AC3" i="1"/>
  <c r="AC14" i="1" s="1"/>
  <c r="AD14" i="1" s="1"/>
  <c r="AE14" i="1" s="1"/>
  <c r="AF14" i="1" s="1"/>
  <c r="B2" i="1"/>
  <c r="F12" i="1" l="1"/>
  <c r="L12" i="1" s="1"/>
  <c r="E14" i="1"/>
  <c r="F13" i="1"/>
  <c r="I32" i="1"/>
  <c r="I5" i="1"/>
  <c r="E6" i="1"/>
  <c r="F5" i="1"/>
  <c r="L5" i="1" s="1"/>
  <c r="F42" i="1"/>
  <c r="E43" i="1"/>
  <c r="E19" i="1"/>
  <c r="F18" i="1"/>
  <c r="J18" i="1" s="1"/>
  <c r="L18" i="1"/>
  <c r="E35" i="1"/>
  <c r="F34" i="1"/>
  <c r="I43" i="1"/>
  <c r="I7" i="1"/>
  <c r="H42" i="1"/>
  <c r="H41" i="1"/>
  <c r="H40" i="1"/>
  <c r="AC21" i="1"/>
  <c r="AD21" i="1" s="1"/>
  <c r="AE21" i="1" s="1"/>
  <c r="AF21" i="1" s="1"/>
  <c r="H44" i="1"/>
  <c r="I12" i="1"/>
  <c r="O17" i="1"/>
  <c r="P17" i="1" s="1"/>
  <c r="Q17" i="1" s="1"/>
  <c r="J17" i="1"/>
  <c r="R17" i="1" s="1"/>
  <c r="L17" i="1"/>
  <c r="I15" i="1"/>
  <c r="I17" i="1"/>
  <c r="F30" i="1"/>
  <c r="L30" i="1" s="1"/>
  <c r="E31" i="1"/>
  <c r="I33" i="1"/>
  <c r="H45" i="1"/>
  <c r="F10" i="1"/>
  <c r="H10" i="1"/>
  <c r="AC16" i="1"/>
  <c r="AD16" i="1" s="1"/>
  <c r="AE16" i="1" s="1"/>
  <c r="AF16" i="1" s="1"/>
  <c r="H14" i="1"/>
  <c r="H11" i="1"/>
  <c r="H13" i="1"/>
  <c r="E25" i="1"/>
  <c r="F24" i="1"/>
  <c r="J24" i="1" s="1"/>
  <c r="J34" i="1"/>
  <c r="R34" i="1" s="1"/>
  <c r="L46" i="1"/>
  <c r="J46" i="1"/>
  <c r="R46" i="1" s="1"/>
  <c r="I46" i="1"/>
  <c r="I24" i="1"/>
  <c r="I26" i="1"/>
  <c r="I34" i="1"/>
  <c r="I51" i="1"/>
  <c r="I18" i="1"/>
  <c r="H21" i="1"/>
  <c r="I27" i="1"/>
  <c r="I36" i="1"/>
  <c r="I37" i="1"/>
  <c r="I38" i="1"/>
  <c r="I6" i="1"/>
  <c r="F4" i="1"/>
  <c r="F16" i="1"/>
  <c r="H28" i="1"/>
  <c r="H50" i="1"/>
  <c r="L34" i="1"/>
  <c r="H16" i="1"/>
  <c r="AC19" i="1"/>
  <c r="AD19" i="1" s="1"/>
  <c r="AE19" i="1" s="1"/>
  <c r="AF19" i="1" s="1"/>
  <c r="J4" i="1"/>
  <c r="R4" i="1" s="1"/>
  <c r="I4" i="1"/>
  <c r="I9" i="1"/>
  <c r="I49" i="1"/>
  <c r="F22" i="1"/>
  <c r="H29" i="1"/>
  <c r="E49" i="1"/>
  <c r="L4" i="1"/>
  <c r="H23" i="1"/>
  <c r="H25" i="1"/>
  <c r="H22" i="1"/>
  <c r="AC22" i="1"/>
  <c r="AD22" i="1" s="1"/>
  <c r="AE22" i="1" s="1"/>
  <c r="AF22" i="1" s="1"/>
  <c r="H31" i="1"/>
  <c r="H48" i="1"/>
  <c r="H35" i="1"/>
  <c r="AC20" i="1"/>
  <c r="AD20" i="1" s="1"/>
  <c r="AE20" i="1" s="1"/>
  <c r="AF20" i="1" s="1"/>
  <c r="H47" i="1"/>
  <c r="V17" i="1" l="1"/>
  <c r="X17" i="1" s="1"/>
  <c r="T17" i="1"/>
  <c r="U17" i="1" s="1"/>
  <c r="R24" i="1"/>
  <c r="W24" i="1"/>
  <c r="Y24" i="1" s="1"/>
  <c r="R18" i="1"/>
  <c r="W18" i="1"/>
  <c r="Y18" i="1" s="1"/>
  <c r="O18" i="1"/>
  <c r="P18" i="1" s="1"/>
  <c r="Q18" i="1" s="1"/>
  <c r="W10" i="1"/>
  <c r="Y10" i="1" s="1"/>
  <c r="J40" i="1"/>
  <c r="I40" i="1"/>
  <c r="L40" i="1"/>
  <c r="L41" i="1"/>
  <c r="I41" i="1"/>
  <c r="J41" i="1"/>
  <c r="F14" i="1"/>
  <c r="J14" i="1" s="1"/>
  <c r="E15" i="1"/>
  <c r="F35" i="1"/>
  <c r="E36" i="1"/>
  <c r="E7" i="1"/>
  <c r="F6" i="1"/>
  <c r="J6" i="1" s="1"/>
  <c r="I45" i="1"/>
  <c r="L28" i="1"/>
  <c r="I28" i="1"/>
  <c r="J28" i="1"/>
  <c r="F31" i="1"/>
  <c r="E32" i="1"/>
  <c r="J30" i="1"/>
  <c r="I14" i="1"/>
  <c r="I47" i="1"/>
  <c r="L47" i="1"/>
  <c r="J47" i="1"/>
  <c r="I22" i="1"/>
  <c r="J22" i="1"/>
  <c r="L22" i="1"/>
  <c r="F19" i="1"/>
  <c r="J19" i="1" s="1"/>
  <c r="E20" i="1"/>
  <c r="W34" i="1"/>
  <c r="Y34" i="1" s="1"/>
  <c r="L23" i="1"/>
  <c r="J23" i="1"/>
  <c r="I23" i="1"/>
  <c r="E26" i="1"/>
  <c r="F25" i="1"/>
  <c r="J25" i="1" s="1"/>
  <c r="L24" i="1"/>
  <c r="O24" i="1" s="1"/>
  <c r="P24" i="1" s="1"/>
  <c r="Q24" i="1" s="1"/>
  <c r="F49" i="1"/>
  <c r="L49" i="1" s="1"/>
  <c r="E50" i="1"/>
  <c r="L16" i="1"/>
  <c r="J16" i="1"/>
  <c r="I16" i="1"/>
  <c r="O46" i="1"/>
  <c r="P46" i="1" s="1"/>
  <c r="Q46" i="1" s="1"/>
  <c r="J49" i="1"/>
  <c r="L13" i="1"/>
  <c r="J13" i="1"/>
  <c r="W13" i="1" s="1"/>
  <c r="Y13" i="1" s="1"/>
  <c r="I13" i="1"/>
  <c r="J12" i="1"/>
  <c r="L6" i="1"/>
  <c r="W49" i="1"/>
  <c r="Y49" i="1" s="1"/>
  <c r="W46" i="1"/>
  <c r="Y46" i="1" s="1"/>
  <c r="W47" i="1"/>
  <c r="Y47" i="1" s="1"/>
  <c r="W48" i="1"/>
  <c r="Y48" i="1" s="1"/>
  <c r="I44" i="1"/>
  <c r="W42" i="1"/>
  <c r="Y42" i="1" s="1"/>
  <c r="W40" i="1"/>
  <c r="Y40" i="1" s="1"/>
  <c r="I10" i="1"/>
  <c r="L10" i="1"/>
  <c r="J10" i="1"/>
  <c r="I42" i="1"/>
  <c r="L42" i="1"/>
  <c r="J42" i="1"/>
  <c r="L19" i="1"/>
  <c r="I25" i="1"/>
  <c r="L25" i="1"/>
  <c r="O4" i="1"/>
  <c r="P4" i="1" s="1"/>
  <c r="Q4" i="1" s="1"/>
  <c r="I21" i="1"/>
  <c r="O34" i="1"/>
  <c r="P34" i="1" s="1"/>
  <c r="Q34" i="1" s="1"/>
  <c r="F43" i="1"/>
  <c r="L43" i="1" s="1"/>
  <c r="E44" i="1"/>
  <c r="J35" i="1"/>
  <c r="W35" i="1" s="1"/>
  <c r="Y35" i="1" s="1"/>
  <c r="L35" i="1"/>
  <c r="I35" i="1"/>
  <c r="W30" i="1"/>
  <c r="Y30" i="1" s="1"/>
  <c r="W28" i="1"/>
  <c r="Y28" i="1" s="1"/>
  <c r="W17" i="1"/>
  <c r="Y17" i="1" s="1"/>
  <c r="J5" i="1"/>
  <c r="W4" i="1"/>
  <c r="Y4" i="1" s="1"/>
  <c r="I48" i="1"/>
  <c r="L48" i="1"/>
  <c r="J48" i="1"/>
  <c r="I50" i="1"/>
  <c r="I31" i="1"/>
  <c r="L31" i="1"/>
  <c r="J31" i="1"/>
  <c r="W31" i="1" s="1"/>
  <c r="Y31" i="1" s="1"/>
  <c r="J29" i="1"/>
  <c r="I29" i="1"/>
  <c r="L29" i="1"/>
  <c r="L11" i="1"/>
  <c r="J11" i="1"/>
  <c r="I11" i="1"/>
  <c r="R25" i="1" l="1"/>
  <c r="O25" i="1"/>
  <c r="P25" i="1" s="1"/>
  <c r="Q25" i="1" s="1"/>
  <c r="W25" i="1"/>
  <c r="Y25" i="1" s="1"/>
  <c r="V24" i="1"/>
  <c r="X24" i="1" s="1"/>
  <c r="T24" i="1"/>
  <c r="U24" i="1" s="1"/>
  <c r="R14" i="1"/>
  <c r="O14" i="1"/>
  <c r="P14" i="1" s="1"/>
  <c r="Q14" i="1" s="1"/>
  <c r="W14" i="1"/>
  <c r="Y14" i="1" s="1"/>
  <c r="R30" i="1"/>
  <c r="O30" i="1"/>
  <c r="P30" i="1" s="1"/>
  <c r="Q30" i="1" s="1"/>
  <c r="R29" i="1"/>
  <c r="O29" i="1"/>
  <c r="P29" i="1" s="1"/>
  <c r="Q29" i="1" s="1"/>
  <c r="T46" i="1"/>
  <c r="U46" i="1" s="1"/>
  <c r="V46" i="1"/>
  <c r="X46" i="1" s="1"/>
  <c r="W29" i="1"/>
  <c r="Y29" i="1" s="1"/>
  <c r="F50" i="1"/>
  <c r="L50" i="1" s="1"/>
  <c r="E51" i="1"/>
  <c r="L14" i="1"/>
  <c r="E37" i="1"/>
  <c r="F36" i="1"/>
  <c r="L36" i="1"/>
  <c r="J36" i="1"/>
  <c r="R48" i="1"/>
  <c r="O48" i="1"/>
  <c r="P48" i="1" s="1"/>
  <c r="Q48" i="1" s="1"/>
  <c r="R12" i="1"/>
  <c r="O12" i="1"/>
  <c r="P12" i="1" s="1"/>
  <c r="Q12" i="1" s="1"/>
  <c r="E21" i="1"/>
  <c r="F20" i="1"/>
  <c r="L20" i="1"/>
  <c r="J20" i="1"/>
  <c r="E33" i="1"/>
  <c r="F32" i="1"/>
  <c r="J32" i="1"/>
  <c r="L32" i="1"/>
  <c r="F15" i="1"/>
  <c r="J15" i="1" s="1"/>
  <c r="L15" i="1"/>
  <c r="R19" i="1"/>
  <c r="O19" i="1"/>
  <c r="P19" i="1" s="1"/>
  <c r="Q19" i="1" s="1"/>
  <c r="W19" i="1"/>
  <c r="Y19" i="1" s="1"/>
  <c r="R35" i="1"/>
  <c r="O35" i="1"/>
  <c r="P35" i="1" s="1"/>
  <c r="Q35" i="1" s="1"/>
  <c r="R42" i="1"/>
  <c r="O42" i="1"/>
  <c r="P42" i="1" s="1"/>
  <c r="Q42" i="1" s="1"/>
  <c r="R13" i="1"/>
  <c r="O13" i="1"/>
  <c r="P13" i="1" s="1"/>
  <c r="Q13" i="1" s="1"/>
  <c r="E27" i="1"/>
  <c r="F26" i="1"/>
  <c r="J26" i="1" s="1"/>
  <c r="R28" i="1"/>
  <c r="O28" i="1"/>
  <c r="P28" i="1" s="1"/>
  <c r="Q28" i="1" s="1"/>
  <c r="R41" i="1"/>
  <c r="O41" i="1"/>
  <c r="P41" i="1" s="1"/>
  <c r="Q41" i="1" s="1"/>
  <c r="T18" i="1"/>
  <c r="U18" i="1" s="1"/>
  <c r="V18" i="1"/>
  <c r="X18" i="1" s="1"/>
  <c r="R31" i="1"/>
  <c r="O31" i="1"/>
  <c r="P31" i="1" s="1"/>
  <c r="Q31" i="1" s="1"/>
  <c r="R11" i="1"/>
  <c r="O11" i="1"/>
  <c r="P11" i="1" s="1"/>
  <c r="Q11" i="1" s="1"/>
  <c r="E45" i="1"/>
  <c r="F44" i="1"/>
  <c r="J44" i="1"/>
  <c r="R22" i="1"/>
  <c r="W22" i="1"/>
  <c r="Y22" i="1" s="1"/>
  <c r="O22" i="1"/>
  <c r="P22" i="1" s="1"/>
  <c r="Q22" i="1" s="1"/>
  <c r="R5" i="1"/>
  <c r="O5" i="1"/>
  <c r="P5" i="1" s="1"/>
  <c r="Q5" i="1" s="1"/>
  <c r="W5" i="1"/>
  <c r="Y5" i="1" s="1"/>
  <c r="L44" i="1"/>
  <c r="R49" i="1"/>
  <c r="O49" i="1"/>
  <c r="P49" i="1" s="1"/>
  <c r="Q49" i="1" s="1"/>
  <c r="R23" i="1"/>
  <c r="W23" i="1"/>
  <c r="Y23" i="1" s="1"/>
  <c r="O23" i="1"/>
  <c r="P23" i="1" s="1"/>
  <c r="Q23" i="1" s="1"/>
  <c r="T34" i="1"/>
  <c r="U34" i="1" s="1"/>
  <c r="V34" i="1"/>
  <c r="X34" i="1" s="1"/>
  <c r="R10" i="1"/>
  <c r="O10" i="1"/>
  <c r="P10" i="1" s="1"/>
  <c r="Q10" i="1" s="1"/>
  <c r="J43" i="1"/>
  <c r="R47" i="1"/>
  <c r="O47" i="1"/>
  <c r="P47" i="1" s="1"/>
  <c r="Q47" i="1" s="1"/>
  <c r="R40" i="1"/>
  <c r="O40" i="1"/>
  <c r="P40" i="1" s="1"/>
  <c r="Q40" i="1" s="1"/>
  <c r="R16" i="1"/>
  <c r="O16" i="1"/>
  <c r="P16" i="1" s="1"/>
  <c r="Q16" i="1" s="1"/>
  <c r="W16" i="1"/>
  <c r="Y16" i="1" s="1"/>
  <c r="R6" i="1"/>
  <c r="W6" i="1"/>
  <c r="Y6" i="1" s="1"/>
  <c r="O6" i="1"/>
  <c r="P6" i="1" s="1"/>
  <c r="Q6" i="1" s="1"/>
  <c r="W12" i="1"/>
  <c r="Y12" i="1" s="1"/>
  <c r="J50" i="1"/>
  <c r="V4" i="1"/>
  <c r="X4" i="1" s="1"/>
  <c r="T4" i="1"/>
  <c r="U4" i="1" s="1"/>
  <c r="W41" i="1"/>
  <c r="Y41" i="1" s="1"/>
  <c r="F7" i="1"/>
  <c r="L7" i="1" s="1"/>
  <c r="E8" i="1"/>
  <c r="W11" i="1"/>
  <c r="Y11" i="1" s="1"/>
  <c r="R15" i="1" l="1"/>
  <c r="O15" i="1"/>
  <c r="P15" i="1" s="1"/>
  <c r="Q15" i="1" s="1"/>
  <c r="W15" i="1"/>
  <c r="Y15" i="1" s="1"/>
  <c r="R26" i="1"/>
  <c r="W26" i="1"/>
  <c r="Y26" i="1" s="1"/>
  <c r="O26" i="1"/>
  <c r="P26" i="1" s="1"/>
  <c r="Q26" i="1" s="1"/>
  <c r="V48" i="1"/>
  <c r="X48" i="1" s="1"/>
  <c r="T48" i="1"/>
  <c r="U48" i="1" s="1"/>
  <c r="V49" i="1"/>
  <c r="X49" i="1" s="1"/>
  <c r="T49" i="1"/>
  <c r="U49" i="1" s="1"/>
  <c r="R43" i="1"/>
  <c r="O43" i="1"/>
  <c r="P43" i="1" s="1"/>
  <c r="Q43" i="1" s="1"/>
  <c r="W43" i="1"/>
  <c r="Y43" i="1" s="1"/>
  <c r="V5" i="1"/>
  <c r="X5" i="1" s="1"/>
  <c r="T5" i="1"/>
  <c r="U5" i="1" s="1"/>
  <c r="T10" i="1"/>
  <c r="U10" i="1" s="1"/>
  <c r="V10" i="1"/>
  <c r="X10" i="1" s="1"/>
  <c r="F33" i="1"/>
  <c r="L33" i="1"/>
  <c r="J33" i="1"/>
  <c r="E38" i="1"/>
  <c r="F37" i="1"/>
  <c r="L37" i="1"/>
  <c r="J37" i="1"/>
  <c r="T22" i="1"/>
  <c r="U22" i="1" s="1"/>
  <c r="V22" i="1"/>
  <c r="X22" i="1" s="1"/>
  <c r="V35" i="1"/>
  <c r="X35" i="1" s="1"/>
  <c r="T35" i="1"/>
  <c r="U35" i="1" s="1"/>
  <c r="V28" i="1"/>
  <c r="X28" i="1" s="1"/>
  <c r="T28" i="1"/>
  <c r="U28" i="1" s="1"/>
  <c r="V23" i="1"/>
  <c r="X23" i="1" s="1"/>
  <c r="T23" i="1"/>
  <c r="U23" i="1" s="1"/>
  <c r="R44" i="1"/>
  <c r="O44" i="1"/>
  <c r="P44" i="1" s="1"/>
  <c r="Q44" i="1" s="1"/>
  <c r="W44" i="1"/>
  <c r="Y44" i="1" s="1"/>
  <c r="V19" i="1"/>
  <c r="X19" i="1" s="1"/>
  <c r="T19" i="1"/>
  <c r="U19" i="1" s="1"/>
  <c r="F21" i="1"/>
  <c r="L21" i="1"/>
  <c r="J21" i="1"/>
  <c r="V40" i="1"/>
  <c r="X40" i="1" s="1"/>
  <c r="T40" i="1"/>
  <c r="U40" i="1" s="1"/>
  <c r="V29" i="1"/>
  <c r="X29" i="1" s="1"/>
  <c r="T29" i="1"/>
  <c r="U29" i="1" s="1"/>
  <c r="V47" i="1"/>
  <c r="X47" i="1" s="1"/>
  <c r="T47" i="1"/>
  <c r="U47" i="1" s="1"/>
  <c r="V13" i="1"/>
  <c r="X13" i="1" s="1"/>
  <c r="T13" i="1"/>
  <c r="U13" i="1" s="1"/>
  <c r="T30" i="1"/>
  <c r="U30" i="1" s="1"/>
  <c r="V30" i="1"/>
  <c r="X30" i="1" s="1"/>
  <c r="R50" i="1"/>
  <c r="O50" i="1"/>
  <c r="P50" i="1" s="1"/>
  <c r="Q50" i="1" s="1"/>
  <c r="W50" i="1"/>
  <c r="Y50" i="1" s="1"/>
  <c r="V42" i="1"/>
  <c r="X42" i="1" s="1"/>
  <c r="T42" i="1"/>
  <c r="U42" i="1" s="1"/>
  <c r="T6" i="1"/>
  <c r="U6" i="1" s="1"/>
  <c r="V6" i="1"/>
  <c r="X6" i="1" s="1"/>
  <c r="V41" i="1"/>
  <c r="X41" i="1" s="1"/>
  <c r="T41" i="1"/>
  <c r="U41" i="1" s="1"/>
  <c r="J7" i="1"/>
  <c r="T16" i="1"/>
  <c r="U16" i="1" s="1"/>
  <c r="V16" i="1"/>
  <c r="X16" i="1" s="1"/>
  <c r="L26" i="1"/>
  <c r="T12" i="1"/>
  <c r="U12" i="1" s="1"/>
  <c r="V12" i="1"/>
  <c r="X12" i="1" s="1"/>
  <c r="T25" i="1"/>
  <c r="U25" i="1" s="1"/>
  <c r="V25" i="1"/>
  <c r="X25" i="1" s="1"/>
  <c r="V11" i="1"/>
  <c r="X11" i="1" s="1"/>
  <c r="T11" i="1"/>
  <c r="U11" i="1" s="1"/>
  <c r="F27" i="1"/>
  <c r="J27" i="1" s="1"/>
  <c r="L27" i="1"/>
  <c r="T31" i="1"/>
  <c r="U31" i="1" s="1"/>
  <c r="V31" i="1"/>
  <c r="X31" i="1" s="1"/>
  <c r="R36" i="1"/>
  <c r="O36" i="1"/>
  <c r="P36" i="1" s="1"/>
  <c r="Q36" i="1" s="1"/>
  <c r="V36" i="1" s="1"/>
  <c r="X36" i="1" s="1"/>
  <c r="W36" i="1"/>
  <c r="Y36" i="1" s="1"/>
  <c r="R32" i="1"/>
  <c r="O32" i="1"/>
  <c r="P32" i="1" s="1"/>
  <c r="Q32" i="1" s="1"/>
  <c r="W32" i="1"/>
  <c r="Y32" i="1" s="1"/>
  <c r="V14" i="1"/>
  <c r="X14" i="1" s="1"/>
  <c r="T14" i="1"/>
  <c r="U14" i="1" s="1"/>
  <c r="R20" i="1"/>
  <c r="W20" i="1"/>
  <c r="Y20" i="1" s="1"/>
  <c r="O20" i="1"/>
  <c r="P20" i="1" s="1"/>
  <c r="Q20" i="1" s="1"/>
  <c r="F51" i="1"/>
  <c r="L51" i="1"/>
  <c r="J51" i="1"/>
  <c r="E9" i="1"/>
  <c r="F8" i="1"/>
  <c r="L8" i="1"/>
  <c r="J8" i="1"/>
  <c r="F45" i="1"/>
  <c r="J45" i="1" s="1"/>
  <c r="L45" i="1"/>
  <c r="R45" i="1" l="1"/>
  <c r="O45" i="1"/>
  <c r="P45" i="1" s="1"/>
  <c r="Q45" i="1" s="1"/>
  <c r="W45" i="1"/>
  <c r="Y45" i="1" s="1"/>
  <c r="R27" i="1"/>
  <c r="W27" i="1"/>
  <c r="Y27" i="1" s="1"/>
  <c r="O27" i="1"/>
  <c r="P27" i="1" s="1"/>
  <c r="Q27" i="1" s="1"/>
  <c r="R37" i="1"/>
  <c r="O37" i="1"/>
  <c r="P37" i="1" s="1"/>
  <c r="Q37" i="1" s="1"/>
  <c r="W37" i="1"/>
  <c r="Y37" i="1" s="1"/>
  <c r="R8" i="1"/>
  <c r="W8" i="1"/>
  <c r="Y8" i="1" s="1"/>
  <c r="O8" i="1"/>
  <c r="P8" i="1" s="1"/>
  <c r="Q8" i="1" s="1"/>
  <c r="V43" i="1"/>
  <c r="X43" i="1" s="1"/>
  <c r="T43" i="1"/>
  <c r="U43" i="1" s="1"/>
  <c r="V44" i="1"/>
  <c r="X44" i="1" s="1"/>
  <c r="T44" i="1"/>
  <c r="U44" i="1" s="1"/>
  <c r="V32" i="1"/>
  <c r="X32" i="1" s="1"/>
  <c r="T32" i="1"/>
  <c r="U32" i="1" s="1"/>
  <c r="E39" i="1"/>
  <c r="F38" i="1"/>
  <c r="J38" i="1"/>
  <c r="L38" i="1"/>
  <c r="V20" i="1"/>
  <c r="X20" i="1" s="1"/>
  <c r="T20" i="1"/>
  <c r="U20" i="1" s="1"/>
  <c r="R33" i="1"/>
  <c r="O33" i="1"/>
  <c r="P33" i="1" s="1"/>
  <c r="Q33" i="1" s="1"/>
  <c r="W33" i="1"/>
  <c r="Y33" i="1" s="1"/>
  <c r="R51" i="1"/>
  <c r="O51" i="1"/>
  <c r="P51" i="1" s="1"/>
  <c r="Q51" i="1" s="1"/>
  <c r="W51" i="1"/>
  <c r="Y51" i="1" s="1"/>
  <c r="T26" i="1"/>
  <c r="U26" i="1" s="1"/>
  <c r="V26" i="1"/>
  <c r="X26" i="1" s="1"/>
  <c r="R21" i="1"/>
  <c r="W21" i="1"/>
  <c r="Y21" i="1" s="1"/>
  <c r="O21" i="1"/>
  <c r="P21" i="1" s="1"/>
  <c r="Q21" i="1" s="1"/>
  <c r="T15" i="1"/>
  <c r="U15" i="1" s="1"/>
  <c r="V15" i="1"/>
  <c r="X15" i="1" s="1"/>
  <c r="F9" i="1"/>
  <c r="J9" i="1"/>
  <c r="L9" i="1"/>
  <c r="V50" i="1"/>
  <c r="X50" i="1" s="1"/>
  <c r="T50" i="1"/>
  <c r="U50" i="1" s="1"/>
  <c r="S15" i="1"/>
  <c r="R7" i="1"/>
  <c r="O7" i="1"/>
  <c r="P7" i="1" s="1"/>
  <c r="Q7" i="1" s="1"/>
  <c r="W7" i="1"/>
  <c r="Y7" i="1" s="1"/>
  <c r="S33" i="1" l="1"/>
  <c r="V37" i="1"/>
  <c r="X37" i="1" s="1"/>
  <c r="T37" i="1"/>
  <c r="U37" i="1" s="1"/>
  <c r="F39" i="1"/>
  <c r="L39" i="1"/>
  <c r="J39" i="1"/>
  <c r="V27" i="1"/>
  <c r="X27" i="1" s="1"/>
  <c r="T27" i="1"/>
  <c r="U27" i="1" s="1"/>
  <c r="S27" i="1" s="1"/>
  <c r="R9" i="1"/>
  <c r="O9" i="1"/>
  <c r="P9" i="1" s="1"/>
  <c r="Q9" i="1" s="1"/>
  <c r="W9" i="1"/>
  <c r="Y9" i="1" s="1"/>
  <c r="T33" i="1"/>
  <c r="U33" i="1" s="1"/>
  <c r="V33" i="1"/>
  <c r="X33" i="1" s="1"/>
  <c r="V21" i="1"/>
  <c r="X21" i="1" s="1"/>
  <c r="T21" i="1"/>
  <c r="U21" i="1" s="1"/>
  <c r="S21" i="1" s="1"/>
  <c r="T8" i="1"/>
  <c r="U8" i="1" s="1"/>
  <c r="V8" i="1"/>
  <c r="X8" i="1" s="1"/>
  <c r="T45" i="1"/>
  <c r="U45" i="1" s="1"/>
  <c r="S45" i="1" s="1"/>
  <c r="V45" i="1"/>
  <c r="X45" i="1" s="1"/>
  <c r="R38" i="1"/>
  <c r="O38" i="1"/>
  <c r="P38" i="1" s="1"/>
  <c r="Q38" i="1" s="1"/>
  <c r="W38" i="1"/>
  <c r="Y38" i="1" s="1"/>
  <c r="V51" i="1"/>
  <c r="X51" i="1" s="1"/>
  <c r="T51" i="1"/>
  <c r="U51" i="1" s="1"/>
  <c r="S51" i="1" s="1"/>
  <c r="V7" i="1"/>
  <c r="X7" i="1" s="1"/>
  <c r="T7" i="1"/>
  <c r="U7" i="1" s="1"/>
  <c r="T9" i="1" l="1"/>
  <c r="U9" i="1" s="1"/>
  <c r="V9" i="1"/>
  <c r="X9" i="1" s="1"/>
  <c r="T38" i="1"/>
  <c r="U38" i="1" s="1"/>
  <c r="V38" i="1"/>
  <c r="X38" i="1" s="1"/>
  <c r="R39" i="1"/>
  <c r="O39" i="1"/>
  <c r="P39" i="1" s="1"/>
  <c r="Q39" i="1" s="1"/>
  <c r="W39" i="1"/>
  <c r="Y39" i="1" s="1"/>
  <c r="S9" i="1"/>
  <c r="T39" i="1" l="1"/>
  <c r="U39" i="1" s="1"/>
  <c r="S39" i="1" s="1"/>
  <c r="V39" i="1"/>
  <c r="X39" i="1" s="1"/>
</calcChain>
</file>

<file path=xl/sharedStrings.xml><?xml version="1.0" encoding="utf-8"?>
<sst xmlns="http://schemas.openxmlformats.org/spreadsheetml/2006/main" count="1143" uniqueCount="783">
  <si>
    <t>R</t>
  </si>
  <si>
    <t>T</t>
  </si>
  <si>
    <t>pH</t>
  </si>
  <si>
    <t>MW (kg/mol)</t>
  </si>
  <si>
    <t>MW (g/mol)</t>
  </si>
  <si>
    <t>deviation</t>
  </si>
  <si>
    <t>MWmin</t>
  </si>
  <si>
    <t xml:space="preserve">MWmax </t>
  </si>
  <si>
    <t>[H3O+]</t>
  </si>
  <si>
    <t>[OH-]</t>
  </si>
  <si>
    <t>[P] (g/L)</t>
  </si>
  <si>
    <t>[P] (mol/L)</t>
  </si>
  <si>
    <t>[P] (uM)</t>
  </si>
  <si>
    <t>mP (mol/g)</t>
  </si>
  <si>
    <t>[Buffer] (mol/L)</t>
  </si>
  <si>
    <t>I (mol/g)</t>
  </si>
  <si>
    <t>𝝥 (mmH2O)</t>
  </si>
  <si>
    <t>𝝥 (Pa)</t>
  </si>
  <si>
    <t>𝝥0 (Pa)</t>
  </si>
  <si>
    <t>𝝫</t>
  </si>
  <si>
    <t>𝝫-1</t>
  </si>
  <si>
    <t>𝝫-1 fit</t>
  </si>
  <si>
    <t>polynomial</t>
  </si>
  <si>
    <t>res</t>
  </si>
  <si>
    <t>res2</t>
  </si>
  <si>
    <t>𝜸 (m)</t>
  </si>
  <si>
    <t>𝜸 Agena (m)</t>
  </si>
  <si>
    <t>𝜸 (m) [plotted]</t>
  </si>
  <si>
    <t>𝜸 Agena (m) [plotted]</t>
  </si>
  <si>
    <t>Partial</t>
  </si>
  <si>
    <t>mL/g</t>
  </si>
  <si>
    <t>Specific</t>
  </si>
  <si>
    <t>10.1016/S0021-9258(18)56031-2</t>
  </si>
  <si>
    <t>Volume</t>
  </si>
  <si>
    <t>Rho(H2O)</t>
  </si>
  <si>
    <t>g/L</t>
  </si>
  <si>
    <t>MW(K)</t>
  </si>
  <si>
    <t>MW(SO4)</t>
  </si>
  <si>
    <t>MW(H3O+)</t>
  </si>
  <si>
    <t>B2 (L.mol/g.g)</t>
  </si>
  <si>
    <t>B2 (L/g)</t>
  </si>
  <si>
    <t>B2 (L/mol)</t>
  </si>
  <si>
    <t>B2 (mL/mol)</t>
  </si>
  <si>
    <t>D2 (g/mol)</t>
  </si>
  <si>
    <t>MW(OH-)</t>
  </si>
  <si>
    <t>Charge</t>
  </si>
  <si>
    <t>Corrections applied to this workbook</t>
  </si>
  <si>
    <t>Donnan reference (equation 10): the term (Z m_P)^2/(4 m_S) is exact only for 1:1 electrolytes. For a general electrolyte, the dilute Donnan limit is (Z m_P)^2/(4 I), with I the ionic strength (both on the molal scale); for 1:1 salts I = m_S. The buffer-molality column now holds the ionic strength: I = 3[K2SO4].</t>
  </si>
  <si>
    <t>Molality: the original water mass per litre, rho_w - c*M - (salt masses), assumes that the solution density equals the density of water, which overestimates the volume of water displaced by the protein by a factor of about 1/(nu*rho_w) = 1.36. The protein term is now rho_w*c*M*nu (nu = protein partial specific volume, cell B5). The salt terms were kept as in the original; note that subtracting salt masses (instead of salt volumes) underestimates the water mass at high salt (by about 20% at 5 M NaCl).</t>
  </si>
  <si>
    <t>Molal versus molar scale: the original conversion in the "(c)" columns, gamma_m*rho*18.015/(rho*18.015 + sum c), differs from gamma_m by less than 1e-4, so all plotted activity coefficients are in fact on the molality scale (per kg of water), like the virial (Agena) values. These columns now equal the molal values explicitly and are labelled accordingly. A molar-scale conversion (gamma_c = gamma_m*m*rho_w/c) would require the solution density, which is not available; with the salt-mass approximation used here it would be unreliable at high salt.</t>
  </si>
  <si>
    <t>Note: row 36 (pH 10) has its residual fixed to 0 (T36 = 0) and is therefore excluded from the fit; this was kept but is not stated in the SI.</t>
  </si>
  <si>
    <t>Polynomial fits of phi-1 versus molality were recomputed by linear least squares with the same terms and the same data points as the original Solver fits (points whose residual was set to 0 in the original remain excluded).</t>
  </si>
  <si>
    <t>Cell</t>
  </si>
  <si>
    <t>Original</t>
  </si>
  <si>
    <t>Corrected</t>
  </si>
  <si>
    <t>Reason</t>
  </si>
  <si>
    <t>J4</t>
  </si>
  <si>
    <t>=H4/($B$9 - H4*$AC$4 - K4*($B$11+$B$11+$B$12) - E4*$B$13 - F4*$B$14 - 0.5*E4*$B$12)</t>
  </si>
  <si>
    <t>=H4/($B$9*(1-H4*$AC$4*$B$5/1000) - K4*($B$11+$B$11+$B$12) - E4*$B$13 - F4*$B$14 - 0.5*E4*$B$12)</t>
  </si>
  <si>
    <t>molality: protein term of the water mass uses the partial specific volume, rho_w*(1 - c*M*nu), instead of subtracting the protein mass from rho_w</t>
  </si>
  <si>
    <t>L4</t>
  </si>
  <si>
    <t>=K4/($B$9 - H4*$AC$4 - K4*(2*$B$11+$B$12) - E4*$B$13 - F4*$B$14 - 0.5*E4*$B$12)</t>
  </si>
  <si>
    <t>=K4/($B$9*(1-H4*$AC$4*$B$5/1000) - K4*(2*$B$11+$B$12) - E4*$B$13 - F4*$B$14 - 0.5*E4*$B$12)</t>
  </si>
  <si>
    <t>buffer molality: same correction</t>
  </si>
  <si>
    <t>J5</t>
  </si>
  <si>
    <t>=H5/($B$9 - H5*$AC$4 - K5*($B$11+$B$11+$B$12) - E5*$B$13 - F5*$B$14 - 0.5*E5*$B$12)</t>
  </si>
  <si>
    <t>=H5/($B$9*(1-H5*$AC$4*$B$5/1000) - K5*($B$11+$B$11+$B$12) - E5*$B$13 - F5*$B$14 - 0.5*E5*$B$12)</t>
  </si>
  <si>
    <t>L5</t>
  </si>
  <si>
    <t>=K5/($B$9 - H5*$AC$4 - K5*(2*$B$11+$B$12) - E5*$B$13 - F5*$B$14 - 0.5*E5*$B$12)</t>
  </si>
  <si>
    <t>=K5/($B$9*(1-H5*$AC$4*$B$5/1000) - K5*(2*$B$11+$B$12) - E5*$B$13 - F5*$B$14 - 0.5*E5*$B$12)</t>
  </si>
  <si>
    <t>J6</t>
  </si>
  <si>
    <t>=H6/($B$9 - H6*$AC$4 - K6*($B$11+$B$11+$B$12) - E6*$B$13 - F6*$B$14 - 0.5*E6*$B$12)</t>
  </si>
  <si>
    <t>=H6/($B$9*(1-H6*$AC$4*$B$5/1000) - K6*($B$11+$B$11+$B$12) - E6*$B$13 - F6*$B$14 - 0.5*E6*$B$12)</t>
  </si>
  <si>
    <t>L6</t>
  </si>
  <si>
    <t>=K6/($B$9 - H6*$AC$4 - K6*(2*$B$11+$B$12) - E6*$B$13 - F6*$B$14 - 0.5*E6*$B$12)</t>
  </si>
  <si>
    <t>=K6/($B$9*(1-H6*$AC$4*$B$5/1000) - K6*(2*$B$11+$B$12) - E6*$B$13 - F6*$B$14 - 0.5*E6*$B$12)</t>
  </si>
  <si>
    <t>J7</t>
  </si>
  <si>
    <t>=H7/($B$9 - H7*$AC$4 - K7*($B$11+$B$11+$B$12) - E7*$B$13 - F7*$B$14 - 0.5*E7*$B$12)</t>
  </si>
  <si>
    <t>=H7/($B$9*(1-H7*$AC$4*$B$5/1000) - K7*($B$11+$B$11+$B$12) - E7*$B$13 - F7*$B$14 - 0.5*E7*$B$12)</t>
  </si>
  <si>
    <t>L7</t>
  </si>
  <si>
    <t>=K7/($B$9 - H7*$AC$4 - K7*(2*$B$11+$B$12) - E7*$B$13 - F7*$B$14 - 0.5*E7*$B$12)</t>
  </si>
  <si>
    <t>=K7/($B$9*(1-H7*$AC$4*$B$5/1000) - K7*(2*$B$11+$B$12) - E7*$B$13 - F7*$B$14 - 0.5*E7*$B$12)</t>
  </si>
  <si>
    <t>J8</t>
  </si>
  <si>
    <t>=H8/($B$9 - H8*$AC$4 - K8*($B$11+$B$11+$B$12) - E8*$B$13 - F8*$B$14 - 0.5*E8*$B$12)</t>
  </si>
  <si>
    <t>=H8/($B$9*(1-H8*$AC$4*$B$5/1000) - K8*($B$11+$B$11+$B$12) - E8*$B$13 - F8*$B$14 - 0.5*E8*$B$12)</t>
  </si>
  <si>
    <t>L8</t>
  </si>
  <si>
    <t>=K8/($B$9 - H8*$AC$4 - K8*(2*$B$11+$B$12) - E8*$B$13 - F8*$B$14 - 0.5*E8*$B$12)</t>
  </si>
  <si>
    <t>=K8/($B$9*(1-H8*$AC$4*$B$5/1000) - K8*(2*$B$11+$B$12) - E8*$B$13 - F8*$B$14 - 0.5*E8*$B$12)</t>
  </si>
  <si>
    <t>J9</t>
  </si>
  <si>
    <t>=H9/($B$9 - H9*$AC$4 - K9*($B$11+$B$11+$B$12) - E9*$B$13 - F9*$B$14 - 0.5*E9*$B$12)</t>
  </si>
  <si>
    <t>=H9/($B$9*(1-H9*$AC$4*$B$5/1000) - K9*($B$11+$B$11+$B$12) - E9*$B$13 - F9*$B$14 - 0.5*E9*$B$12)</t>
  </si>
  <si>
    <t>L9</t>
  </si>
  <si>
    <t>=K9/($B$9 - H9*$AC$4 - K9*(2*$B$11+$B$12) - E9*$B$13 - F9*$B$14 - 0.5*E9*$B$12)</t>
  </si>
  <si>
    <t>=K9/($B$9*(1-H9*$AC$4*$B$5/1000) - K9*(2*$B$11+$B$12) - E9*$B$13 - F9*$B$14 - 0.5*E9*$B$12)</t>
  </si>
  <si>
    <t>J10</t>
  </si>
  <si>
    <t>=H10/($B$9 - H10*$AC$5 - K10*($B$11+$B$11+$B$12) - E10*$B$13 - F10*$B$14 - 0.5*E10*$B$12)</t>
  </si>
  <si>
    <t>=H10/($B$9*(1-H10*$AC$5*$B$5/1000) - K10*($B$11+$B$11+$B$12) - E10*$B$13 - F10*$B$14 - 0.5*E10*$B$12)</t>
  </si>
  <si>
    <t>L10</t>
  </si>
  <si>
    <t>=K10/($B$9 - H10*$AC$5 - K10*(2*$B$11+$B$12) - E10*$B$13 - F10*$B$14 - 0.5*E10*$B$12)</t>
  </si>
  <si>
    <t>=K10/($B$9*(1-H10*$AC$5*$B$5/1000) - K10*(2*$B$11+$B$12) - E10*$B$13 - F10*$B$14 - 0.5*E10*$B$12)</t>
  </si>
  <si>
    <t>J11</t>
  </si>
  <si>
    <t>=H11/($B$9 - H11*$AC$5 - K11*($B$11+$B$11+$B$12) - E11*$B$13 - F11*$B$14 - 0.5*E11*$B$12)</t>
  </si>
  <si>
    <t>=H11/($B$9*(1-H11*$AC$5*$B$5/1000) - K11*($B$11+$B$11+$B$12) - E11*$B$13 - F11*$B$14 - 0.5*E11*$B$12)</t>
  </si>
  <si>
    <t>L11</t>
  </si>
  <si>
    <t>=K11/($B$9 - H11*$AC$5 - K11*(2*$B$11+$B$12) - E11*$B$13 - F11*$B$14 - 0.5*E11*$B$12)</t>
  </si>
  <si>
    <t>=K11/($B$9*(1-H11*$AC$5*$B$5/1000) - K11*(2*$B$11+$B$12) - E11*$B$13 - F11*$B$14 - 0.5*E11*$B$12)</t>
  </si>
  <si>
    <t>J12</t>
  </si>
  <si>
    <t>=H12/($B$9 - H12*$AC$5 - K12*($B$11+$B$11+$B$12) - E12*$B$13 - F12*$B$14 - 0.5*E12*$B$12)</t>
  </si>
  <si>
    <t>=H12/($B$9*(1-H12*$AC$5*$B$5/1000) - K12*($B$11+$B$11+$B$12) - E12*$B$13 - F12*$B$14 - 0.5*E12*$B$12)</t>
  </si>
  <si>
    <t>L12</t>
  </si>
  <si>
    <t>=K12/($B$9 - H12*$AC$5 - K12*(2*$B$11+$B$12) - E12*$B$13 - F12*$B$14 - 0.5*E12*$B$12)</t>
  </si>
  <si>
    <t>=K12/($B$9*(1-H12*$AC$5*$B$5/1000) - K12*(2*$B$11+$B$12) - E12*$B$13 - F12*$B$14 - 0.5*E12*$B$12)</t>
  </si>
  <si>
    <t>J13</t>
  </si>
  <si>
    <t>=H13/($B$9 - H13*$AC$5 - K13*($B$11+$B$11+$B$12) - E13*$B$13 - F13*$B$14 - 0.5*E13*$B$12)</t>
  </si>
  <si>
    <t>=H13/($B$9*(1-H13*$AC$5*$B$5/1000) - K13*($B$11+$B$11+$B$12) - E13*$B$13 - F13*$B$14 - 0.5*E13*$B$12)</t>
  </si>
  <si>
    <t>L13</t>
  </si>
  <si>
    <t>=K13/($B$9 - H13*$AC$5 - K13*(2*$B$11+$B$12) - E13*$B$13 - F13*$B$14 - 0.5*E13*$B$12)</t>
  </si>
  <si>
    <t>=K13/($B$9*(1-H13*$AC$5*$B$5/1000) - K13*(2*$B$11+$B$12) - E13*$B$13 - F13*$B$14 - 0.5*E13*$B$12)</t>
  </si>
  <si>
    <t>J14</t>
  </si>
  <si>
    <t>=H14/($B$9 - H14*$AC$5 - K14*($B$11+$B$11+$B$12) - E14*$B$13 - F14*$B$14 - 0.5*E14*$B$12)</t>
  </si>
  <si>
    <t>=H14/($B$9*(1-H14*$AC$5*$B$5/1000) - K14*($B$11+$B$11+$B$12) - E14*$B$13 - F14*$B$14 - 0.5*E14*$B$12)</t>
  </si>
  <si>
    <t>L14</t>
  </si>
  <si>
    <t>=K14/($B$9 - H14*$AC$5 - K14*(2*$B$11+$B$12) - E14*$B$13 - F14*$B$14 - 0.5*E14*$B$12)</t>
  </si>
  <si>
    <t>=K14/($B$9*(1-H14*$AC$5*$B$5/1000) - K14*(2*$B$11+$B$12) - E14*$B$13 - F14*$B$14 - 0.5*E14*$B$12)</t>
  </si>
  <si>
    <t>J15</t>
  </si>
  <si>
    <t>=H15/($B$9 - H15*$AC$5 - K15*($B$11+$B$11+$B$12) - E15*$B$13 - F15*$B$14 - 0.5*E15*$B$12)</t>
  </si>
  <si>
    <t>=H15/($B$9*(1-H15*$AC$5*$B$5/1000) - K15*($B$11+$B$11+$B$12) - E15*$B$13 - F15*$B$14 - 0.5*E15*$B$12)</t>
  </si>
  <si>
    <t>L15</t>
  </si>
  <si>
    <t>=K15/($B$9 - H15*$AC$5 - K15*(2*$B$11+$B$12) - E15*$B$13 - F15*$B$14 - 0.5*E15*$B$12)</t>
  </si>
  <si>
    <t>=K15/($B$9*(1-H15*$AC$5*$B$5/1000) - K15*(2*$B$11+$B$12) - E15*$B$13 - F15*$B$14 - 0.5*E15*$B$12)</t>
  </si>
  <si>
    <t>J16</t>
  </si>
  <si>
    <t>=H16/($B$9 - H16*$AC$6 - K16*($B$11+$B$11+$B$12) - E16*$B$13 - F16*$B$14 - 0.5*E16*$B$12)</t>
  </si>
  <si>
    <t>=H16/($B$9*(1-H16*$AC$6*$B$5/1000) - K16*($B$11+$B$11+$B$12) - E16*$B$13 - F16*$B$14 - 0.5*E16*$B$12)</t>
  </si>
  <si>
    <t>L16</t>
  </si>
  <si>
    <t>=K16/($B$9 - H16*$AC$6 - K16*(2*$B$11+$B$12) - E16*$B$13 - F16*$B$14 - 0.5*E16*$B$12)</t>
  </si>
  <si>
    <t>=K16/($B$9*(1-H16*$AC$6*$B$5/1000) - K16*(2*$B$11+$B$12) - E16*$B$13 - F16*$B$14 - 0.5*E16*$B$12)</t>
  </si>
  <si>
    <t>J17</t>
  </si>
  <si>
    <t>=H17/($B$9 - H17*$AC$6 - K17*($B$11+$B$11+$B$12) - E17*$B$13 - F17*$B$14 - 0.5*E17*$B$12)</t>
  </si>
  <si>
    <t>=H17/($B$9*(1-H17*$AC$6*$B$5/1000) - K17*($B$11+$B$11+$B$12) - E17*$B$13 - F17*$B$14 - 0.5*E17*$B$12)</t>
  </si>
  <si>
    <t>L17</t>
  </si>
  <si>
    <t>=K17/($B$9 - H17*$AC$6 - K17*(2*$B$11+$B$12) - E17*$B$13 - F17*$B$14 - 0.5*E17*$B$12)</t>
  </si>
  <si>
    <t>=K17/($B$9*(1-H17*$AC$6*$B$5/1000) - K17*(2*$B$11+$B$12) - E17*$B$13 - F17*$B$14 - 0.5*E17*$B$12)</t>
  </si>
  <si>
    <t>J18</t>
  </si>
  <si>
    <t>=H18/($B$9 - H18*$AC$6 - K18*($B$11+$B$11+$B$12) - E18*$B$13 - F18*$B$14 - 0.5*E18*$B$12)</t>
  </si>
  <si>
    <t>=H18/($B$9*(1-H18*$AC$6*$B$5/1000) - K18*($B$11+$B$11+$B$12) - E18*$B$13 - F18*$B$14 - 0.5*E18*$B$12)</t>
  </si>
  <si>
    <t>L18</t>
  </si>
  <si>
    <t>=K18/($B$9 - H18*$AC$6 - K18*(2*$B$11+$B$12) - E18*$B$13 - F18*$B$14 - 0.5*E18*$B$12)</t>
  </si>
  <si>
    <t>=K18/($B$9*(1-H18*$AC$6*$B$5/1000) - K18*(2*$B$11+$B$12) - E18*$B$13 - F18*$B$14 - 0.5*E18*$B$12)</t>
  </si>
  <si>
    <t>J19</t>
  </si>
  <si>
    <t>=H19/($B$9 - H19*$AC$6 - K19*($B$11+$B$11+$B$12) - E19*$B$13 - F19*$B$14 - 0.5*E19*$B$12)</t>
  </si>
  <si>
    <t>=H19/($B$9*(1-H19*$AC$6*$B$5/1000) - K19*($B$11+$B$11+$B$12) - E19*$B$13 - F19*$B$14 - 0.5*E19*$B$12)</t>
  </si>
  <si>
    <t>L19</t>
  </si>
  <si>
    <t>=K19/($B$9 - H19*$AC$6 - K19*(2*$B$11+$B$12) - E19*$B$13 - F19*$B$14 - 0.5*E19*$B$12)</t>
  </si>
  <si>
    <t>=K19/($B$9*(1-H19*$AC$6*$B$5/1000) - K19*(2*$B$11+$B$12) - E19*$B$13 - F19*$B$14 - 0.5*E19*$B$12)</t>
  </si>
  <si>
    <t>J20</t>
  </si>
  <si>
    <t>=H20/($B$9 - H20*$AC$6 - K20*($B$11+$B$11+$B$12) - E20*$B$13 - F20*$B$14 - 0.5*E20*$B$12)</t>
  </si>
  <si>
    <t>=H20/($B$9*(1-H20*$AC$6*$B$5/1000) - K20*($B$11+$B$11+$B$12) - E20*$B$13 - F20*$B$14 - 0.5*E20*$B$12)</t>
  </si>
  <si>
    <t>L20</t>
  </si>
  <si>
    <t>=K20/($B$9 - H20*$AC$6 - K20*(2*$B$11+$B$12) - E20*$B$13 - F20*$B$14 - 0.5*E20*$B$12)</t>
  </si>
  <si>
    <t>=K20/($B$9*(1-H20*$AC$6*$B$5/1000) - K20*(2*$B$11+$B$12) - E20*$B$13 - F20*$B$14 - 0.5*E20*$B$12)</t>
  </si>
  <si>
    <t>J21</t>
  </si>
  <si>
    <t>=H21/($B$9 - H21*$AC$6 - K21*($B$11+$B$11+$B$12) - E21*$B$13 - F21*$B$14 - 0.5*E21*$B$12)</t>
  </si>
  <si>
    <t>=H21/($B$9*(1-H21*$AC$6*$B$5/1000) - K21*($B$11+$B$11+$B$12) - E21*$B$13 - F21*$B$14 - 0.5*E21*$B$12)</t>
  </si>
  <si>
    <t>L21</t>
  </si>
  <si>
    <t>=K21/($B$9 - H21*$AC$6 - K21*(2*$B$11+$B$12) - E21*$B$13 - F21*$B$14 - 0.5*E21*$B$12)</t>
  </si>
  <si>
    <t>=K21/($B$9*(1-H21*$AC$6*$B$5/1000) - K21*(2*$B$11+$B$12) - E21*$B$13 - F21*$B$14 - 0.5*E21*$B$12)</t>
  </si>
  <si>
    <t>J22</t>
  </si>
  <si>
    <t>=H22/($B$9 - H22*$AC$7 - K22*(2*$B$11+$B$12) - E22*$B$13 - F22*$B$14 - F22*$B$11)</t>
  </si>
  <si>
    <t>=H22/($B$9*(1-H22*$AC$7*$B$5/1000) - K22*(2*$B$11+$B$12) - E22*$B$13 - F22*$B$14 - F22*$B$11)</t>
  </si>
  <si>
    <t>L22</t>
  </si>
  <si>
    <t>=K22/($B$9 - H22*$AC$7 - K22*(2*$B$11+$B$12) - E22*$B$13 - F22*$B$14 - F22*$B$11)</t>
  </si>
  <si>
    <t>=K22/($B$9*(1-H22*$AC$7*$B$5/1000) - K22*(2*$B$11+$B$12) - E22*$B$13 - F22*$B$14 - F22*$B$11)</t>
  </si>
  <si>
    <t>J23</t>
  </si>
  <si>
    <t>=H23/($B$9 - H23*$AC$7 - K23*(2*$B$11+$B$12) - E23*$B$13 - F23*$B$14 - F23*$B$11)</t>
  </si>
  <si>
    <t>=H23/($B$9*(1-H23*$AC$7*$B$5/1000) - K23*(2*$B$11+$B$12) - E23*$B$13 - F23*$B$14 - F23*$B$11)</t>
  </si>
  <si>
    <t>L23</t>
  </si>
  <si>
    <t>=K23/($B$9 - H23*$AC$7 - K23*(2*$B$11+$B$12) - E23*$B$13 - F23*$B$14 - F23*$B$11)</t>
  </si>
  <si>
    <t>=K23/($B$9*(1-H23*$AC$7*$B$5/1000) - K23*(2*$B$11+$B$12) - E23*$B$13 - F23*$B$14 - F23*$B$11)</t>
  </si>
  <si>
    <t>J24</t>
  </si>
  <si>
    <t>=H24/($B$9 - H24*$AC$7 - K24*(2*$B$11+$B$12) - E24*$B$13 - F24*$B$14 - F24*$B$11)</t>
  </si>
  <si>
    <t>=H24/($B$9*(1-H24*$AC$7*$B$5/1000) - K24*(2*$B$11+$B$12) - E24*$B$13 - F24*$B$14 - F24*$B$11)</t>
  </si>
  <si>
    <t>L24</t>
  </si>
  <si>
    <t>=K24/($B$9 - H24*$AC$7 - K24*(2*$B$11+$B$12) - E24*$B$13 - F24*$B$14 - F24*$B$11)</t>
  </si>
  <si>
    <t>=K24/($B$9*(1-H24*$AC$7*$B$5/1000) - K24*(2*$B$11+$B$12) - E24*$B$13 - F24*$B$14 - F24*$B$11)</t>
  </si>
  <si>
    <t>J25</t>
  </si>
  <si>
    <t>=H25/($B$9 - H25*$AC$7 - K25*(2*$B$11+$B$12) - E25*$B$13 - F25*$B$14 - F25*$B$11)</t>
  </si>
  <si>
    <t>=H25/($B$9*(1-H25*$AC$7*$B$5/1000) - K25*(2*$B$11+$B$12) - E25*$B$13 - F25*$B$14 - F25*$B$11)</t>
  </si>
  <si>
    <t>L25</t>
  </si>
  <si>
    <t>=K25/($B$9 - H25*$AC$7 - K25*(2*$B$11+$B$12) - E25*$B$13 - F25*$B$14 - F25*$B$11)</t>
  </si>
  <si>
    <t>=K25/($B$9*(1-H25*$AC$7*$B$5/1000) - K25*(2*$B$11+$B$12) - E25*$B$13 - F25*$B$14 - F25*$B$11)</t>
  </si>
  <si>
    <t>J26</t>
  </si>
  <si>
    <t>=H26/($B$9 - H26*$AC$7 - K26*(2*$B$11+$B$12) - E26*$B$13 - F26*$B$14 - F26*$B$11)</t>
  </si>
  <si>
    <t>=H26/($B$9*(1-H26*$AC$7*$B$5/1000) - K26*(2*$B$11+$B$12) - E26*$B$13 - F26*$B$14 - F26*$B$11)</t>
  </si>
  <si>
    <t>L26</t>
  </si>
  <si>
    <t>=K26/($B$9 - H26*$AC$7 - K26*(2*$B$11+$B$12) - E26*$B$13 - F26*$B$14 - F26*$B$11)</t>
  </si>
  <si>
    <t>=K26/($B$9*(1-H26*$AC$7*$B$5/1000) - K26*(2*$B$11+$B$12) - E26*$B$13 - F26*$B$14 - F26*$B$11)</t>
  </si>
  <si>
    <t>J27</t>
  </si>
  <si>
    <t>=H27/($B$9 - H27*$AC$7 - K27*(2*$B$11+$B$12) - E27*$B$13 - F27*$B$14 - F27*$B$11)</t>
  </si>
  <si>
    <t>=H27/($B$9*(1-H27*$AC$7*$B$5/1000) - K27*(2*$B$11+$B$12) - E27*$B$13 - F27*$B$14 - F27*$B$11)</t>
  </si>
  <si>
    <t>L27</t>
  </si>
  <si>
    <t>=K27/($B$9 - H27*$AC$7 - K27*(2*$B$11+$B$12) - E27*$B$13 - F27*$B$14 - F27*$B$11)</t>
  </si>
  <si>
    <t>=K27/($B$9*(1-H27*$AC$7*$B$5/1000) - K27*(2*$B$11+$B$12) - E27*$B$13 - F27*$B$14 - F27*$B$11)</t>
  </si>
  <si>
    <t>J28</t>
  </si>
  <si>
    <t>=H28/($B$9 - H28*$AC$8 - K28*(2*$B$11+$B$12) - E28*$B$13 - F28*$B$14 - F28*$B$11)</t>
  </si>
  <si>
    <t>=H28/($B$9*(1-H28*$AC$8*$B$5/1000) - K28*(2*$B$11+$B$12) - E28*$B$13 - F28*$B$14 - F28*$B$11)</t>
  </si>
  <si>
    <t>L28</t>
  </si>
  <si>
    <t>=K28/($B$9 - H28*$AC$8 - K28*(2*$B$11+$B$12) - E28*$B$13 - F28*$B$14 - F28*$B$11)</t>
  </si>
  <si>
    <t>=K28/($B$9*(1-H28*$AC$8*$B$5/1000) - K28*(2*$B$11+$B$12) - E28*$B$13 - F28*$B$14 - F28*$B$11)</t>
  </si>
  <si>
    <t>J29</t>
  </si>
  <si>
    <t>=H29/($B$9 - H29*$AC$8 - K29*(2*$B$11+$B$12) - E29*$B$13 - F29*$B$14 - F29*$B$11)</t>
  </si>
  <si>
    <t>=H29/($B$9*(1-H29*$AC$8*$B$5/1000) - K29*(2*$B$11+$B$12) - E29*$B$13 - F29*$B$14 - F29*$B$11)</t>
  </si>
  <si>
    <t>L29</t>
  </si>
  <si>
    <t>=K29/($B$9 - H29*$AC$8 - K29*(2*$B$11+$B$12) - E29*$B$13 - F29*$B$14 - F29*$B$11)</t>
  </si>
  <si>
    <t>=K29/($B$9*(1-H29*$AC$8*$B$5/1000) - K29*(2*$B$11+$B$12) - E29*$B$13 - F29*$B$14 - F29*$B$11)</t>
  </si>
  <si>
    <t>J30</t>
  </si>
  <si>
    <t>=H30/($B$9 - H30*$AC$8 - K30*(2*$B$11+$B$12) - E30*$B$13 - F30*$B$14 - F30*$B$11)</t>
  </si>
  <si>
    <t>=H30/($B$9*(1-H30*$AC$8*$B$5/1000) - K30*(2*$B$11+$B$12) - E30*$B$13 - F30*$B$14 - F30*$B$11)</t>
  </si>
  <si>
    <t>L30</t>
  </si>
  <si>
    <t>=K30/($B$9 - H30*$AC$8 - K30*(2*$B$11+$B$12) - E30*$B$13 - F30*$B$14 - F30*$B$11)</t>
  </si>
  <si>
    <t>=K30/($B$9*(1-H30*$AC$8*$B$5/1000) - K30*(2*$B$11+$B$12) - E30*$B$13 - F30*$B$14 - F30*$B$11)</t>
  </si>
  <si>
    <t>J31</t>
  </si>
  <si>
    <t>=H31/($B$9 - H31*$AC$8 - K31*(2*$B$11+$B$12) - E31*$B$13 - F31*$B$14 - F31*$B$11)</t>
  </si>
  <si>
    <t>=H31/($B$9*(1-H31*$AC$8*$B$5/1000) - K31*(2*$B$11+$B$12) - E31*$B$13 - F31*$B$14 - F31*$B$11)</t>
  </si>
  <si>
    <t>L31</t>
  </si>
  <si>
    <t>=K31/($B$9 - H31*$AC$8 - K31*(2*$B$11+$B$12) - E31*$B$13 - F31*$B$14 - F31*$B$11)</t>
  </si>
  <si>
    <t>=K31/($B$9*(1-H31*$AC$8*$B$5/1000) - K31*(2*$B$11+$B$12) - E31*$B$13 - F31*$B$14 - F31*$B$11)</t>
  </si>
  <si>
    <t>J32</t>
  </si>
  <si>
    <t>=H32/($B$9 - H32*$AC$8 - K32*(2*$B$11+$B$12) - E32*$B$13 - F32*$B$14 - F32*$B$11)</t>
  </si>
  <si>
    <t>=H32/($B$9*(1-H32*$AC$8*$B$5/1000) - K32*(2*$B$11+$B$12) - E32*$B$13 - F32*$B$14 - F32*$B$11)</t>
  </si>
  <si>
    <t>L32</t>
  </si>
  <si>
    <t>=K32/($B$9 - H32*$AC$8 - K32*(2*$B$11+$B$12) - E32*$B$13 - F32*$B$14 - F32*$B$11)</t>
  </si>
  <si>
    <t>=K32/($B$9*(1-H32*$AC$8*$B$5/1000) - K32*(2*$B$11+$B$12) - E32*$B$13 - F32*$B$14 - F32*$B$11)</t>
  </si>
  <si>
    <t>J33</t>
  </si>
  <si>
    <t>=H33/($B$9 - H33*$AC$8 - K33*(2*$B$11+$B$12) - E33*$B$13 - F33*$B$14 - F33*$B$11)</t>
  </si>
  <si>
    <t>=H33/($B$9*(1-H33*$AC$8*$B$5/1000) - K33*(2*$B$11+$B$12) - E33*$B$13 - F33*$B$14 - F33*$B$11)</t>
  </si>
  <si>
    <t>L33</t>
  </si>
  <si>
    <t>=K33/($B$9 - H33*$AC$8 - K33*(2*$B$11+$B$12) - E33*$B$13 - F33*$B$14 - F33*$B$11)</t>
  </si>
  <si>
    <t>=K33/($B$9*(1-H33*$AC$8*$B$5/1000) - K33*(2*$B$11+$B$12) - E33*$B$13 - F33*$B$14 - F33*$B$11)</t>
  </si>
  <si>
    <t>J34</t>
  </si>
  <si>
    <t>=H34/($B$9 - H34*$AC$9 - K34*(2*$B$11+$B$12) - E34*$B$13 - F34*$B$14 - F34*$B$11)</t>
  </si>
  <si>
    <t>=H34/($B$9*(1-H34*$AC$9*$B$5/1000) - K34*(2*$B$11+$B$12) - E34*$B$13 - F34*$B$14 - F34*$B$11)</t>
  </si>
  <si>
    <t>L34</t>
  </si>
  <si>
    <t>=K34/($B$9 - H34*$AC$9 - K34*(2*$B$11+$B$12) - E34*$B$13 - F34*$B$14 - F34*$B$11)</t>
  </si>
  <si>
    <t>=K34/($B$9*(1-H34*$AC$9*$B$5/1000) - K34*(2*$B$11+$B$12) - E34*$B$13 - F34*$B$14 - F34*$B$11)</t>
  </si>
  <si>
    <t>J35</t>
  </si>
  <si>
    <t>=H35/($B$9 - H35*$AC$9 - K35*(2*$B$11+$B$12) - E35*$B$13 - F35*$B$14 - F35*$B$11)</t>
  </si>
  <si>
    <t>=H35/($B$9*(1-H35*$AC$9*$B$5/1000) - K35*(2*$B$11+$B$12) - E35*$B$13 - F35*$B$14 - F35*$B$11)</t>
  </si>
  <si>
    <t>L35</t>
  </si>
  <si>
    <t>=K35/($B$9 - H35*$AC$9 - K35*(2*$B$11+$B$12) - E35*$B$13 - F35*$B$14 - F35*$B$11)</t>
  </si>
  <si>
    <t>=K35/($B$9*(1-H35*$AC$9*$B$5/1000) - K35*(2*$B$11+$B$12) - E35*$B$13 - F35*$B$14 - F35*$B$11)</t>
  </si>
  <si>
    <t>J36</t>
  </si>
  <si>
    <t>=H36/($B$9 - H36*$AC$9 - K36*(2*$B$11+$B$12) - E36*$B$13 - F36*$B$14 - F36*$B$11)</t>
  </si>
  <si>
    <t>=H36/($B$9*(1-H36*$AC$9*$B$5/1000) - K36*(2*$B$11+$B$12) - E36*$B$13 - F36*$B$14 - F36*$B$11)</t>
  </si>
  <si>
    <t>L36</t>
  </si>
  <si>
    <t>=K36/($B$9 - H36*$AC$9 - K36*(2*$B$11+$B$12) - E36*$B$13 - F36*$B$14 - F36*$B$11)</t>
  </si>
  <si>
    <t>=K36/($B$9*(1-H36*$AC$9*$B$5/1000) - K36*(2*$B$11+$B$12) - E36*$B$13 - F36*$B$14 - F36*$B$11)</t>
  </si>
  <si>
    <t>J37</t>
  </si>
  <si>
    <t>=H37/($B$9 - H37*$AC$9 - K37*(2*$B$11+$B$12) - E37*$B$13 - F37*$B$14 - F37*$B$11)</t>
  </si>
  <si>
    <t>=H37/($B$9*(1-H37*$AC$9*$B$5/1000) - K37*(2*$B$11+$B$12) - E37*$B$13 - F37*$B$14 - F37*$B$11)</t>
  </si>
  <si>
    <t>L37</t>
  </si>
  <si>
    <t>=K37/($B$9 - H37*$AC$9 - K37*(2*$B$11+$B$12) - E37*$B$13 - F37*$B$14 - F37*$B$11)</t>
  </si>
  <si>
    <t>=K37/($B$9*(1-H37*$AC$9*$B$5/1000) - K37*(2*$B$11+$B$12) - E37*$B$13 - F37*$B$14 - F37*$B$11)</t>
  </si>
  <si>
    <t>J38</t>
  </si>
  <si>
    <t>=H38/($B$9 - H38*$AC$9 - K38*(2*$B$11+$B$12) - E38*$B$13 - F38*$B$14 - F38*$B$11)</t>
  </si>
  <si>
    <t>=H38/($B$9*(1-H38*$AC$9*$B$5/1000) - K38*(2*$B$11+$B$12) - E38*$B$13 - F38*$B$14 - F38*$B$11)</t>
  </si>
  <si>
    <t>L38</t>
  </si>
  <si>
    <t>=K38/($B$9 - H38*$AC$9 - K38*(2*$B$11+$B$12) - E38*$B$13 - F38*$B$14 - F38*$B$11)</t>
  </si>
  <si>
    <t>=K38/($B$9*(1-H38*$AC$9*$B$5/1000) - K38*(2*$B$11+$B$12) - E38*$B$13 - F38*$B$14 - F38*$B$11)</t>
  </si>
  <si>
    <t>J39</t>
  </si>
  <si>
    <t>=H39/($B$9 - H39*$AC$9 - K39*(2*$B$11+$B$12) - E39*$B$13 - F39*$B$14 - F39*$B$11)</t>
  </si>
  <si>
    <t>=H39/($B$9*(1-H39*$AC$9*$B$5/1000) - K39*(2*$B$11+$B$12) - E39*$B$13 - F39*$B$14 - F39*$B$11)</t>
  </si>
  <si>
    <t>L39</t>
  </si>
  <si>
    <t>=K39/($B$9 - H39*$AC$9 - K39*(2*$B$11+$B$12) - E39*$B$13 - F39*$B$14 - F39*$B$11)</t>
  </si>
  <si>
    <t>=K39/($B$9*(1-H39*$AC$9*$B$5/1000) - K39*(2*$B$11+$B$12) - E39*$B$13 - F39*$B$14 - F39*$B$11)</t>
  </si>
  <si>
    <t>J40</t>
  </si>
  <si>
    <t>=H40/($B$9 - H40*$AC$10 - K40*(2*$B$11+$B$12) - E40*$B$13 - F40*$B$14 - F40*$B$11)</t>
  </si>
  <si>
    <t>=H40/($B$9*(1-H40*$AC$10*$B$5/1000) - K40*(2*$B$11+$B$12) - E40*$B$13 - F40*$B$14 - F40*$B$11)</t>
  </si>
  <si>
    <t>L40</t>
  </si>
  <si>
    <t>=K40/($B$9 - H40*$AC$10 - K40*(2*$B$11+$B$12) - E40*$B$13 - F40*$B$14 - F40*$B$11)</t>
  </si>
  <si>
    <t>=K40/($B$9*(1-H40*$AC$10*$B$5/1000) - K40*(2*$B$11+$B$12) - E40*$B$13 - F40*$B$14 - F40*$B$11)</t>
  </si>
  <si>
    <t>J41</t>
  </si>
  <si>
    <t>=H41/($B$9 - H41*$AC$10 - K41*(2*$B$11+$B$12) - E41*$B$13 - F41*$B$14 - F41*$B$11)</t>
  </si>
  <si>
    <t>=H41/($B$9*(1-H41*$AC$10*$B$5/1000) - K41*(2*$B$11+$B$12) - E41*$B$13 - F41*$B$14 - F41*$B$11)</t>
  </si>
  <si>
    <t>L41</t>
  </si>
  <si>
    <t>=K41/($B$9 - H41*$AC$10 - K41*(2*$B$11+$B$12) - E41*$B$13 - F41*$B$14 - F41*$B$11)</t>
  </si>
  <si>
    <t>=K41/($B$9*(1-H41*$AC$10*$B$5/1000) - K41*(2*$B$11+$B$12) - E41*$B$13 - F41*$B$14 - F41*$B$11)</t>
  </si>
  <si>
    <t>J42</t>
  </si>
  <si>
    <t>=H42/($B$9 - H42*$AC$10 - K42*(2*$B$11+$B$12) - E42*$B$13 - F42*$B$14 - F42*$B$11)</t>
  </si>
  <si>
    <t>=H42/($B$9*(1-H42*$AC$10*$B$5/1000) - K42*(2*$B$11+$B$12) - E42*$B$13 - F42*$B$14 - F42*$B$11)</t>
  </si>
  <si>
    <t>L42</t>
  </si>
  <si>
    <t>=K42/($B$9 - H42*$AC$10 - K42*(2*$B$11+$B$12) - E42*$B$13 - F42*$B$14 - F42*$B$11)</t>
  </si>
  <si>
    <t>=K42/($B$9*(1-H42*$AC$10*$B$5/1000) - K42*(2*$B$11+$B$12) - E42*$B$13 - F42*$B$14 - F42*$B$11)</t>
  </si>
  <si>
    <t>J43</t>
  </si>
  <si>
    <t>=H43/($B$9 - H43*$AC$10 - K43*(2*$B$11+$B$12) - E43*$B$13 - F43*$B$14 - F43*$B$11)</t>
  </si>
  <si>
    <t>=H43/($B$9*(1-H43*$AC$10*$B$5/1000) - K43*(2*$B$11+$B$12) - E43*$B$13 - F43*$B$14 - F43*$B$11)</t>
  </si>
  <si>
    <t>L43</t>
  </si>
  <si>
    <t>=K43/($B$9 - H43*$AC$10 - K43*(2*$B$11+$B$12) - E43*$B$13 - F43*$B$14 - F43*$B$11)</t>
  </si>
  <si>
    <t>=K43/($B$9*(1-H43*$AC$10*$B$5/1000) - K43*(2*$B$11+$B$12) - E43*$B$13 - F43*$B$14 - F43*$B$11)</t>
  </si>
  <si>
    <t>J44</t>
  </si>
  <si>
    <t>=H44/($B$9 - H44*$AC$10 - K44*(2*$B$11+$B$12) - E44*$B$13 - F44*$B$14 - F44*$B$11)</t>
  </si>
  <si>
    <t>=H44/($B$9*(1-H44*$AC$10*$B$5/1000) - K44*(2*$B$11+$B$12) - E44*$B$13 - F44*$B$14 - F44*$B$11)</t>
  </si>
  <si>
    <t>L44</t>
  </si>
  <si>
    <t>=K44/($B$9 - H44*$AC$10 - K44*(2*$B$11+$B$12) - E44*$B$13 - F44*$B$14 - F44*$B$11)</t>
  </si>
  <si>
    <t>=K44/($B$9*(1-H44*$AC$10*$B$5/1000) - K44*(2*$B$11+$B$12) - E44*$B$13 - F44*$B$14 - F44*$B$11)</t>
  </si>
  <si>
    <t>J45</t>
  </si>
  <si>
    <t>=H45/($B$9 - H45*$AC$10 - K45*(2*$B$11+$B$12) - E45*$B$13 - F45*$B$14 - F45*$B$11)</t>
  </si>
  <si>
    <t>=H45/($B$9*(1-H45*$AC$10*$B$5/1000) - K45*(2*$B$11+$B$12) - E45*$B$13 - F45*$B$14 - F45*$B$11)</t>
  </si>
  <si>
    <t>L45</t>
  </si>
  <si>
    <t>=K45/($B$9 - H45*$AC$10 - K45*(2*$B$11+$B$12) - E45*$B$13 - F45*$B$14 - F45*$B$11)</t>
  </si>
  <si>
    <t>=K45/($B$9*(1-H45*$AC$10*$B$5/1000) - K45*(2*$B$11+$B$12) - E45*$B$13 - F45*$B$14 - F45*$B$11)</t>
  </si>
  <si>
    <t>J46</t>
  </si>
  <si>
    <t>=H46/($B$9 - H46*$AC$11 - K46*(2*$B$11+$B$12) - E46*$B$13 - F46*$B$14 - F46*$B$11)</t>
  </si>
  <si>
    <t>=H46/($B$9*(1-H46*$AC$11*$B$5/1000) - K46*(2*$B$11+$B$12) - E46*$B$13 - F46*$B$14 - F46*$B$11)</t>
  </si>
  <si>
    <t>L46</t>
  </si>
  <si>
    <t>=K46/($B$9 - H46*$AC$11 - K46*(2*$B$11+$B$12) - E46*$B$13 - F46*$B$14 - F46*$B$11)</t>
  </si>
  <si>
    <t>=K46/($B$9*(1-H46*$AC$11*$B$5/1000) - K46*(2*$B$11+$B$12) - E46*$B$13 - F46*$B$14 - F46*$B$11)</t>
  </si>
  <si>
    <t>J47</t>
  </si>
  <si>
    <t>=H47/($B$9 - H47*$AC$11 - K47*(2*$B$11+$B$12) - E47*$B$13 - F47*$B$14 - F47*$B$11)</t>
  </si>
  <si>
    <t>=H47/($B$9*(1-H47*$AC$11*$B$5/1000) - K47*(2*$B$11+$B$12) - E47*$B$13 - F47*$B$14 - F47*$B$11)</t>
  </si>
  <si>
    <t>L47</t>
  </si>
  <si>
    <t>=K47/($B$9 - H47*$AC$11 - K47*(2*$B$11+$B$12) - E47*$B$13 - F47*$B$14 - F47*$B$11)</t>
  </si>
  <si>
    <t>=K47/($B$9*(1-H47*$AC$11*$B$5/1000) - K47*(2*$B$11+$B$12) - E47*$B$13 - F47*$B$14 - F47*$B$11)</t>
  </si>
  <si>
    <t>J48</t>
  </si>
  <si>
    <t>=H48/($B$9 - H48*$AC$11 - K48*(2*$B$11+$B$12) - E48*$B$13 - F48*$B$14 - F48*$B$11)</t>
  </si>
  <si>
    <t>=H48/($B$9*(1-H48*$AC$11*$B$5/1000) - K48*(2*$B$11+$B$12) - E48*$B$13 - F48*$B$14 - F48*$B$11)</t>
  </si>
  <si>
    <t>L48</t>
  </si>
  <si>
    <t>=K48/($B$9 - H48*$AC$11 - K48*(2*$B$11+$B$12) - E48*$B$13 - F48*$B$14 - F48*$B$11)</t>
  </si>
  <si>
    <t>=K48/($B$9*(1-H48*$AC$11*$B$5/1000) - K48*(2*$B$11+$B$12) - E48*$B$13 - F48*$B$14 - F48*$B$11)</t>
  </si>
  <si>
    <t>J49</t>
  </si>
  <si>
    <t>=H49/($B$9 - H49*$AC$11 - K49*(2*$B$11+$B$12) - E49*$B$13 - F49*$B$14 - F49*$B$11)</t>
  </si>
  <si>
    <t>=H49/($B$9*(1-H49*$AC$11*$B$5/1000) - K49*(2*$B$11+$B$12) - E49*$B$13 - F49*$B$14 - F49*$B$11)</t>
  </si>
  <si>
    <t>L49</t>
  </si>
  <si>
    <t>=K49/($B$9 - H49*$AC$11 - K49*(2*$B$11+$B$12) - E49*$B$13 - F49*$B$14 - F49*$B$11)</t>
  </si>
  <si>
    <t>=K49/($B$9*(1-H49*$AC$11*$B$5/1000) - K49*(2*$B$11+$B$12) - E49*$B$13 - F49*$B$14 - F49*$B$11)</t>
  </si>
  <si>
    <t>J50</t>
  </si>
  <si>
    <t>=H50/($B$9 - H50*$AC$11 - K50*(2*$B$11+$B$12) - E50*$B$13 - F50*$B$14 - F50*$B$11)</t>
  </si>
  <si>
    <t>=H50/($B$9*(1-H50*$AC$11*$B$5/1000) - K50*(2*$B$11+$B$12) - E50*$B$13 - F50*$B$14 - F50*$B$11)</t>
  </si>
  <si>
    <t>L50</t>
  </si>
  <si>
    <t>=K50/($B$9 - H50*$AC$11 - K50*(2*$B$11+$B$12) - E50*$B$13 - F50*$B$14 - F50*$B$11)</t>
  </si>
  <si>
    <t>=K50/($B$9*(1-H50*$AC$11*$B$5/1000) - K50*(2*$B$11+$B$12) - E50*$B$13 - F50*$B$14 - F50*$B$11)</t>
  </si>
  <si>
    <t>J51</t>
  </si>
  <si>
    <t>=H51/($B$9 - H51*$AC$11 - K51*(2*$B$11+$B$12) - E51*$B$13 - F51*$B$14 - F51*$B$11)</t>
  </si>
  <si>
    <t>=H51/($B$9*(1-H51*$AC$11*$B$5/1000) - K51*(2*$B$11+$B$12) - E51*$B$13 - F51*$B$14 - F51*$B$11)</t>
  </si>
  <si>
    <t>L51</t>
  </si>
  <si>
    <t>=K51/($B$9 - H51*$AC$11 - K51*(2*$B$11+$B$12) - E51*$B$13 - F51*$B$14 - F51*$B$11)</t>
  </si>
  <si>
    <t>=K51/($B$9*(1-H51*$AC$11*$B$5/1000) - K51*(2*$B$11+$B$12) - E51*$B$13 - F51*$B$14 - F51*$B$11)</t>
  </si>
  <si>
    <t>=(3*K4)/($B$9*(1-H4*$AC$4*$B$5/1000) - K4*(2*$B$11+$B$12) - E4*$B$13 - F4*$B$14 - 0.5*E4*$B$12)</t>
  </si>
  <si>
    <t>Donnan term (equation 10): ionic strength (molal) instead of salt molality, which generalises the 1:1 expression to multivalent electrolytes</t>
  </si>
  <si>
    <t>=(3*K5)/($B$9*(1-H5*$AC$4*$B$5/1000) - K5*(2*$B$11+$B$12) - E5*$B$13 - F5*$B$14 - 0.5*E5*$B$12)</t>
  </si>
  <si>
    <t>=(3*K6)/($B$9*(1-H6*$AC$4*$B$5/1000) - K6*(2*$B$11+$B$12) - E6*$B$13 - F6*$B$14 - 0.5*E6*$B$12)</t>
  </si>
  <si>
    <t>=(3*K7)/($B$9*(1-H7*$AC$4*$B$5/1000) - K7*(2*$B$11+$B$12) - E7*$B$13 - F7*$B$14 - 0.5*E7*$B$12)</t>
  </si>
  <si>
    <t>=(3*K8)/($B$9*(1-H8*$AC$4*$B$5/1000) - K8*(2*$B$11+$B$12) - E8*$B$13 - F8*$B$14 - 0.5*E8*$B$12)</t>
  </si>
  <si>
    <t>=(3*K9)/($B$9*(1-H9*$AC$4*$B$5/1000) - K9*(2*$B$11+$B$12) - E9*$B$13 - F9*$B$14 - 0.5*E9*$B$12)</t>
  </si>
  <si>
    <t>=(3*K10)/($B$9*(1-H10*$AC$5*$B$5/1000) - K10*(2*$B$11+$B$12) - E10*$B$13 - F10*$B$14 - 0.5*E10*$B$12)</t>
  </si>
  <si>
    <t>=(3*K11)/($B$9*(1-H11*$AC$5*$B$5/1000) - K11*(2*$B$11+$B$12) - E11*$B$13 - F11*$B$14 - 0.5*E11*$B$12)</t>
  </si>
  <si>
    <t>=(3*K12)/($B$9*(1-H12*$AC$5*$B$5/1000) - K12*(2*$B$11+$B$12) - E12*$B$13 - F12*$B$14 - 0.5*E12*$B$12)</t>
  </si>
  <si>
    <t>=(3*K13)/($B$9*(1-H13*$AC$5*$B$5/1000) - K13*(2*$B$11+$B$12) - E13*$B$13 - F13*$B$14 - 0.5*E13*$B$12)</t>
  </si>
  <si>
    <t>=(3*K14)/($B$9*(1-H14*$AC$5*$B$5/1000) - K14*(2*$B$11+$B$12) - E14*$B$13 - F14*$B$14 - 0.5*E14*$B$12)</t>
  </si>
  <si>
    <t>=(3*K15)/($B$9*(1-H15*$AC$5*$B$5/1000) - K15*(2*$B$11+$B$12) - E15*$B$13 - F15*$B$14 - 0.5*E15*$B$12)</t>
  </si>
  <si>
    <t>=(3*K16)/($B$9*(1-H16*$AC$6*$B$5/1000) - K16*(2*$B$11+$B$12) - E16*$B$13 - F16*$B$14 - 0.5*E16*$B$12)</t>
  </si>
  <si>
    <t>=(3*K17)/($B$9*(1-H17*$AC$6*$B$5/1000) - K17*(2*$B$11+$B$12) - E17*$B$13 - F17*$B$14 - 0.5*E17*$B$12)</t>
  </si>
  <si>
    <t>=(3*K18)/($B$9*(1-H18*$AC$6*$B$5/1000) - K18*(2*$B$11+$B$12) - E18*$B$13 - F18*$B$14 - 0.5*E18*$B$12)</t>
  </si>
  <si>
    <t>=(3*K19)/($B$9*(1-H19*$AC$6*$B$5/1000) - K19*(2*$B$11+$B$12) - E19*$B$13 - F19*$B$14 - 0.5*E19*$B$12)</t>
  </si>
  <si>
    <t>=(3*K20)/($B$9*(1-H20*$AC$6*$B$5/1000) - K20*(2*$B$11+$B$12) - E20*$B$13 - F20*$B$14 - 0.5*E20*$B$12)</t>
  </si>
  <si>
    <t>=(3*K21)/($B$9*(1-H21*$AC$6*$B$5/1000) - K21*(2*$B$11+$B$12) - E21*$B$13 - F21*$B$14 - 0.5*E21*$B$12)</t>
  </si>
  <si>
    <t>=(3*K22)/($B$9*(1-H22*$AC$7*$B$5/1000) - K22*(2*$B$11+$B$12) - E22*$B$13 - F22*$B$14 - F22*$B$11)</t>
  </si>
  <si>
    <t>=(3*K23)/($B$9*(1-H23*$AC$7*$B$5/1000) - K23*(2*$B$11+$B$12) - E23*$B$13 - F23*$B$14 - F23*$B$11)</t>
  </si>
  <si>
    <t>=(3*K24)/($B$9*(1-H24*$AC$7*$B$5/1000) - K24*(2*$B$11+$B$12) - E24*$B$13 - F24*$B$14 - F24*$B$11)</t>
  </si>
  <si>
    <t>=(3*K25)/($B$9*(1-H25*$AC$7*$B$5/1000) - K25*(2*$B$11+$B$12) - E25*$B$13 - F25*$B$14 - F25*$B$11)</t>
  </si>
  <si>
    <t>=(3*K26)/($B$9*(1-H26*$AC$7*$B$5/1000) - K26*(2*$B$11+$B$12) - E26*$B$13 - F26*$B$14 - F26*$B$11)</t>
  </si>
  <si>
    <t>=(3*K27)/($B$9*(1-H27*$AC$7*$B$5/1000) - K27*(2*$B$11+$B$12) - E27*$B$13 - F27*$B$14 - F27*$B$11)</t>
  </si>
  <si>
    <t>=(3*K28)/($B$9*(1-H28*$AC$8*$B$5/1000) - K28*(2*$B$11+$B$12) - E28*$B$13 - F28*$B$14 - F28*$B$11)</t>
  </si>
  <si>
    <t>=(3*K29)/($B$9*(1-H29*$AC$8*$B$5/1000) - K29*(2*$B$11+$B$12) - E29*$B$13 - F29*$B$14 - F29*$B$11)</t>
  </si>
  <si>
    <t>=(3*K30)/($B$9*(1-H30*$AC$8*$B$5/1000) - K30*(2*$B$11+$B$12) - E30*$B$13 - F30*$B$14 - F30*$B$11)</t>
  </si>
  <si>
    <t>=(3*K31)/($B$9*(1-H31*$AC$8*$B$5/1000) - K31*(2*$B$11+$B$12) - E31*$B$13 - F31*$B$14 - F31*$B$11)</t>
  </si>
  <si>
    <t>=(3*K32)/($B$9*(1-H32*$AC$8*$B$5/1000) - K32*(2*$B$11+$B$12) - E32*$B$13 - F32*$B$14 - F32*$B$11)</t>
  </si>
  <si>
    <t>=(3*K33)/($B$9*(1-H33*$AC$8*$B$5/1000) - K33*(2*$B$11+$B$12) - E33*$B$13 - F33*$B$14 - F33*$B$11)</t>
  </si>
  <si>
    <t>=(3*K34)/($B$9*(1-H34*$AC$9*$B$5/1000) - K34*(2*$B$11+$B$12) - E34*$B$13 - F34*$B$14 - F34*$B$11)</t>
  </si>
  <si>
    <t>=(3*K35)/($B$9*(1-H35*$AC$9*$B$5/1000) - K35*(2*$B$11+$B$12) - E35*$B$13 - F35*$B$14 - F35*$B$11)</t>
  </si>
  <si>
    <t>=(3*K36)/($B$9*(1-H36*$AC$9*$B$5/1000) - K36*(2*$B$11+$B$12) - E36*$B$13 - F36*$B$14 - F36*$B$11)</t>
  </si>
  <si>
    <t>=(3*K37)/($B$9*(1-H37*$AC$9*$B$5/1000) - K37*(2*$B$11+$B$12) - E37*$B$13 - F37*$B$14 - F37*$B$11)</t>
  </si>
  <si>
    <t>=(3*K38)/($B$9*(1-H38*$AC$9*$B$5/1000) - K38*(2*$B$11+$B$12) - E38*$B$13 - F38*$B$14 - F38*$B$11)</t>
  </si>
  <si>
    <t>=(3*K39)/($B$9*(1-H39*$AC$9*$B$5/1000) - K39*(2*$B$11+$B$12) - E39*$B$13 - F39*$B$14 - F39*$B$11)</t>
  </si>
  <si>
    <t>=(3*K40)/($B$9*(1-H40*$AC$10*$B$5/1000) - K40*(2*$B$11+$B$12) - E40*$B$13 - F40*$B$14 - F40*$B$11)</t>
  </si>
  <si>
    <t>=(3*K41)/($B$9*(1-H41*$AC$10*$B$5/1000) - K41*(2*$B$11+$B$12) - E41*$B$13 - F41*$B$14 - F41*$B$11)</t>
  </si>
  <si>
    <t>=(3*K42)/($B$9*(1-H42*$AC$10*$B$5/1000) - K42*(2*$B$11+$B$12) - E42*$B$13 - F42*$B$14 - F42*$B$11)</t>
  </si>
  <si>
    <t>=(3*K43)/($B$9*(1-H43*$AC$10*$B$5/1000) - K43*(2*$B$11+$B$12) - E43*$B$13 - F43*$B$14 - F43*$B$11)</t>
  </si>
  <si>
    <t>=(3*K44)/($B$9*(1-H44*$AC$10*$B$5/1000) - K44*(2*$B$11+$B$12) - E44*$B$13 - F44*$B$14 - F44*$B$11)</t>
  </si>
  <si>
    <t>=(3*K45)/($B$9*(1-H45*$AC$10*$B$5/1000) - K45*(2*$B$11+$B$12) - E45*$B$13 - F45*$B$14 - F45*$B$11)</t>
  </si>
  <si>
    <t>=(3*K46)/($B$9*(1-H46*$AC$11*$B$5/1000) - K46*(2*$B$11+$B$12) - E46*$B$13 - F46*$B$14 - F46*$B$11)</t>
  </si>
  <si>
    <t>=(3*K47)/($B$9*(1-H47*$AC$11*$B$5/1000) - K47*(2*$B$11+$B$12) - E47*$B$13 - F47*$B$14 - F47*$B$11)</t>
  </si>
  <si>
    <t>=(3*K48)/($B$9*(1-H48*$AC$11*$B$5/1000) - K48*(2*$B$11+$B$12) - E48*$B$13 - F48*$B$14 - F48*$B$11)</t>
  </si>
  <si>
    <t>=(3*K49)/($B$9*(1-H49*$AC$11*$B$5/1000) - K49*(2*$B$11+$B$12) - E49*$B$13 - F49*$B$14 - F49*$B$11)</t>
  </si>
  <si>
    <t>=(3*K50)/($B$9*(1-H50*$AC$11*$B$5/1000) - K50*(2*$B$11+$B$12) - E50*$B$13 - F50*$B$14 - F50*$B$11)</t>
  </si>
  <si>
    <t>=(3*K51)/($B$9*(1-H51*$AC$11*$B$5/1000) - K51*(2*$B$11+$B$12) - E51*$B$13 - F51*$B$14 - F51*$B$11)</t>
  </si>
  <si>
    <t>L3</t>
  </si>
  <si>
    <t>mBuffer (mol/g)</t>
  </si>
  <si>
    <t>header</t>
  </si>
  <si>
    <t>X4</t>
  </si>
  <si>
    <t>=V4*$B$9*18.01528/($B$9*18.01528 + H4+E4+F4+K4)</t>
  </si>
  <si>
    <t>=V4</t>
  </si>
  <si>
    <t>the original "molar" conversion equals gamma_m to within 1e-4; the column now states that it holds the molal value</t>
  </si>
  <si>
    <t>Y4</t>
  </si>
  <si>
    <t>=W4*$B$9*18.01528/($B$9*18.01528 + H4+E4+F4+K4)</t>
  </si>
  <si>
    <t>=W4</t>
  </si>
  <si>
    <t>X5</t>
  </si>
  <si>
    <t>=V5*$B$9*18.01528/($B$9*18.01528 + H5+E5+F5+K5)</t>
  </si>
  <si>
    <t>=V5</t>
  </si>
  <si>
    <t>Y5</t>
  </si>
  <si>
    <t>=W5*$B$9*18.01528/($B$9*18.01528 + H5+E5+F5+K5)</t>
  </si>
  <si>
    <t>=W5</t>
  </si>
  <si>
    <t>X6</t>
  </si>
  <si>
    <t>=V6*$B$9*18.01528/($B$9*18.01528 + H6+E6+F6+K6)</t>
  </si>
  <si>
    <t>=V6</t>
  </si>
  <si>
    <t>Y6</t>
  </si>
  <si>
    <t>=W6*$B$9*18.01528/($B$9*18.01528 + H6+E6+F6+K6)</t>
  </si>
  <si>
    <t>=W6</t>
  </si>
  <si>
    <t>X7</t>
  </si>
  <si>
    <t>=V7*$B$9*18.01528/($B$9*18.01528 + H7+E7+F7+K7)</t>
  </si>
  <si>
    <t>=V7</t>
  </si>
  <si>
    <t>Y7</t>
  </si>
  <si>
    <t>=W7*$B$9*18.01528/($B$9*18.01528 + H7+E7+F7+K7)</t>
  </si>
  <si>
    <t>=W7</t>
  </si>
  <si>
    <t>X8</t>
  </si>
  <si>
    <t>=V8*$B$9*18.01528/($B$9*18.01528 + H8+E8+F8+K8)</t>
  </si>
  <si>
    <t>=V8</t>
  </si>
  <si>
    <t>Y8</t>
  </si>
  <si>
    <t>=W8*$B$9*18.01528/($B$9*18.01528 + H8+E8+F8+K8)</t>
  </si>
  <si>
    <t>=W8</t>
  </si>
  <si>
    <t>X9</t>
  </si>
  <si>
    <t>=V9*$B$9*18.01528/($B$9*18.01528 + H9+E9+F9+K9)</t>
  </si>
  <si>
    <t>=V9</t>
  </si>
  <si>
    <t>Y9</t>
  </si>
  <si>
    <t>=W9*$B$9*18.01528/($B$9*18.01528 + H9+E9+F9+K9)</t>
  </si>
  <si>
    <t>=W9</t>
  </si>
  <si>
    <t>X10</t>
  </si>
  <si>
    <t>=V10*$B$9*18.01528/($B$9*18.01528 + H10+E10+F10+K10)</t>
  </si>
  <si>
    <t>=V10</t>
  </si>
  <si>
    <t>Y10</t>
  </si>
  <si>
    <t>=W10*$B$9*18.01528/($B$9*18.01528 + H10+E10+F10+K10)</t>
  </si>
  <si>
    <t>=W10</t>
  </si>
  <si>
    <t>X11</t>
  </si>
  <si>
    <t>=V11*$B$9*18.01528/($B$9*18.01528 + H11+E11+F11+K11)</t>
  </si>
  <si>
    <t>=V11</t>
  </si>
  <si>
    <t>Y11</t>
  </si>
  <si>
    <t>=W11*$B$9*18.01528/($B$9*18.01528 + H11+E11+F11+K11)</t>
  </si>
  <si>
    <t>=W11</t>
  </si>
  <si>
    <t>X12</t>
  </si>
  <si>
    <t>=V12*$B$9*18.01528/($B$9*18.01528 + H12+E12+F12+K12)</t>
  </si>
  <si>
    <t>=V12</t>
  </si>
  <si>
    <t>Y12</t>
  </si>
  <si>
    <t>=W12*$B$9*18.01528/($B$9*18.01528 + H12+E12+F12+K12)</t>
  </si>
  <si>
    <t>=W12</t>
  </si>
  <si>
    <t>X13</t>
  </si>
  <si>
    <t>=V13*$B$9*18.01528/($B$9*18.01528 + H13+E13+F13+K13)</t>
  </si>
  <si>
    <t>=V13</t>
  </si>
  <si>
    <t>Y13</t>
  </si>
  <si>
    <t>=W13*$B$9*18.01528/($B$9*18.01528 + H13+E13+F13+K13)</t>
  </si>
  <si>
    <t>=W13</t>
  </si>
  <si>
    <t>X14</t>
  </si>
  <si>
    <t>=V14*$B$9*18.01528/($B$9*18.01528 + H14+E14+F14+K14)</t>
  </si>
  <si>
    <t>=V14</t>
  </si>
  <si>
    <t>Y14</t>
  </si>
  <si>
    <t>=W14*$B$9*18.01528/($B$9*18.01528 + H14+E14+F14+K14)</t>
  </si>
  <si>
    <t>=W14</t>
  </si>
  <si>
    <t>X15</t>
  </si>
  <si>
    <t>=V15*$B$9*18.01528/($B$9*18.01528 + H15+E15+F15+K15)</t>
  </si>
  <si>
    <t>=V15</t>
  </si>
  <si>
    <t>Y15</t>
  </si>
  <si>
    <t>=W15*$B$9*18.01528/($B$9*18.01528 + H15+E15+F15+K15)</t>
  </si>
  <si>
    <t>=W15</t>
  </si>
  <si>
    <t>X16</t>
  </si>
  <si>
    <t>=V16*$B$9*18.01528/($B$9*18.01528 + H16+E16+F16+K16)</t>
  </si>
  <si>
    <t>=V16</t>
  </si>
  <si>
    <t>Y16</t>
  </si>
  <si>
    <t>=W16*$B$9*18.01528/($B$9*18.01528 + H16+E16+F16+K16)</t>
  </si>
  <si>
    <t>=W16</t>
  </si>
  <si>
    <t>X17</t>
  </si>
  <si>
    <t>=V17*$B$9*18.01528/($B$9*18.01528 + H17+E17+F17+K17)</t>
  </si>
  <si>
    <t>=V17</t>
  </si>
  <si>
    <t>Y17</t>
  </si>
  <si>
    <t>=W17*$B$9*18.01528/($B$9*18.01528 + H17+E17+F17+K17)</t>
  </si>
  <si>
    <t>=W17</t>
  </si>
  <si>
    <t>X18</t>
  </si>
  <si>
    <t>=V18*$B$9*18.01528/($B$9*18.01528 + H18+E18+F18+K18)</t>
  </si>
  <si>
    <t>=V18</t>
  </si>
  <si>
    <t>Y18</t>
  </si>
  <si>
    <t>=W18*$B$9*18.01528/($B$9*18.01528 + H18+E18+F18+K18)</t>
  </si>
  <si>
    <t>=W18</t>
  </si>
  <si>
    <t>X19</t>
  </si>
  <si>
    <t>=V19*$B$9*18.01528/($B$9*18.01528 + H19+E19+F19+K19)</t>
  </si>
  <si>
    <t>=V19</t>
  </si>
  <si>
    <t>Y19</t>
  </si>
  <si>
    <t>=W19*$B$9*18.01528/($B$9*18.01528 + H19+E19+F19+K19)</t>
  </si>
  <si>
    <t>=W19</t>
  </si>
  <si>
    <t>X20</t>
  </si>
  <si>
    <t>=V20*$B$9*18.01528/($B$9*18.01528 + H20+E20+F20+K20)</t>
  </si>
  <si>
    <t>=V20</t>
  </si>
  <si>
    <t>Y20</t>
  </si>
  <si>
    <t>=W20*$B$9*18.01528/($B$9*18.01528 + H20+E20+F20+K20)</t>
  </si>
  <si>
    <t>=W20</t>
  </si>
  <si>
    <t>X21</t>
  </si>
  <si>
    <t>=V21*$B$9*18.01528/($B$9*18.01528 + H21+E21+F21+K21)</t>
  </si>
  <si>
    <t>=V21</t>
  </si>
  <si>
    <t>Y21</t>
  </si>
  <si>
    <t>=W21*$B$9*18.01528/($B$9*18.01528 + H21+E21+F21+K21)</t>
  </si>
  <si>
    <t>=W21</t>
  </si>
  <si>
    <t>X22</t>
  </si>
  <si>
    <t>=V22*$B$9*18.01528/($B$9*18.01528 + H22+E22+F22+K22)</t>
  </si>
  <si>
    <t>=V22</t>
  </si>
  <si>
    <t>Y22</t>
  </si>
  <si>
    <t>=W22*$B$9*18.01528/($B$9*18.01528 + H22+E22+F22+K22)</t>
  </si>
  <si>
    <t>=W22</t>
  </si>
  <si>
    <t>X23</t>
  </si>
  <si>
    <t>=V23*$B$9*18.01528/($B$9*18.01528 + H23+E23+F23+K23)</t>
  </si>
  <si>
    <t>=V23</t>
  </si>
  <si>
    <t>Y23</t>
  </si>
  <si>
    <t>=W23*$B$9*18.01528/($B$9*18.01528 + H23+E23+F23+K23)</t>
  </si>
  <si>
    <t>=W23</t>
  </si>
  <si>
    <t>X24</t>
  </si>
  <si>
    <t>=V24*$B$9*18.01528/($B$9*18.01528 + H24+E24+F24+K24)</t>
  </si>
  <si>
    <t>=V24</t>
  </si>
  <si>
    <t>Y24</t>
  </si>
  <si>
    <t>=W24*$B$9*18.01528/($B$9*18.01528 + H24+E24+F24+K24)</t>
  </si>
  <si>
    <t>=W24</t>
  </si>
  <si>
    <t>X25</t>
  </si>
  <si>
    <t>=V25*$B$9*18.01528/($B$9*18.01528 + H25+E25+F25+K25)</t>
  </si>
  <si>
    <t>=V25</t>
  </si>
  <si>
    <t>Y25</t>
  </si>
  <si>
    <t>=W25*$B$9*18.01528/($B$9*18.01528 + H25+E25+F25+K25)</t>
  </si>
  <si>
    <t>=W25</t>
  </si>
  <si>
    <t>X26</t>
  </si>
  <si>
    <t>=V26*$B$9*18.01528/($B$9*18.01528 + H26+E26+F26+K26)</t>
  </si>
  <si>
    <t>=V26</t>
  </si>
  <si>
    <t>Y26</t>
  </si>
  <si>
    <t>=W26*$B$9*18.01528/($B$9*18.01528 + H26+E26+F26+K26)</t>
  </si>
  <si>
    <t>=W26</t>
  </si>
  <si>
    <t>X27</t>
  </si>
  <si>
    <t>=V27*$B$9*18.01528/($B$9*18.01528 + H27+E27+F27+K27)</t>
  </si>
  <si>
    <t>=V27</t>
  </si>
  <si>
    <t>Y27</t>
  </si>
  <si>
    <t>=W27*$B$9*18.01528/($B$9*18.01528 + H27+E27+F27+K27)</t>
  </si>
  <si>
    <t>=W27</t>
  </si>
  <si>
    <t>X28</t>
  </si>
  <si>
    <t>=V28*$B$9*18.01528/($B$9*18.01528 + H28+E28+F28+K28)</t>
  </si>
  <si>
    <t>=V28</t>
  </si>
  <si>
    <t>Y28</t>
  </si>
  <si>
    <t>=W28*$B$9*18.01528/($B$9*18.01528 + H28+E28+F28+K28)</t>
  </si>
  <si>
    <t>=W28</t>
  </si>
  <si>
    <t>X29</t>
  </si>
  <si>
    <t>=V29*$B$9*18.01528/($B$9*18.01528 + H29+E29+F29+K29)</t>
  </si>
  <si>
    <t>=V29</t>
  </si>
  <si>
    <t>Y29</t>
  </si>
  <si>
    <t>=W29*$B$9*18.01528/($B$9*18.01528 + H29+E29+F29+K29)</t>
  </si>
  <si>
    <t>=W29</t>
  </si>
  <si>
    <t>X30</t>
  </si>
  <si>
    <t>=V30*$B$9*18.01528/($B$9*18.01528 + H30+E30+F30+K30)</t>
  </si>
  <si>
    <t>=V30</t>
  </si>
  <si>
    <t>Y30</t>
  </si>
  <si>
    <t>=W30*$B$9*18.01528/($B$9*18.01528 + H30+E30+F30+K30)</t>
  </si>
  <si>
    <t>=W30</t>
  </si>
  <si>
    <t>X31</t>
  </si>
  <si>
    <t>=V31*$B$9*18.01528/($B$9*18.01528 + H31+E31+F31+K31)</t>
  </si>
  <si>
    <t>=V31</t>
  </si>
  <si>
    <t>Y31</t>
  </si>
  <si>
    <t>=W31*$B$9*18.01528/($B$9*18.01528 + H31+E31+F31+K31)</t>
  </si>
  <si>
    <t>=W31</t>
  </si>
  <si>
    <t>X32</t>
  </si>
  <si>
    <t>=V32*$B$9*18.01528/($B$9*18.01528 + H32+E32+F32+K32)</t>
  </si>
  <si>
    <t>=V32</t>
  </si>
  <si>
    <t>Y32</t>
  </si>
  <si>
    <t>=W32*$B$9*18.01528/($B$9*18.01528 + H32+E32+F32+K32)</t>
  </si>
  <si>
    <t>=W32</t>
  </si>
  <si>
    <t>X33</t>
  </si>
  <si>
    <t>=V33*$B$9*18.01528/($B$9*18.01528 + H33+E33+F33+K33)</t>
  </si>
  <si>
    <t>=V33</t>
  </si>
  <si>
    <t>Y33</t>
  </si>
  <si>
    <t>=W33*$B$9*18.01528/($B$9*18.01528 + H33+E33+F33+K33)</t>
  </si>
  <si>
    <t>=W33</t>
  </si>
  <si>
    <t>X34</t>
  </si>
  <si>
    <t>=V34*$B$9*18.01528/($B$9*18.01528 + H34+E34+F34+K34)</t>
  </si>
  <si>
    <t>=V34</t>
  </si>
  <si>
    <t>Y34</t>
  </si>
  <si>
    <t>=W34*$B$9*18.01528/($B$9*18.01528 + H34+E34+F34+K34)</t>
  </si>
  <si>
    <t>=W34</t>
  </si>
  <si>
    <t>X35</t>
  </si>
  <si>
    <t>=V35*$B$9*18.01528/($B$9*18.01528 + H35+E35+F35+K35)</t>
  </si>
  <si>
    <t>=V35</t>
  </si>
  <si>
    <t>Y35</t>
  </si>
  <si>
    <t>=W35*$B$9*18.01528/($B$9*18.01528 + H35+E35+F35+K35)</t>
  </si>
  <si>
    <t>=W35</t>
  </si>
  <si>
    <t>X36</t>
  </si>
  <si>
    <t>=V36*$B$9*18.01528/($B$9*18.01528 + H36+E36+F36+K36)</t>
  </si>
  <si>
    <t>=V36</t>
  </si>
  <si>
    <t>Y36</t>
  </si>
  <si>
    <t>=W36*$B$9*18.01528/($B$9*18.01528 + H36+E36+F36+K36)</t>
  </si>
  <si>
    <t>=W36</t>
  </si>
  <si>
    <t>X37</t>
  </si>
  <si>
    <t>=V37*$B$9*18.01528/($B$9*18.01528 + H37+E37+F37+K37)</t>
  </si>
  <si>
    <t>=V37</t>
  </si>
  <si>
    <t>Y37</t>
  </si>
  <si>
    <t>=W37*$B$9*18.01528/($B$9*18.01528 + H37+E37+F37+K37)</t>
  </si>
  <si>
    <t>=W37</t>
  </si>
  <si>
    <t>X38</t>
  </si>
  <si>
    <t>=V38*$B$9*18.01528/($B$9*18.01528 + H38+E38+F38+K38)</t>
  </si>
  <si>
    <t>=V38</t>
  </si>
  <si>
    <t>Y38</t>
  </si>
  <si>
    <t>=W38*$B$9*18.01528/($B$9*18.01528 + H38+E38+F38+K38)</t>
  </si>
  <si>
    <t>=W38</t>
  </si>
  <si>
    <t>X39</t>
  </si>
  <si>
    <t>=V39*$B$9*18.01528/($B$9*18.01528 + H39+E39+F39+K39)</t>
  </si>
  <si>
    <t>=V39</t>
  </si>
  <si>
    <t>Y39</t>
  </si>
  <si>
    <t>=W39*$B$9*18.01528/($B$9*18.01528 + H39+E39+F39+K39)</t>
  </si>
  <si>
    <t>=W39</t>
  </si>
  <si>
    <t>X40</t>
  </si>
  <si>
    <t>=V40*$B$9*18.01528/($B$9*18.01528 + H40+E40+F40+K40)</t>
  </si>
  <si>
    <t>=V40</t>
  </si>
  <si>
    <t>Y40</t>
  </si>
  <si>
    <t>=W40*$B$9*18.01528/($B$9*18.01528 + H40+E40+F40+K40)</t>
  </si>
  <si>
    <t>=W40</t>
  </si>
  <si>
    <t>X41</t>
  </si>
  <si>
    <t>=V41*$B$9*18.01528/($B$9*18.01528 + H41+E41+F41+K41)</t>
  </si>
  <si>
    <t>=V41</t>
  </si>
  <si>
    <t>Y41</t>
  </si>
  <si>
    <t>=W41*$B$9*18.01528/($B$9*18.01528 + H41+E41+F41+K41)</t>
  </si>
  <si>
    <t>=W41</t>
  </si>
  <si>
    <t>X42</t>
  </si>
  <si>
    <t>=V42*$B$9*18.01528/($B$9*18.01528 + H42+E42+F42+K42)</t>
  </si>
  <si>
    <t>=V42</t>
  </si>
  <si>
    <t>Y42</t>
  </si>
  <si>
    <t>=W42*$B$9*18.01528/($B$9*18.01528 + H42+E42+F42+K42)</t>
  </si>
  <si>
    <t>=W42</t>
  </si>
  <si>
    <t>X43</t>
  </si>
  <si>
    <t>=V43*$B$9*18.01528/($B$9*18.01528 + H43+E43+F43+K43)</t>
  </si>
  <si>
    <t>=V43</t>
  </si>
  <si>
    <t>Y43</t>
  </si>
  <si>
    <t>=W43*$B$9*18.01528/($B$9*18.01528 + H43+E43+F43+K43)</t>
  </si>
  <si>
    <t>=W43</t>
  </si>
  <si>
    <t>X44</t>
  </si>
  <si>
    <t>=V44*$B$9*18.01528/($B$9*18.01528 + H44+E44+F44+K44)</t>
  </si>
  <si>
    <t>=V44</t>
  </si>
  <si>
    <t>Y44</t>
  </si>
  <si>
    <t>=W44*$B$9*18.01528/($B$9*18.01528 + H44+E44+F44+K44)</t>
  </si>
  <si>
    <t>=W44</t>
  </si>
  <si>
    <t>X45</t>
  </si>
  <si>
    <t>=V45*$B$9*18.01528/($B$9*18.01528 + H45+E45+F45+K45)</t>
  </si>
  <si>
    <t>=V45</t>
  </si>
  <si>
    <t>Y45</t>
  </si>
  <si>
    <t>=W45*$B$9*18.01528/($B$9*18.01528 + H45+E45+F45+K45)</t>
  </si>
  <si>
    <t>=W45</t>
  </si>
  <si>
    <t>X46</t>
  </si>
  <si>
    <t>=V46*$B$9*18.01528/($B$9*18.01528 + H46+E46+F46+K46)</t>
  </si>
  <si>
    <t>=V46</t>
  </si>
  <si>
    <t>Y46</t>
  </si>
  <si>
    <t>=W46*$B$9*18.01528/($B$9*18.01528 + H46+E46+F46+K46)</t>
  </si>
  <si>
    <t>=W46</t>
  </si>
  <si>
    <t>X47</t>
  </si>
  <si>
    <t>=V47*$B$9*18.01528/($B$9*18.01528 + H47+E47+F47+K47)</t>
  </si>
  <si>
    <t>=V47</t>
  </si>
  <si>
    <t>Y47</t>
  </si>
  <si>
    <t>=W47*$B$9*18.01528/($B$9*18.01528 + H47+E47+F47+K47)</t>
  </si>
  <si>
    <t>=W47</t>
  </si>
  <si>
    <t>X48</t>
  </si>
  <si>
    <t>=V48*$B$9*18.01528/($B$9*18.01528 + H48+E48+F48+K48)</t>
  </si>
  <si>
    <t>=V48</t>
  </si>
  <si>
    <t>Y48</t>
  </si>
  <si>
    <t>=W48*$B$9*18.01528/($B$9*18.01528 + H48+E48+F48+K48)</t>
  </si>
  <si>
    <t>=W48</t>
  </si>
  <si>
    <t>X49</t>
  </si>
  <si>
    <t>=V49*$B$9*18.01528/($B$9*18.01528 + H49+E49+F49+K49)</t>
  </si>
  <si>
    <t>=V49</t>
  </si>
  <si>
    <t>Y49</t>
  </si>
  <si>
    <t>=W49*$B$9*18.01528/($B$9*18.01528 + H49+E49+F49+K49)</t>
  </si>
  <si>
    <t>=W49</t>
  </si>
  <si>
    <t>X50</t>
  </si>
  <si>
    <t>=V50*$B$9*18.01528/($B$9*18.01528 + H50+E50+F50+K50)</t>
  </si>
  <si>
    <t>=V50</t>
  </si>
  <si>
    <t>Y50</t>
  </si>
  <si>
    <t>=W50*$B$9*18.01528/($B$9*18.01528 + H50+E50+F50+K50)</t>
  </si>
  <si>
    <t>=W50</t>
  </si>
  <si>
    <t>X51</t>
  </si>
  <si>
    <t>=V51*$B$9*18.01528/($B$9*18.01528 + H51+E51+F51+K51)</t>
  </si>
  <si>
    <t>=V51</t>
  </si>
  <si>
    <t>Y51</t>
  </si>
  <si>
    <t>=W51*$B$9*18.01528/($B$9*18.01528 + H51+E51+F51+K51)</t>
  </si>
  <si>
    <t>=W51</t>
  </si>
  <si>
    <t>X3</t>
  </si>
  <si>
    <t>𝜸 (c)</t>
  </si>
  <si>
    <t>Y3</t>
  </si>
  <si>
    <t>𝜸 Agena (c)</t>
  </si>
  <si>
    <t>S5</t>
  </si>
  <si>
    <t>-1140794.34320747</t>
  </si>
  <si>
    <t>-966649</t>
  </si>
  <si>
    <t>phi-1 fit: polynomial refitted (least squares, rows 4-9)</t>
  </si>
  <si>
    <t>S6</t>
  </si>
  <si>
    <t>2201885921683.06</t>
  </si>
  <si>
    <t>2.041e+12</t>
  </si>
  <si>
    <t>S7</t>
  </si>
  <si>
    <t>-2.83133066049751e+18</t>
  </si>
  <si>
    <t>-2.74851e+18</t>
  </si>
  <si>
    <t>S11</t>
  </si>
  <si>
    <t>-768323.352790067</t>
  </si>
  <si>
    <t>-715153</t>
  </si>
  <si>
    <t>phi-1 fit: polynomial refitted (least squares, rows 10-15)</t>
  </si>
  <si>
    <t>S12</t>
  </si>
  <si>
    <t>1684101132902</t>
  </si>
  <si>
    <t>1.61501e+12</t>
  </si>
  <si>
    <t>S13</t>
  </si>
  <si>
    <t>4.80844004330741e+18</t>
  </si>
  <si>
    <t>5.18573e+18</t>
  </si>
  <si>
    <t>S14</t>
  </si>
  <si>
    <t>-2.22190918328015e+25</t>
  </si>
  <si>
    <t>-2.30684e+25</t>
  </si>
  <si>
    <t>S17</t>
  </si>
  <si>
    <t>-762432.069192646</t>
  </si>
  <si>
    <t>-738741</t>
  </si>
  <si>
    <t>phi-1 fit: polynomial refitted (least squares, rows 16-21)</t>
  </si>
  <si>
    <t>S18</t>
  </si>
  <si>
    <t>5836464613777.58</t>
  </si>
  <si>
    <t>5.83431e+12</t>
  </si>
  <si>
    <t>S19</t>
  </si>
  <si>
    <t>-2.21013314327679e+19</t>
  </si>
  <si>
    <t>-2.21118e+19</t>
  </si>
  <si>
    <t>S20</t>
  </si>
  <si>
    <t>2.66737358449059e+25</t>
  </si>
  <si>
    <t>2.66411e+25</t>
  </si>
  <si>
    <t>S23</t>
  </si>
  <si>
    <t>-1401746.96221489</t>
  </si>
  <si>
    <t>-1.3953e+06</t>
  </si>
  <si>
    <t>phi-1 fit: polynomial refitted (least squares, rows 22-27)</t>
  </si>
  <si>
    <t>S24</t>
  </si>
  <si>
    <t>27037331066975.1</t>
  </si>
  <si>
    <t>2.71618e+13</t>
  </si>
  <si>
    <t>S25</t>
  </si>
  <si>
    <t>-1.62538306977687e+20</t>
  </si>
  <si>
    <t>-1.63625e+20</t>
  </si>
  <si>
    <t>S26</t>
  </si>
  <si>
    <t>3.01922373979293e+26</t>
  </si>
  <si>
    <t>3.04588e+26</t>
  </si>
  <si>
    <t>S29</t>
  </si>
  <si>
    <t>-1001563.94030227</t>
  </si>
  <si>
    <t>-994496</t>
  </si>
  <si>
    <t>phi-1 fit: polynomial refitted (least squares, rows 28-33)</t>
  </si>
  <si>
    <t>S30</t>
  </si>
  <si>
    <t>15463343200711.1</t>
  </si>
  <si>
    <t>1.55337e+13</t>
  </si>
  <si>
    <t>S31</t>
  </si>
  <si>
    <t>-8.79270277632221e+19</t>
  </si>
  <si>
    <t>-8.85354e+19</t>
  </si>
  <si>
    <t>S32</t>
  </si>
  <si>
    <t>1.6058563396397e+26</t>
  </si>
  <si>
    <t>1.62075e+26</t>
  </si>
  <si>
    <t>S35</t>
  </si>
  <si>
    <t>-870465.483935268</t>
  </si>
  <si>
    <t>-803511</t>
  </si>
  <si>
    <t>phi-1 fit: polynomial refitted (least squares, rows 34-39)</t>
  </si>
  <si>
    <t>S36</t>
  </si>
  <si>
    <t>2795672852800.99</t>
  </si>
  <si>
    <t>2.73337e+12</t>
  </si>
  <si>
    <t>S37</t>
  </si>
  <si>
    <t>-4.9226955622255e+18</t>
  </si>
  <si>
    <t>-4.73093e+18</t>
  </si>
  <si>
    <t>S38</t>
  </si>
  <si>
    <t>1.01337823383721e+24</t>
  </si>
  <si>
    <t>6.77991e+23</t>
  </si>
  <si>
    <t>S41</t>
  </si>
  <si>
    <t>-1677636.92617397</t>
  </si>
  <si>
    <t>-1.449e+06</t>
  </si>
  <si>
    <t>phi-1 fit: polynomial refitted (least squares, rows 40-45)</t>
  </si>
  <si>
    <t>S42</t>
  </si>
  <si>
    <t>6141163598808.33</t>
  </si>
  <si>
    <t>6.01062e+12</t>
  </si>
  <si>
    <t>S43</t>
  </si>
  <si>
    <t>-1.28950935928664e+19</t>
  </si>
  <si>
    <t>-1.32148e+19</t>
  </si>
  <si>
    <t>S47</t>
  </si>
  <si>
    <t>-2479196.08127451</t>
  </si>
  <si>
    <t>-2.10949e+06</t>
  </si>
  <si>
    <t>phi-1 fit: polynomial refitted (least squares, rows 46-51)</t>
  </si>
  <si>
    <t>S48</t>
  </si>
  <si>
    <t>1802191574171.99</t>
  </si>
  <si>
    <t>1.08133e+12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</si>
</sst>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E+00"/>
    <numFmt numFmtId="165" formatCode="0.0"/>
    <numFmt numFmtId="166" formatCode="0.0000"/>
    <numFmt numFmtId="167" formatCode="0.000000"/>
  </numFmts>
  <fonts count="6" x14ac:knownFonts="1">
    <font>
      <sz val="12"/>
      <color theme="1"/>
      <name val="Calibri"/>
      <family val="2"/>
      <charset val="1"/>
    </font>
    <font>
      <sz val="12"/>
      <color rgb="FF000000"/>
      <name val="Calibri"/>
      <family val="2"/>
      <charset val="1"/>
    </font>
    <font>
      <b/>
      <sz val="12"/>
      <name val="Arial"/>
      <family val="2"/>
    </font>
    <font>
      <sz val="11"/>
      <name val="Arial"/>
      <family val="2"/>
    </font>
    <font>
      <b/>
      <sz val="11"/>
      <name val="Arial"/>
      <family val="2"/>
    </font>
    <font>
      <sz val="9"/>
      <name val="Arial"/>
      <family val="2"/>
    </font>
  </fonts>
  <fills count="5">
    <fill>
      <patternFill patternType="none"/>
    </fill>
    <fill>
      <patternFill patternType="gray125"/>
    </fill>
    <fill>
      <patternFill patternType="solid">
        <fgColor theme="8" tint="0.79989013336588644"/>
        <bgColor rgb="FFD9D9D9"/>
      </patternFill>
    </fill>
    <fill>
      <patternFill patternType="solid">
        <fgColor theme="5" tint="0.79989013336588644"/>
        <bgColor rgb="FFFFF2CC"/>
      </patternFill>
    </fill>
    <fill>
      <patternFill patternType="solid">
        <fgColor theme="7" tint="0.79989013336588644"/>
        <bgColor rgb="FFFBE5D6"/>
      </patternFill>
    </fill>
  </fills>
  <borders count="7">
    <border>
      <left/>
      <right/>
      <top/>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47">
    <xf numFmtId="0" fontId="0" fillId="0" borderId="0" xfId="0"/>
    <xf numFmtId="0" fontId="3" fillId="0" borderId="0" xfId="0" applyFont="1" applyAlignment="1">
      <alignment vertical="top" wrapText="1"/>
    </xf>
    <xf numFmtId="0" fontId="1" fillId="2" borderId="6"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3" xfId="0" applyFont="1" applyFill="1" applyBorder="1" applyAlignment="1">
      <alignment horizontal="center" vertical="center"/>
    </xf>
    <xf numFmtId="0" fontId="0" fillId="2" borderId="4" xfId="0" applyFill="1" applyBorder="1" applyAlignment="1">
      <alignment horizontal="center" vertical="center"/>
    </xf>
    <xf numFmtId="0" fontId="0" fillId="2" borderId="3" xfId="0" applyFill="1" applyBorder="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2" xfId="0" applyBorder="1" applyAlignment="1">
      <alignment horizontal="center" vertical="center"/>
    </xf>
    <xf numFmtId="164" fontId="0" fillId="0" borderId="2" xfId="0" applyNumberFormat="1" applyBorder="1" applyAlignment="1">
      <alignment horizontal="center" vertical="center"/>
    </xf>
    <xf numFmtId="11" fontId="0" fillId="2" borderId="1" xfId="0" applyNumberFormat="1" applyFill="1" applyBorder="1" applyAlignment="1">
      <alignment horizontal="center" vertical="center"/>
    </xf>
    <xf numFmtId="165" fontId="0" fillId="2" borderId="1" xfId="0" applyNumberFormat="1" applyFill="1" applyBorder="1" applyAlignment="1">
      <alignment horizontal="center" vertical="center"/>
    </xf>
    <xf numFmtId="11" fontId="0" fillId="0" borderId="2" xfId="0" applyNumberFormat="1" applyBorder="1" applyAlignment="1">
      <alignment horizontal="center" vertical="center"/>
    </xf>
    <xf numFmtId="2" fontId="0" fillId="0" borderId="2" xfId="0" applyNumberFormat="1" applyBorder="1" applyAlignment="1">
      <alignment horizontal="center" vertical="center"/>
    </xf>
    <xf numFmtId="165" fontId="0" fillId="0" borderId="2" xfId="0" applyNumberFormat="1" applyBorder="1" applyAlignment="1">
      <alignment horizontal="center" vertical="center"/>
    </xf>
    <xf numFmtId="166" fontId="0" fillId="0" borderId="2" xfId="0" applyNumberFormat="1" applyBorder="1" applyAlignment="1">
      <alignment horizontal="center" vertical="center"/>
    </xf>
    <xf numFmtId="0" fontId="0" fillId="3" borderId="2" xfId="0" applyFill="1" applyBorder="1" applyAlignment="1">
      <alignment horizontal="center" vertical="center"/>
    </xf>
    <xf numFmtId="166" fontId="0" fillId="2" borderId="1" xfId="0" applyNumberFormat="1" applyFill="1" applyBorder="1" applyAlignment="1">
      <alignment horizontal="center" vertical="center"/>
    </xf>
    <xf numFmtId="164" fontId="0" fillId="0" borderId="0" xfId="0" applyNumberFormat="1" applyAlignment="1">
      <alignment horizontal="center" vertical="center"/>
    </xf>
    <xf numFmtId="0" fontId="0" fillId="0" borderId="0" xfId="0" applyAlignment="1">
      <alignment horizontal="center" vertical="center"/>
    </xf>
    <xf numFmtId="11" fontId="0" fillId="2" borderId="4" xfId="0" applyNumberFormat="1" applyFill="1" applyBorder="1" applyAlignment="1">
      <alignment horizontal="center" vertical="center"/>
    </xf>
    <xf numFmtId="165" fontId="0" fillId="2" borderId="4" xfId="0" applyNumberFormat="1" applyFill="1" applyBorder="1" applyAlignment="1">
      <alignment horizontal="center" vertical="center"/>
    </xf>
    <xf numFmtId="11" fontId="0" fillId="0" borderId="0" xfId="0" applyNumberFormat="1" applyAlignment="1">
      <alignment horizontal="center" vertical="center"/>
    </xf>
    <xf numFmtId="2"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11" fontId="0" fillId="3" borderId="0" xfId="0" applyNumberFormat="1" applyFill="1" applyAlignment="1">
      <alignment horizontal="center" vertical="center"/>
    </xf>
    <xf numFmtId="166" fontId="0" fillId="2" borderId="4" xfId="0" applyNumberFormat="1" applyFill="1" applyBorder="1" applyAlignment="1">
      <alignment horizontal="center" vertical="center"/>
    </xf>
    <xf numFmtId="164" fontId="0" fillId="0" borderId="5" xfId="0" applyNumberFormat="1" applyBorder="1" applyAlignment="1">
      <alignment horizontal="center" vertical="center"/>
    </xf>
    <xf numFmtId="0" fontId="0" fillId="0" borderId="5" xfId="0" applyBorder="1" applyAlignment="1">
      <alignment horizontal="center" vertical="center"/>
    </xf>
    <xf numFmtId="11" fontId="0" fillId="2" borderId="6" xfId="0" applyNumberFormat="1" applyFill="1" applyBorder="1" applyAlignment="1">
      <alignment horizontal="center" vertical="center"/>
    </xf>
    <xf numFmtId="165" fontId="0" fillId="2" borderId="6" xfId="0" applyNumberFormat="1" applyFill="1" applyBorder="1" applyAlignment="1">
      <alignment horizontal="center" vertical="center"/>
    </xf>
    <xf numFmtId="11" fontId="0" fillId="0" borderId="5" xfId="0" applyNumberFormat="1" applyBorder="1" applyAlignment="1">
      <alignment horizontal="center" vertical="center"/>
    </xf>
    <xf numFmtId="2" fontId="0" fillId="0" borderId="5" xfId="0" applyNumberFormat="1" applyBorder="1" applyAlignment="1">
      <alignment horizontal="center" vertical="center"/>
    </xf>
    <xf numFmtId="165" fontId="0" fillId="0" borderId="5" xfId="0" applyNumberFormat="1" applyBorder="1" applyAlignment="1">
      <alignment horizontal="center" vertical="center"/>
    </xf>
    <xf numFmtId="166" fontId="0" fillId="0" borderId="5" xfId="0" applyNumberFormat="1" applyBorder="1" applyAlignment="1">
      <alignment horizontal="center" vertical="center"/>
    </xf>
    <xf numFmtId="167" fontId="0" fillId="4" borderId="5" xfId="0" applyNumberFormat="1" applyFill="1" applyBorder="1" applyAlignment="1">
      <alignment horizontal="center" vertical="center"/>
    </xf>
    <xf numFmtId="166" fontId="0" fillId="2" borderId="6" xfId="0" applyNumberFormat="1" applyFill="1" applyBorder="1" applyAlignment="1">
      <alignment horizontal="center" vertical="center"/>
    </xf>
    <xf numFmtId="0" fontId="0" fillId="3" borderId="0" xfId="0" applyFill="1" applyAlignment="1">
      <alignment horizontal="center" vertical="center"/>
    </xf>
    <xf numFmtId="11" fontId="0" fillId="0" borderId="0" xfId="0" applyNumberFormat="1"/>
    <xf numFmtId="167" fontId="0" fillId="4" borderId="0" xfId="0" applyNumberFormat="1" applyFill="1" applyAlignment="1">
      <alignment horizontal="center" vertical="center"/>
    </xf>
    <xf numFmtId="2" fontId="0" fillId="0" borderId="0" xfId="0" applyNumberFormat="1"/>
    <xf numFmtId="0" fontId="2" fillId="0" borderId="0" xfId="0" applyFont="1"/>
    <xf numFmtId="0" fontId="4" fillId="0" borderId="0" xfId="0" applyFont="1"/>
    <xf numFmtId="0" fontId="5" fillId="0" borderId="0" xfId="0" applyFont="1" applyAlignment="1">
      <alignment vertical="top"/>
    </xf>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BE5D6"/>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5B9BD5"/>
      <rgbColor rgb="FF993366"/>
      <rgbColor rgb="FFFFF2CC"/>
      <rgbColor rgb="FFDEEBF7"/>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000"/>
      <rgbColor rgb="FFFF9900"/>
      <rgbColor rgb="FFED7D31"/>
      <rgbColor rgb="FF595959"/>
      <rgbColor rgb="FFA5A5A5"/>
      <rgbColor rgb="FF003366"/>
      <rgbColor rgb="FF70AD47"/>
      <rgbColor rgb="FF003300"/>
      <rgbColor rgb="FF333300"/>
      <rgbColor rgb="FF9E480E"/>
      <rgbColor rgb="FF993366"/>
      <rgbColor rgb="FF2644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scatterChart>
        <c:scatterStyle val="lineMarker"/>
        <c:varyColors val="0"/>
        <c:ser>
          <c:idx val="0"/>
          <c:order val="0"/>
          <c:spPr>
            <a:ln w="19080" cap="rnd">
              <a:solidFill>
                <a:srgbClr val="0070C0"/>
              </a:solidFill>
              <a:round/>
            </a:ln>
          </c:spPr>
          <c:marker>
            <c:symbol val="circle"/>
            <c:size val="5"/>
            <c:spPr>
              <a:solidFill>
                <a:srgbClr val="0070C0"/>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K2SO4!$AA$3:$AA$11</c:f>
              <c:numCache>
                <c:formatCode>General</c:formatCode>
                <c:ptCount val="9"/>
                <c:pt idx="0">
                  <c:v>3</c:v>
                </c:pt>
                <c:pt idx="1">
                  <c:v>4</c:v>
                </c:pt>
                <c:pt idx="2">
                  <c:v>5</c:v>
                </c:pt>
                <c:pt idx="3">
                  <c:v>6</c:v>
                </c:pt>
                <c:pt idx="4">
                  <c:v>8</c:v>
                </c:pt>
                <c:pt idx="5">
                  <c:v>8.25</c:v>
                </c:pt>
                <c:pt idx="6">
                  <c:v>10</c:v>
                </c:pt>
                <c:pt idx="7">
                  <c:v>11</c:v>
                </c:pt>
                <c:pt idx="8">
                  <c:v>12</c:v>
                </c:pt>
              </c:numCache>
            </c:numRef>
          </c:xVal>
          <c:yVal>
            <c:numRef>
              <c:f>K2SO4!$AB$3:$AB$11</c:f>
              <c:numCache>
                <c:formatCode>General</c:formatCode>
                <c:ptCount val="9"/>
                <c:pt idx="0">
                  <c:v>27.4</c:v>
                </c:pt>
                <c:pt idx="1">
                  <c:v>30</c:v>
                </c:pt>
                <c:pt idx="2">
                  <c:v>32.200000000000003</c:v>
                </c:pt>
                <c:pt idx="3">
                  <c:v>32.5</c:v>
                </c:pt>
                <c:pt idx="4">
                  <c:v>37.700000000000003</c:v>
                </c:pt>
                <c:pt idx="5">
                  <c:v>35.299999999999997</c:v>
                </c:pt>
                <c:pt idx="6">
                  <c:v>31.6</c:v>
                </c:pt>
                <c:pt idx="7">
                  <c:v>30.4</c:v>
                </c:pt>
                <c:pt idx="8">
                  <c:v>30.9</c:v>
                </c:pt>
              </c:numCache>
            </c:numRef>
          </c:yVal>
          <c:smooth val="0"/>
          <c:extLst>
            <c:ext xmlns:c16="http://schemas.microsoft.com/office/drawing/2014/chart" uri="{C3380CC4-5D6E-409C-BE32-E72D297353CC}">
              <c16:uniqueId val="{00000000-261D-E041-956B-8F8CB3662D5A}"/>
            </c:ext>
          </c:extLst>
        </c:ser>
        <c:ser>
          <c:idx val="1"/>
          <c:order val="1"/>
          <c:spPr>
            <a:ln w="19080" cap="rnd">
              <a:solidFill>
                <a:srgbClr val="0070C0"/>
              </a:solidFill>
              <a:prstDash val="sysDash"/>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K2SO4!$AA$3:$AA$11</c:f>
              <c:numCache>
                <c:formatCode>General</c:formatCode>
                <c:ptCount val="9"/>
                <c:pt idx="0">
                  <c:v>3</c:v>
                </c:pt>
                <c:pt idx="1">
                  <c:v>4</c:v>
                </c:pt>
                <c:pt idx="2">
                  <c:v>5</c:v>
                </c:pt>
                <c:pt idx="3">
                  <c:v>6</c:v>
                </c:pt>
                <c:pt idx="4">
                  <c:v>8</c:v>
                </c:pt>
                <c:pt idx="5">
                  <c:v>8.25</c:v>
                </c:pt>
                <c:pt idx="6">
                  <c:v>10</c:v>
                </c:pt>
                <c:pt idx="7">
                  <c:v>11</c:v>
                </c:pt>
                <c:pt idx="8">
                  <c:v>12</c:v>
                </c:pt>
              </c:numCache>
            </c:numRef>
          </c:xVal>
          <c:yVal>
            <c:numRef>
              <c:f>K2SO4!$AE$3:$AE$11</c:f>
              <c:numCache>
                <c:formatCode>General</c:formatCode>
                <c:ptCount val="9"/>
                <c:pt idx="0">
                  <c:v>27.299999999999997</c:v>
                </c:pt>
                <c:pt idx="1">
                  <c:v>29.8</c:v>
                </c:pt>
                <c:pt idx="2">
                  <c:v>32</c:v>
                </c:pt>
                <c:pt idx="3">
                  <c:v>31.8</c:v>
                </c:pt>
                <c:pt idx="4">
                  <c:v>37.400000000000006</c:v>
                </c:pt>
                <c:pt idx="5">
                  <c:v>35.099999999999994</c:v>
                </c:pt>
                <c:pt idx="6">
                  <c:v>31.5</c:v>
                </c:pt>
                <c:pt idx="7">
                  <c:v>30.2</c:v>
                </c:pt>
                <c:pt idx="8">
                  <c:v>30.7</c:v>
                </c:pt>
              </c:numCache>
            </c:numRef>
          </c:yVal>
          <c:smooth val="0"/>
          <c:extLst>
            <c:ext xmlns:c16="http://schemas.microsoft.com/office/drawing/2014/chart" uri="{C3380CC4-5D6E-409C-BE32-E72D297353CC}">
              <c16:uniqueId val="{00000001-261D-E041-956B-8F8CB3662D5A}"/>
            </c:ext>
          </c:extLst>
        </c:ser>
        <c:ser>
          <c:idx val="2"/>
          <c:order val="2"/>
          <c:spPr>
            <a:ln w="19080" cap="rnd">
              <a:solidFill>
                <a:srgbClr val="0070C0"/>
              </a:solidFill>
              <a:prstDash val="sysDash"/>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K2SO4!$AA$3:$AA$11</c:f>
              <c:numCache>
                <c:formatCode>General</c:formatCode>
                <c:ptCount val="9"/>
                <c:pt idx="0">
                  <c:v>3</c:v>
                </c:pt>
                <c:pt idx="1">
                  <c:v>4</c:v>
                </c:pt>
                <c:pt idx="2">
                  <c:v>5</c:v>
                </c:pt>
                <c:pt idx="3">
                  <c:v>6</c:v>
                </c:pt>
                <c:pt idx="4">
                  <c:v>8</c:v>
                </c:pt>
                <c:pt idx="5">
                  <c:v>8.25</c:v>
                </c:pt>
                <c:pt idx="6">
                  <c:v>10</c:v>
                </c:pt>
                <c:pt idx="7">
                  <c:v>11</c:v>
                </c:pt>
                <c:pt idx="8">
                  <c:v>12</c:v>
                </c:pt>
              </c:numCache>
            </c:numRef>
          </c:xVal>
          <c:yVal>
            <c:numRef>
              <c:f>K2SO4!$AF$3:$AF$11</c:f>
              <c:numCache>
                <c:formatCode>General</c:formatCode>
                <c:ptCount val="9"/>
                <c:pt idx="0">
                  <c:v>27.5</c:v>
                </c:pt>
                <c:pt idx="1">
                  <c:v>30.2</c:v>
                </c:pt>
                <c:pt idx="2">
                  <c:v>32.400000000000006</c:v>
                </c:pt>
                <c:pt idx="3">
                  <c:v>33.200000000000003</c:v>
                </c:pt>
                <c:pt idx="4">
                  <c:v>38</c:v>
                </c:pt>
                <c:pt idx="5">
                  <c:v>35.5</c:v>
                </c:pt>
                <c:pt idx="6">
                  <c:v>31.700000000000003</c:v>
                </c:pt>
                <c:pt idx="7">
                  <c:v>30.599999999999998</c:v>
                </c:pt>
                <c:pt idx="8">
                  <c:v>31.099999999999998</c:v>
                </c:pt>
              </c:numCache>
            </c:numRef>
          </c:yVal>
          <c:smooth val="0"/>
          <c:extLst>
            <c:ext xmlns:c16="http://schemas.microsoft.com/office/drawing/2014/chart" uri="{C3380CC4-5D6E-409C-BE32-E72D297353CC}">
              <c16:uniqueId val="{00000002-261D-E041-956B-8F8CB3662D5A}"/>
            </c:ext>
          </c:extLst>
        </c:ser>
        <c:dLbls>
          <c:showLegendKey val="0"/>
          <c:showVal val="0"/>
          <c:showCatName val="0"/>
          <c:showSerName val="0"/>
          <c:showPercent val="0"/>
          <c:showBubbleSize val="0"/>
        </c:dLbls>
        <c:axId val="36612229"/>
        <c:axId val="95259848"/>
      </c:scatterChart>
      <c:valAx>
        <c:axId val="36612229"/>
        <c:scaling>
          <c:orientation val="minMax"/>
        </c:scaling>
        <c:delete val="0"/>
        <c:axPos val="b"/>
        <c:title>
          <c:tx>
            <c:rich>
              <a:bodyPr rot="0"/>
              <a:lstStyle/>
              <a:p>
                <a:pPr>
                  <a:defRPr lang="en-GB" sz="1000" b="0" strike="noStrike" spc="-1">
                    <a:solidFill>
                      <a:srgbClr val="595959"/>
                    </a:solidFill>
                    <a:latin typeface="Calibri"/>
                  </a:defRPr>
                </a:pPr>
                <a:r>
                  <a:rPr lang="en-GB" sz="1000" b="0" strike="noStrike" spc="-1">
                    <a:solidFill>
                      <a:srgbClr val="595959"/>
                    </a:solidFill>
                    <a:latin typeface="Calibri"/>
                  </a:rPr>
                  <a:t>pH</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95259848"/>
        <c:crosses val="autoZero"/>
        <c:crossBetween val="midCat"/>
      </c:valAx>
      <c:valAx>
        <c:axId val="95259848"/>
        <c:scaling>
          <c:orientation val="minMax"/>
          <c:min val="25"/>
        </c:scaling>
        <c:delete val="0"/>
        <c:axPos val="l"/>
        <c:majorGridlines>
          <c:spPr>
            <a:ln w="9360">
              <a:solidFill>
                <a:srgbClr val="D9D9D9"/>
              </a:solidFill>
              <a:round/>
            </a:ln>
          </c:spPr>
        </c:majorGridlines>
        <c:title>
          <c:tx>
            <c:rich>
              <a:bodyPr rot="-5400000"/>
              <a:lstStyle/>
              <a:p>
                <a:pPr>
                  <a:defRPr lang="en-GB" sz="1000" b="0" strike="noStrike" spc="-1">
                    <a:solidFill>
                      <a:srgbClr val="595959"/>
                    </a:solidFill>
                    <a:latin typeface="Calibri"/>
                  </a:defRPr>
                </a:pPr>
                <a:r>
                  <a:rPr lang="en-GB" sz="1000" b="0" strike="noStrike" spc="-1">
                    <a:solidFill>
                      <a:srgbClr val="595959"/>
                    </a:solidFill>
                    <a:latin typeface="Calibri"/>
                  </a:rPr>
                  <a:t>MW (kg/mol)</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36612229"/>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GB" sz="1400" b="0" strike="noStrike" spc="-1">
                <a:solidFill>
                  <a:srgbClr val="595959"/>
                </a:solidFill>
                <a:latin typeface="Calibri"/>
              </a:defRPr>
            </a:pPr>
            <a:r>
              <a:rPr lang="en-GB" sz="1400" b="0" strike="noStrike" spc="-1">
                <a:solidFill>
                  <a:srgbClr val="595959"/>
                </a:solidFill>
                <a:latin typeface="Calibri"/>
              </a:rPr>
              <a:t>pH4</a:t>
            </a:r>
          </a:p>
        </c:rich>
      </c:tx>
      <c:overlay val="0"/>
      <c:spPr>
        <a:noFill/>
        <a:ln w="0">
          <a:noFill/>
        </a:ln>
      </c:spPr>
    </c:title>
    <c:autoTitleDeleted val="0"/>
    <c:plotArea>
      <c:layout/>
      <c:scatterChart>
        <c:scatterStyle val="lineMarker"/>
        <c:varyColors val="0"/>
        <c:ser>
          <c:idx val="0"/>
          <c:order val="0"/>
          <c:spPr>
            <a:ln w="19080" cap="rnd">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K2SO4!$J$4:$J$9</c:f>
              <c:numCache>
                <c:formatCode>0.00E+00</c:formatCode>
                <c:ptCount val="6"/>
                <c:pt idx="0">
                  <c:v>3.0714567295951755E-8</c:v>
                </c:pt>
                <c:pt idx="1">
                  <c:v>6.1265973846456272E-8</c:v>
                </c:pt>
                <c:pt idx="2">
                  <c:v>1.2194476225804468E-7</c:v>
                </c:pt>
                <c:pt idx="3">
                  <c:v>1.8213390614560593E-7</c:v>
                </c:pt>
                <c:pt idx="4">
                  <c:v>2.4038446449773989E-7</c:v>
                </c:pt>
                <c:pt idx="5">
                  <c:v>3.0264583915847332E-7</c:v>
                </c:pt>
              </c:numCache>
            </c:numRef>
          </c:xVal>
          <c:yVal>
            <c:numRef>
              <c:f>K2SO4!$Q$4:$Q$9</c:f>
              <c:numCache>
                <c:formatCode>0.0000</c:formatCode>
                <c:ptCount val="6"/>
                <c:pt idx="0">
                  <c:v>-1.4304179397280126E-2</c:v>
                </c:pt>
                <c:pt idx="1">
                  <c:v>-6.2547387117327324E-2</c:v>
                </c:pt>
                <c:pt idx="2">
                  <c:v>-9.0193446999703886E-2</c:v>
                </c:pt>
                <c:pt idx="3">
                  <c:v>-0.12678708924813986</c:v>
                </c:pt>
                <c:pt idx="4">
                  <c:v>-0.15066676137264523</c:v>
                </c:pt>
                <c:pt idx="5">
                  <c:v>-0.18245313695693144</c:v>
                </c:pt>
              </c:numCache>
            </c:numRef>
          </c:yVal>
          <c:smooth val="0"/>
          <c:extLst>
            <c:ext xmlns:c16="http://schemas.microsoft.com/office/drawing/2014/chart" uri="{C3380CC4-5D6E-409C-BE32-E72D297353CC}">
              <c16:uniqueId val="{00000000-BDD4-9E48-8026-AAE2D8800354}"/>
            </c:ext>
          </c:extLst>
        </c:ser>
        <c:ser>
          <c:idx val="1"/>
          <c:order val="1"/>
          <c:spPr>
            <a:ln w="1908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K2SO4!$J$4:$J$9</c:f>
              <c:numCache>
                <c:formatCode>0.00E+00</c:formatCode>
                <c:ptCount val="6"/>
                <c:pt idx="0">
                  <c:v>3.0714567295951755E-8</c:v>
                </c:pt>
                <c:pt idx="1">
                  <c:v>6.1265973846456272E-8</c:v>
                </c:pt>
                <c:pt idx="2">
                  <c:v>1.2194476225804468E-7</c:v>
                </c:pt>
                <c:pt idx="3">
                  <c:v>1.8213390614560593E-7</c:v>
                </c:pt>
                <c:pt idx="4">
                  <c:v>2.4038446449773989E-7</c:v>
                </c:pt>
                <c:pt idx="5">
                  <c:v>3.0264583915847332E-7</c:v>
                </c:pt>
              </c:numCache>
            </c:numRef>
          </c:xVal>
          <c:yVal>
            <c:numRef>
              <c:f>K2SO4!$R$4:$R$9</c:f>
              <c:numCache>
                <c:formatCode>0.0000</c:formatCode>
                <c:ptCount val="6"/>
                <c:pt idx="0">
                  <c:v>-2.7844400902669739E-2</c:v>
                </c:pt>
                <c:pt idx="1">
                  <c:v>-5.2193828920026011E-2</c:v>
                </c:pt>
                <c:pt idx="2">
                  <c:v>-9.2511202745599541E-2</c:v>
                </c:pt>
                <c:pt idx="3">
                  <c:v>-0.12496028174523639</c:v>
                </c:pt>
                <c:pt idx="4">
                  <c:v>-0.15260741268613984</c:v>
                </c:pt>
                <c:pt idx="5">
                  <c:v>-0.18179897883817658</c:v>
                </c:pt>
              </c:numCache>
            </c:numRef>
          </c:yVal>
          <c:smooth val="0"/>
          <c:extLst>
            <c:ext xmlns:c16="http://schemas.microsoft.com/office/drawing/2014/chart" uri="{C3380CC4-5D6E-409C-BE32-E72D297353CC}">
              <c16:uniqueId val="{00000001-BDD4-9E48-8026-AAE2D8800354}"/>
            </c:ext>
          </c:extLst>
        </c:ser>
        <c:dLbls>
          <c:showLegendKey val="0"/>
          <c:showVal val="0"/>
          <c:showCatName val="0"/>
          <c:showSerName val="0"/>
          <c:showPercent val="0"/>
          <c:showBubbleSize val="0"/>
        </c:dLbls>
        <c:axId val="32575066"/>
        <c:axId val="11817304"/>
      </c:scatterChart>
      <c:valAx>
        <c:axId val="32575066"/>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11817304"/>
        <c:crosses val="autoZero"/>
        <c:crossBetween val="midCat"/>
      </c:valAx>
      <c:valAx>
        <c:axId val="11817304"/>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32575066"/>
        <c:crosses val="autoZero"/>
        <c:crossBetween val="midCat"/>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D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GB" sz="1400" b="0" strike="noStrike" spc="-1">
                <a:solidFill>
                  <a:srgbClr val="595959"/>
                </a:solidFill>
                <a:latin typeface="Calibri"/>
              </a:defRPr>
            </a:pPr>
            <a:r>
              <a:rPr lang="en-GB" sz="1400" b="0" strike="noStrike" spc="-1">
                <a:solidFill>
                  <a:srgbClr val="595959"/>
                </a:solidFill>
                <a:latin typeface="Calibri"/>
              </a:rPr>
              <a:t>pH5</a:t>
            </a:r>
          </a:p>
        </c:rich>
      </c:tx>
      <c:overlay val="0"/>
      <c:spPr>
        <a:noFill/>
        <a:ln w="0">
          <a:noFill/>
        </a:ln>
      </c:spPr>
    </c:title>
    <c:autoTitleDeleted val="0"/>
    <c:plotArea>
      <c:layout/>
      <c:scatterChart>
        <c:scatterStyle val="lineMarker"/>
        <c:varyColors val="0"/>
        <c:ser>
          <c:idx val="0"/>
          <c:order val="0"/>
          <c:spPr>
            <a:ln w="19080" cap="rnd">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K2SO4!$J$10:$J$15</c:f>
              <c:numCache>
                <c:formatCode>0.00E+00</c:formatCode>
                <c:ptCount val="6"/>
                <c:pt idx="0">
                  <c:v>2.8647626472041088E-8</c:v>
                </c:pt>
                <c:pt idx="1">
                  <c:v>5.6889014231061203E-8</c:v>
                </c:pt>
                <c:pt idx="2">
                  <c:v>1.1236938397014755E-7</c:v>
                </c:pt>
                <c:pt idx="3">
                  <c:v>1.6860237332723434E-7</c:v>
                </c:pt>
                <c:pt idx="4">
                  <c:v>2.2203698660533317E-7</c:v>
                </c:pt>
                <c:pt idx="5">
                  <c:v>2.7746907277213621E-7</c:v>
                </c:pt>
              </c:numCache>
            </c:numRef>
          </c:xVal>
          <c:yVal>
            <c:numRef>
              <c:f>K2SO4!$Q$10:$Q$15</c:f>
              <c:numCache>
                <c:formatCode>0.0000</c:formatCode>
                <c:ptCount val="6"/>
                <c:pt idx="0">
                  <c:v>-1.0309126873537688E-2</c:v>
                </c:pt>
                <c:pt idx="1">
                  <c:v>-4.217419870732908E-2</c:v>
                </c:pt>
                <c:pt idx="2">
                  <c:v>-5.6003692849135978E-2</c:v>
                </c:pt>
                <c:pt idx="3">
                  <c:v>-6.5639882318166198E-2</c:v>
                </c:pt>
                <c:pt idx="4">
                  <c:v>-8.0589418881009012E-2</c:v>
                </c:pt>
                <c:pt idx="5">
                  <c:v>-9.9561594138726339E-2</c:v>
                </c:pt>
              </c:numCache>
            </c:numRef>
          </c:yVal>
          <c:smooth val="0"/>
          <c:extLst>
            <c:ext xmlns:c16="http://schemas.microsoft.com/office/drawing/2014/chart" uri="{C3380CC4-5D6E-409C-BE32-E72D297353CC}">
              <c16:uniqueId val="{00000000-5249-3448-B885-B630DACD3C38}"/>
            </c:ext>
          </c:extLst>
        </c:ser>
        <c:ser>
          <c:idx val="1"/>
          <c:order val="1"/>
          <c:spPr>
            <a:ln w="1908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K2SO4!$J$10:$J$15</c:f>
              <c:numCache>
                <c:formatCode>0.00E+00</c:formatCode>
                <c:ptCount val="6"/>
                <c:pt idx="0">
                  <c:v>2.8647626472041088E-8</c:v>
                </c:pt>
                <c:pt idx="1">
                  <c:v>5.6889014231061203E-8</c:v>
                </c:pt>
                <c:pt idx="2">
                  <c:v>1.1236938397014755E-7</c:v>
                </c:pt>
                <c:pt idx="3">
                  <c:v>1.6860237332723434E-7</c:v>
                </c:pt>
                <c:pt idx="4">
                  <c:v>2.2203698660533317E-7</c:v>
                </c:pt>
                <c:pt idx="5">
                  <c:v>2.7746907277213621E-7</c:v>
                </c:pt>
              </c:numCache>
            </c:numRef>
          </c:xVal>
          <c:yVal>
            <c:numRef>
              <c:f>K2SO4!$R$10:$R$15</c:f>
              <c:numCache>
                <c:formatCode>0.0000</c:formatCode>
                <c:ptCount val="6"/>
                <c:pt idx="0">
                  <c:v>-1.9055632106225774E-2</c:v>
                </c:pt>
                <c:pt idx="1">
                  <c:v>-3.4744446200314714E-2</c:v>
                </c:pt>
                <c:pt idx="2">
                  <c:v>-5.6288840206698956E-2</c:v>
                </c:pt>
                <c:pt idx="3">
                  <c:v>-6.8453849626504207E-2</c:v>
                </c:pt>
                <c:pt idx="4">
                  <c:v>-7.8472541345385893E-2</c:v>
                </c:pt>
                <c:pt idx="5">
                  <c:v>-0.10005046444549277</c:v>
                </c:pt>
              </c:numCache>
            </c:numRef>
          </c:yVal>
          <c:smooth val="0"/>
          <c:extLst>
            <c:ext xmlns:c16="http://schemas.microsoft.com/office/drawing/2014/chart" uri="{C3380CC4-5D6E-409C-BE32-E72D297353CC}">
              <c16:uniqueId val="{00000001-5249-3448-B885-B630DACD3C38}"/>
            </c:ext>
          </c:extLst>
        </c:ser>
        <c:dLbls>
          <c:showLegendKey val="0"/>
          <c:showVal val="0"/>
          <c:showCatName val="0"/>
          <c:showSerName val="0"/>
          <c:showPercent val="0"/>
          <c:showBubbleSize val="0"/>
        </c:dLbls>
        <c:axId val="17353260"/>
        <c:axId val="92668612"/>
      </c:scatterChart>
      <c:valAx>
        <c:axId val="17353260"/>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92668612"/>
        <c:crosses val="autoZero"/>
        <c:crossBetween val="midCat"/>
      </c:valAx>
      <c:valAx>
        <c:axId val="92668612"/>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17353260"/>
        <c:crosses val="autoZero"/>
        <c:crossBetween val="midCat"/>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D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GB" sz="1400" b="0" strike="noStrike" spc="-1">
                <a:solidFill>
                  <a:srgbClr val="595959"/>
                </a:solidFill>
                <a:latin typeface="Calibri"/>
              </a:defRPr>
            </a:pPr>
            <a:r>
              <a:rPr lang="en-GB" sz="1400" b="0" strike="noStrike" spc="-1">
                <a:solidFill>
                  <a:srgbClr val="595959"/>
                </a:solidFill>
                <a:latin typeface="Calibri"/>
              </a:rPr>
              <a:t>pH6</a:t>
            </a:r>
          </a:p>
        </c:rich>
      </c:tx>
      <c:overlay val="0"/>
      <c:spPr>
        <a:noFill/>
        <a:ln w="0">
          <a:noFill/>
        </a:ln>
      </c:spPr>
    </c:title>
    <c:autoTitleDeleted val="0"/>
    <c:plotArea>
      <c:layout/>
      <c:scatterChart>
        <c:scatterStyle val="lineMarker"/>
        <c:varyColors val="0"/>
        <c:ser>
          <c:idx val="0"/>
          <c:order val="0"/>
          <c:spPr>
            <a:ln w="19080" cap="rnd">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K2SO4!$J$16:$J$21</c:f>
              <c:numCache>
                <c:formatCode>0.00E+00</c:formatCode>
                <c:ptCount val="6"/>
                <c:pt idx="0">
                  <c:v>2.8351716016188285E-8</c:v>
                </c:pt>
                <c:pt idx="1">
                  <c:v>5.7214240966342477E-8</c:v>
                </c:pt>
                <c:pt idx="2">
                  <c:v>1.1831191994774557E-7</c:v>
                </c:pt>
                <c:pt idx="3">
                  <c:v>1.7182738260125229E-7</c:v>
                </c:pt>
                <c:pt idx="4">
                  <c:v>2.2532048558301055E-7</c:v>
                </c:pt>
                <c:pt idx="5">
                  <c:v>2.8426598941007136E-7</c:v>
                </c:pt>
              </c:numCache>
            </c:numRef>
          </c:xVal>
          <c:yVal>
            <c:numRef>
              <c:f>K2SO4!$Q$16:$Q$21</c:f>
              <c:numCache>
                <c:formatCode>0.0000</c:formatCode>
                <c:ptCount val="6"/>
                <c:pt idx="0">
                  <c:v>-2.0558070733102118E-2</c:v>
                </c:pt>
                <c:pt idx="1">
                  <c:v>-2.2589782976415895E-2</c:v>
                </c:pt>
                <c:pt idx="2">
                  <c:v>-4.0044985121941101E-2</c:v>
                </c:pt>
                <c:pt idx="3">
                  <c:v>-4.1807985092143896E-2</c:v>
                </c:pt>
                <c:pt idx="4">
                  <c:v>-5.5131371586253475E-2</c:v>
                </c:pt>
                <c:pt idx="5">
                  <c:v>-7.2433714496759172E-2</c:v>
                </c:pt>
              </c:numCache>
            </c:numRef>
          </c:yVal>
          <c:smooth val="0"/>
          <c:extLst>
            <c:ext xmlns:c16="http://schemas.microsoft.com/office/drawing/2014/chart" uri="{C3380CC4-5D6E-409C-BE32-E72D297353CC}">
              <c16:uniqueId val="{00000000-363D-5544-AC4D-F46FC8515563}"/>
            </c:ext>
          </c:extLst>
        </c:ser>
        <c:ser>
          <c:idx val="1"/>
          <c:order val="1"/>
          <c:spPr>
            <a:ln w="1908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K2SO4!$J$16:$J$21</c:f>
              <c:numCache>
                <c:formatCode>0.00E+00</c:formatCode>
                <c:ptCount val="6"/>
                <c:pt idx="0">
                  <c:v>2.8351716016188285E-8</c:v>
                </c:pt>
                <c:pt idx="1">
                  <c:v>5.7214240966342477E-8</c:v>
                </c:pt>
                <c:pt idx="2">
                  <c:v>1.1831191994774557E-7</c:v>
                </c:pt>
                <c:pt idx="3">
                  <c:v>1.7182738260125229E-7</c:v>
                </c:pt>
                <c:pt idx="4">
                  <c:v>2.2532048558301055E-7</c:v>
                </c:pt>
                <c:pt idx="5">
                  <c:v>2.8426598941007136E-7</c:v>
                </c:pt>
              </c:numCache>
            </c:numRef>
          </c:xVal>
          <c:yVal>
            <c:numRef>
              <c:f>K2SO4!$R$16:$R$21</c:f>
              <c:numCache>
                <c:formatCode>0.0000</c:formatCode>
                <c:ptCount val="6"/>
                <c:pt idx="0">
                  <c:v>-1.6741560215444339E-2</c:v>
                </c:pt>
                <c:pt idx="1">
                  <c:v>-2.7023920917000722E-2</c:v>
                </c:pt>
                <c:pt idx="2">
                  <c:v>-3.7134294779824516E-2</c:v>
                </c:pt>
                <c:pt idx="3">
                  <c:v>-4.3633355445268363E-2</c:v>
                </c:pt>
                <c:pt idx="4">
                  <c:v>-5.4526950906379115E-2</c:v>
                </c:pt>
                <c:pt idx="5">
                  <c:v>-7.2509059069574916E-2</c:v>
                </c:pt>
              </c:numCache>
            </c:numRef>
          </c:yVal>
          <c:smooth val="0"/>
          <c:extLst>
            <c:ext xmlns:c16="http://schemas.microsoft.com/office/drawing/2014/chart" uri="{C3380CC4-5D6E-409C-BE32-E72D297353CC}">
              <c16:uniqueId val="{00000001-363D-5544-AC4D-F46FC8515563}"/>
            </c:ext>
          </c:extLst>
        </c:ser>
        <c:dLbls>
          <c:showLegendKey val="0"/>
          <c:showVal val="0"/>
          <c:showCatName val="0"/>
          <c:showSerName val="0"/>
          <c:showPercent val="0"/>
          <c:showBubbleSize val="0"/>
        </c:dLbls>
        <c:axId val="94744248"/>
        <c:axId val="56467655"/>
      </c:scatterChart>
      <c:valAx>
        <c:axId val="94744248"/>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56467655"/>
        <c:crosses val="autoZero"/>
        <c:crossBetween val="midCat"/>
      </c:valAx>
      <c:valAx>
        <c:axId val="56467655"/>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94744248"/>
        <c:crosses val="autoZero"/>
        <c:crossBetween val="midCat"/>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D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GB" sz="1400" b="0" strike="noStrike" spc="-1">
                <a:solidFill>
                  <a:srgbClr val="595959"/>
                </a:solidFill>
                <a:latin typeface="Calibri"/>
              </a:defRPr>
            </a:pPr>
            <a:r>
              <a:rPr lang="en-GB" sz="1400" b="0" strike="noStrike" spc="-1">
                <a:solidFill>
                  <a:srgbClr val="595959"/>
                </a:solidFill>
                <a:latin typeface="Calibri"/>
              </a:rPr>
              <a:t>pH8</a:t>
            </a:r>
          </a:p>
        </c:rich>
      </c:tx>
      <c:overlay val="0"/>
      <c:spPr>
        <a:noFill/>
        <a:ln w="0">
          <a:noFill/>
        </a:ln>
      </c:spPr>
    </c:title>
    <c:autoTitleDeleted val="0"/>
    <c:plotArea>
      <c:layout/>
      <c:scatterChart>
        <c:scatterStyle val="lineMarker"/>
        <c:varyColors val="0"/>
        <c:ser>
          <c:idx val="0"/>
          <c:order val="0"/>
          <c:spPr>
            <a:ln w="19080" cap="rnd">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K2SO4!$J$22:$J$27</c:f>
              <c:numCache>
                <c:formatCode>0.00E+00</c:formatCode>
                <c:ptCount val="6"/>
                <c:pt idx="0">
                  <c:v>2.441401932200858E-8</c:v>
                </c:pt>
                <c:pt idx="1">
                  <c:v>4.9919980050437351E-8</c:v>
                </c:pt>
                <c:pt idx="2">
                  <c:v>1.1054568281494604E-7</c:v>
                </c:pt>
                <c:pt idx="3">
                  <c:v>1.5113037438094951E-7</c:v>
                </c:pt>
                <c:pt idx="4">
                  <c:v>1.9632204123243743E-7</c:v>
                </c:pt>
                <c:pt idx="5">
                  <c:v>2.5353988491746573E-7</c:v>
                </c:pt>
              </c:numCache>
            </c:numRef>
          </c:xVal>
          <c:yVal>
            <c:numRef>
              <c:f>K2SO4!$Q$22:$Q$27</c:f>
              <c:numCache>
                <c:formatCode>0.0000</c:formatCode>
                <c:ptCount val="6"/>
                <c:pt idx="0">
                  <c:v>-2.4857378510167671E-2</c:v>
                </c:pt>
                <c:pt idx="1">
                  <c:v>-1.4394556041640305E-2</c:v>
                </c:pt>
                <c:pt idx="2">
                  <c:v>-3.9614289465760288E-3</c:v>
                </c:pt>
                <c:pt idx="3">
                  <c:v>9.0393152081755801E-3</c:v>
                </c:pt>
                <c:pt idx="4">
                  <c:v>-1.4720813435033953E-2</c:v>
                </c:pt>
                <c:pt idx="5">
                  <c:v>-1.5632413381786003E-2</c:v>
                </c:pt>
              </c:numCache>
            </c:numRef>
          </c:yVal>
          <c:smooth val="0"/>
          <c:extLst>
            <c:ext xmlns:c16="http://schemas.microsoft.com/office/drawing/2014/chart" uri="{C3380CC4-5D6E-409C-BE32-E72D297353CC}">
              <c16:uniqueId val="{00000000-F5E8-B94E-8CD8-BE732ECD098A}"/>
            </c:ext>
          </c:extLst>
        </c:ser>
        <c:ser>
          <c:idx val="1"/>
          <c:order val="1"/>
          <c:spPr>
            <a:ln w="1908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K2SO4!$J$22:$J$27</c:f>
              <c:numCache>
                <c:formatCode>0.00E+00</c:formatCode>
                <c:ptCount val="6"/>
                <c:pt idx="0">
                  <c:v>2.441401932200858E-8</c:v>
                </c:pt>
                <c:pt idx="1">
                  <c:v>4.9919980050437351E-8</c:v>
                </c:pt>
                <c:pt idx="2">
                  <c:v>1.1054568281494604E-7</c:v>
                </c:pt>
                <c:pt idx="3">
                  <c:v>1.5113037438094951E-7</c:v>
                </c:pt>
                <c:pt idx="4">
                  <c:v>1.9632204123243743E-7</c:v>
                </c:pt>
                <c:pt idx="5">
                  <c:v>2.5353988491746573E-7</c:v>
                </c:pt>
              </c:numCache>
            </c:numRef>
          </c:xVal>
          <c:yVal>
            <c:numRef>
              <c:f>K2SO4!$R$22:$R$27</c:f>
              <c:numCache>
                <c:formatCode>0.0000</c:formatCode>
                <c:ptCount val="6"/>
                <c:pt idx="0">
                  <c:v>-2.0147966902748015E-2</c:v>
                </c:pt>
                <c:pt idx="1">
                  <c:v>-2.042930512859583E-2</c:v>
                </c:pt>
                <c:pt idx="2">
                  <c:v>2.1273313723702975E-3</c:v>
                </c:pt>
                <c:pt idx="3">
                  <c:v>3.6007209798062101E-3</c:v>
                </c:pt>
                <c:pt idx="4">
                  <c:v>-1.268004106895676E-2</c:v>
                </c:pt>
                <c:pt idx="5">
                  <c:v>-1.5890830686363211E-2</c:v>
                </c:pt>
              </c:numCache>
            </c:numRef>
          </c:yVal>
          <c:smooth val="0"/>
          <c:extLst>
            <c:ext xmlns:c16="http://schemas.microsoft.com/office/drawing/2014/chart" uri="{C3380CC4-5D6E-409C-BE32-E72D297353CC}">
              <c16:uniqueId val="{00000001-F5E8-B94E-8CD8-BE732ECD098A}"/>
            </c:ext>
          </c:extLst>
        </c:ser>
        <c:dLbls>
          <c:showLegendKey val="0"/>
          <c:showVal val="0"/>
          <c:showCatName val="0"/>
          <c:showSerName val="0"/>
          <c:showPercent val="0"/>
          <c:showBubbleSize val="0"/>
        </c:dLbls>
        <c:axId val="73479887"/>
        <c:axId val="1931201"/>
      </c:scatterChart>
      <c:valAx>
        <c:axId val="73479887"/>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1931201"/>
        <c:crosses val="autoZero"/>
        <c:crossBetween val="midCat"/>
      </c:valAx>
      <c:valAx>
        <c:axId val="1931201"/>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73479887"/>
        <c:crosses val="autoZero"/>
        <c:crossBetween val="midCat"/>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D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GB" sz="1400" b="0" strike="noStrike" spc="-1">
                <a:solidFill>
                  <a:srgbClr val="595959"/>
                </a:solidFill>
                <a:latin typeface="Calibri"/>
              </a:defRPr>
            </a:pPr>
            <a:r>
              <a:rPr lang="en-GB" sz="1400" b="0" strike="noStrike" spc="-1">
                <a:solidFill>
                  <a:srgbClr val="595959"/>
                </a:solidFill>
                <a:latin typeface="Calibri"/>
              </a:rPr>
              <a:t>pH8.25</a:t>
            </a:r>
          </a:p>
        </c:rich>
      </c:tx>
      <c:overlay val="0"/>
      <c:spPr>
        <a:noFill/>
        <a:ln w="0">
          <a:noFill/>
        </a:ln>
      </c:spPr>
    </c:title>
    <c:autoTitleDeleted val="0"/>
    <c:plotArea>
      <c:layout/>
      <c:scatterChart>
        <c:scatterStyle val="lineMarker"/>
        <c:varyColors val="0"/>
        <c:ser>
          <c:idx val="0"/>
          <c:order val="0"/>
          <c:spPr>
            <a:ln w="19080" cap="rnd">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K2SO4!$J$28:$J$33</c:f>
              <c:numCache>
                <c:formatCode>0.00E+00</c:formatCode>
                <c:ptCount val="6"/>
                <c:pt idx="0">
                  <c:v>2.6102855559865461E-8</c:v>
                </c:pt>
                <c:pt idx="1">
                  <c:v>5.2444017775678374E-8</c:v>
                </c:pt>
                <c:pt idx="2">
                  <c:v>1.0610658899097288E-7</c:v>
                </c:pt>
                <c:pt idx="3">
                  <c:v>1.5653615372305593E-7</c:v>
                </c:pt>
                <c:pt idx="4">
                  <c:v>2.0890964819984223E-7</c:v>
                </c:pt>
                <c:pt idx="5">
                  <c:v>2.6004723323087304E-7</c:v>
                </c:pt>
              </c:numCache>
            </c:numRef>
          </c:xVal>
          <c:yVal>
            <c:numRef>
              <c:f>K2SO4!$Q$28:$Q$33</c:f>
              <c:numCache>
                <c:formatCode>0.0000</c:formatCode>
                <c:ptCount val="6"/>
                <c:pt idx="0">
                  <c:v>-1.1943328445811252E-2</c:v>
                </c:pt>
                <c:pt idx="1">
                  <c:v>-2.7781926644943611E-2</c:v>
                </c:pt>
                <c:pt idx="2">
                  <c:v>-1.0084378889424706E-2</c:v>
                </c:pt>
                <c:pt idx="3">
                  <c:v>-2.1571341819352052E-2</c:v>
                </c:pt>
                <c:pt idx="4">
                  <c:v>-2.6598770370173219E-2</c:v>
                </c:pt>
                <c:pt idx="5">
                  <c:v>-2.4235912978780805E-2</c:v>
                </c:pt>
              </c:numCache>
            </c:numRef>
          </c:yVal>
          <c:smooth val="0"/>
          <c:extLst>
            <c:ext xmlns:c16="http://schemas.microsoft.com/office/drawing/2014/chart" uri="{C3380CC4-5D6E-409C-BE32-E72D297353CC}">
              <c16:uniqueId val="{00000000-92DE-414C-82DD-CA4B16597F06}"/>
            </c:ext>
          </c:extLst>
        </c:ser>
        <c:ser>
          <c:idx val="1"/>
          <c:order val="1"/>
          <c:spPr>
            <a:ln w="1908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K2SO4!$J$28:$J$33</c:f>
              <c:numCache>
                <c:formatCode>0.00E+00</c:formatCode>
                <c:ptCount val="6"/>
                <c:pt idx="0">
                  <c:v>2.6102855559865461E-8</c:v>
                </c:pt>
                <c:pt idx="1">
                  <c:v>5.2444017775678374E-8</c:v>
                </c:pt>
                <c:pt idx="2">
                  <c:v>1.0610658899097288E-7</c:v>
                </c:pt>
                <c:pt idx="3">
                  <c:v>1.5653615372305593E-7</c:v>
                </c:pt>
                <c:pt idx="4">
                  <c:v>2.0890964819984223E-7</c:v>
                </c:pt>
                <c:pt idx="5">
                  <c:v>2.6004723323087304E-7</c:v>
                </c:pt>
              </c:numCache>
            </c:numRef>
          </c:xVal>
          <c:yVal>
            <c:numRef>
              <c:f>K2SO4!$R$28:$R$33</c:f>
              <c:numCache>
                <c:formatCode>0.0000</c:formatCode>
                <c:ptCount val="6"/>
                <c:pt idx="0">
                  <c:v>-1.6874563714980896E-2</c:v>
                </c:pt>
                <c:pt idx="1">
                  <c:v>-2.0976285836343183E-2</c:v>
                </c:pt>
                <c:pt idx="2">
                  <c:v>-1.5856389993448204E-2</c:v>
                </c:pt>
                <c:pt idx="3">
                  <c:v>-1.7324865158280953E-2</c:v>
                </c:pt>
                <c:pt idx="4">
                  <c:v>-2.8331360112949788E-2</c:v>
                </c:pt>
                <c:pt idx="5">
                  <c:v>-2.3922584613334075E-2</c:v>
                </c:pt>
              </c:numCache>
            </c:numRef>
          </c:yVal>
          <c:smooth val="0"/>
          <c:extLst>
            <c:ext xmlns:c16="http://schemas.microsoft.com/office/drawing/2014/chart" uri="{C3380CC4-5D6E-409C-BE32-E72D297353CC}">
              <c16:uniqueId val="{00000001-92DE-414C-82DD-CA4B16597F06}"/>
            </c:ext>
          </c:extLst>
        </c:ser>
        <c:dLbls>
          <c:showLegendKey val="0"/>
          <c:showVal val="0"/>
          <c:showCatName val="0"/>
          <c:showSerName val="0"/>
          <c:showPercent val="0"/>
          <c:showBubbleSize val="0"/>
        </c:dLbls>
        <c:axId val="13175363"/>
        <c:axId val="74082956"/>
      </c:scatterChart>
      <c:valAx>
        <c:axId val="13175363"/>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74082956"/>
        <c:crosses val="autoZero"/>
        <c:crossBetween val="midCat"/>
      </c:valAx>
      <c:valAx>
        <c:axId val="74082956"/>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13175363"/>
        <c:crosses val="autoZero"/>
        <c:crossBetween val="midCat"/>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D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GB" sz="1400" b="0" strike="noStrike" spc="-1">
                <a:solidFill>
                  <a:srgbClr val="595959"/>
                </a:solidFill>
                <a:latin typeface="Calibri"/>
              </a:defRPr>
            </a:pPr>
            <a:r>
              <a:rPr lang="en-GB" sz="1400" b="0" strike="noStrike" spc="-1">
                <a:solidFill>
                  <a:srgbClr val="595959"/>
                </a:solidFill>
                <a:latin typeface="Calibri"/>
              </a:rPr>
              <a:t>pH10</a:t>
            </a:r>
          </a:p>
        </c:rich>
      </c:tx>
      <c:overlay val="0"/>
      <c:spPr>
        <a:noFill/>
        <a:ln w="0">
          <a:noFill/>
        </a:ln>
      </c:spPr>
    </c:title>
    <c:autoTitleDeleted val="0"/>
    <c:plotArea>
      <c:layout/>
      <c:scatterChart>
        <c:scatterStyle val="lineMarker"/>
        <c:varyColors val="0"/>
        <c:ser>
          <c:idx val="0"/>
          <c:order val="0"/>
          <c:spPr>
            <a:ln w="19080" cap="rnd">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K2SO4!$J$34:$J$39</c:f>
              <c:numCache>
                <c:formatCode>0.00E+00</c:formatCode>
                <c:ptCount val="6"/>
                <c:pt idx="0">
                  <c:v>3.0291622469675868E-8</c:v>
                </c:pt>
                <c:pt idx="1">
                  <c:v>5.8487764696465997E-8</c:v>
                </c:pt>
                <c:pt idx="2">
                  <c:v>1.1628988912069916E-7</c:v>
                </c:pt>
                <c:pt idx="3">
                  <c:v>1.5188484613321984E-7</c:v>
                </c:pt>
                <c:pt idx="4">
                  <c:v>2.1992172846825688E-7</c:v>
                </c:pt>
                <c:pt idx="5">
                  <c:v>2.9108681632925344E-7</c:v>
                </c:pt>
              </c:numCache>
            </c:numRef>
          </c:xVal>
          <c:yVal>
            <c:numRef>
              <c:f>K2SO4!$Q$34:$Q$39</c:f>
              <c:numCache>
                <c:formatCode>0.0000</c:formatCode>
                <c:ptCount val="6"/>
                <c:pt idx="0">
                  <c:v>-1.8457546271965941E-2</c:v>
                </c:pt>
                <c:pt idx="1">
                  <c:v>-4.1696384867072056E-2</c:v>
                </c:pt>
                <c:pt idx="2">
                  <c:v>-4.9573107101258951E-2</c:v>
                </c:pt>
                <c:pt idx="3">
                  <c:v>-7.4098674945404674E-2</c:v>
                </c:pt>
                <c:pt idx="4">
                  <c:v>-9.3796078782751535E-2</c:v>
                </c:pt>
                <c:pt idx="5">
                  <c:v>-0.11400323004406465</c:v>
                </c:pt>
              </c:numCache>
            </c:numRef>
          </c:yVal>
          <c:smooth val="0"/>
          <c:extLst>
            <c:ext xmlns:c16="http://schemas.microsoft.com/office/drawing/2014/chart" uri="{C3380CC4-5D6E-409C-BE32-E72D297353CC}">
              <c16:uniqueId val="{00000000-6ADF-7A4D-8AAF-98DB7F3D488D}"/>
            </c:ext>
          </c:extLst>
        </c:ser>
        <c:ser>
          <c:idx val="1"/>
          <c:order val="1"/>
          <c:spPr>
            <a:ln w="1908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K2SO4!$J$34:$J$39</c:f>
              <c:numCache>
                <c:formatCode>0.00E+00</c:formatCode>
                <c:ptCount val="6"/>
                <c:pt idx="0">
                  <c:v>3.0291622469675868E-8</c:v>
                </c:pt>
                <c:pt idx="1">
                  <c:v>5.8487764696465997E-8</c:v>
                </c:pt>
                <c:pt idx="2">
                  <c:v>1.1628988912069916E-7</c:v>
                </c:pt>
                <c:pt idx="3">
                  <c:v>1.5188484613321984E-7</c:v>
                </c:pt>
                <c:pt idx="4">
                  <c:v>2.1992172846825688E-7</c:v>
                </c:pt>
                <c:pt idx="5">
                  <c:v>2.9108681632925344E-7</c:v>
                </c:pt>
              </c:numCache>
            </c:numRef>
          </c:xVal>
          <c:yVal>
            <c:numRef>
              <c:f>K2SO4!$R$34:$R$39</c:f>
              <c:numCache>
                <c:formatCode>0.0000</c:formatCode>
                <c:ptCount val="6"/>
                <c:pt idx="0">
                  <c:v>-2.1962488821072018E-2</c:v>
                </c:pt>
                <c:pt idx="1">
                  <c:v>-3.8583819332017259E-2</c:v>
                </c:pt>
                <c:pt idx="2">
                  <c:v>-6.3791940736377242E-2</c:v>
                </c:pt>
                <c:pt idx="3">
                  <c:v>-7.5200626407933541E-2</c:v>
                </c:pt>
                <c:pt idx="4">
                  <c:v>-9.3243839059351658E-2</c:v>
                </c:pt>
                <c:pt idx="5">
                  <c:v>-0.11410614226346921</c:v>
                </c:pt>
              </c:numCache>
            </c:numRef>
          </c:yVal>
          <c:smooth val="0"/>
          <c:extLst>
            <c:ext xmlns:c16="http://schemas.microsoft.com/office/drawing/2014/chart" uri="{C3380CC4-5D6E-409C-BE32-E72D297353CC}">
              <c16:uniqueId val="{00000001-6ADF-7A4D-8AAF-98DB7F3D488D}"/>
            </c:ext>
          </c:extLst>
        </c:ser>
        <c:dLbls>
          <c:showLegendKey val="0"/>
          <c:showVal val="0"/>
          <c:showCatName val="0"/>
          <c:showSerName val="0"/>
          <c:showPercent val="0"/>
          <c:showBubbleSize val="0"/>
        </c:dLbls>
        <c:axId val="91133846"/>
        <c:axId val="64285153"/>
      </c:scatterChart>
      <c:valAx>
        <c:axId val="91133846"/>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64285153"/>
        <c:crosses val="autoZero"/>
        <c:crossBetween val="midCat"/>
      </c:valAx>
      <c:valAx>
        <c:axId val="64285153"/>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91133846"/>
        <c:crosses val="autoZero"/>
        <c:crossBetween val="midCat"/>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D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GB" sz="1400" b="0" strike="noStrike" spc="-1">
                <a:solidFill>
                  <a:srgbClr val="595959"/>
                </a:solidFill>
                <a:latin typeface="Calibri"/>
              </a:defRPr>
            </a:pPr>
            <a:r>
              <a:rPr lang="en-GB" sz="1400" b="0" strike="noStrike" spc="-1">
                <a:solidFill>
                  <a:srgbClr val="595959"/>
                </a:solidFill>
                <a:latin typeface="Calibri"/>
              </a:rPr>
              <a:t>pH11</a:t>
            </a:r>
          </a:p>
        </c:rich>
      </c:tx>
      <c:overlay val="0"/>
      <c:spPr>
        <a:noFill/>
        <a:ln w="0">
          <a:noFill/>
        </a:ln>
      </c:spPr>
    </c:title>
    <c:autoTitleDeleted val="0"/>
    <c:plotArea>
      <c:layout/>
      <c:scatterChart>
        <c:scatterStyle val="lineMarker"/>
        <c:varyColors val="0"/>
        <c:ser>
          <c:idx val="0"/>
          <c:order val="0"/>
          <c:spPr>
            <a:ln w="19080" cap="rnd">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K2SO4!$J$40:$J$45</c:f>
              <c:numCache>
                <c:formatCode>0.00E+00</c:formatCode>
                <c:ptCount val="6"/>
                <c:pt idx="0">
                  <c:v>2.8798749066978927E-8</c:v>
                </c:pt>
                <c:pt idx="1">
                  <c:v>6.0193511764031543E-8</c:v>
                </c:pt>
                <c:pt idx="2">
                  <c:v>1.2368910883286641E-7</c:v>
                </c:pt>
                <c:pt idx="3">
                  <c:v>1.8191316733456191E-7</c:v>
                </c:pt>
                <c:pt idx="4">
                  <c:v>2.6457096426930396E-7</c:v>
                </c:pt>
                <c:pt idx="5">
                  <c:v>3.0545211677780889E-7</c:v>
                </c:pt>
              </c:numCache>
            </c:numRef>
          </c:xVal>
          <c:yVal>
            <c:numRef>
              <c:f>K2SO4!$Q$40:$Q$45</c:f>
              <c:numCache>
                <c:formatCode>0.0000</c:formatCode>
                <c:ptCount val="6"/>
                <c:pt idx="0">
                  <c:v>-3.1933216591342628E-2</c:v>
                </c:pt>
                <c:pt idx="1">
                  <c:v>-7.7071394545059069E-2</c:v>
                </c:pt>
                <c:pt idx="2">
                  <c:v>-0.10987301118394766</c:v>
                </c:pt>
                <c:pt idx="3">
                  <c:v>-0.13931194478243747</c:v>
                </c:pt>
                <c:pt idx="4">
                  <c:v>-0.21442996933590541</c:v>
                </c:pt>
                <c:pt idx="5">
                  <c:v>-0.25495517804317214</c:v>
                </c:pt>
              </c:numCache>
            </c:numRef>
          </c:yVal>
          <c:smooth val="0"/>
          <c:extLst>
            <c:ext xmlns:c16="http://schemas.microsoft.com/office/drawing/2014/chart" uri="{C3380CC4-5D6E-409C-BE32-E72D297353CC}">
              <c16:uniqueId val="{00000000-99BF-8147-9C4A-004C61E03E54}"/>
            </c:ext>
          </c:extLst>
        </c:ser>
        <c:ser>
          <c:idx val="1"/>
          <c:order val="1"/>
          <c:spPr>
            <a:ln w="1908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K2SO4!$J$40:$J$45</c:f>
              <c:numCache>
                <c:formatCode>0.00E+00</c:formatCode>
                <c:ptCount val="6"/>
                <c:pt idx="0">
                  <c:v>2.8798749066978927E-8</c:v>
                </c:pt>
                <c:pt idx="1">
                  <c:v>6.0193511764031543E-8</c:v>
                </c:pt>
                <c:pt idx="2">
                  <c:v>1.2368910883286641E-7</c:v>
                </c:pt>
                <c:pt idx="3">
                  <c:v>1.8191316733456191E-7</c:v>
                </c:pt>
                <c:pt idx="4">
                  <c:v>2.6457096426930396E-7</c:v>
                </c:pt>
                <c:pt idx="5">
                  <c:v>3.0545211677780889E-7</c:v>
                </c:pt>
              </c:numCache>
            </c:numRef>
          </c:xVal>
          <c:yVal>
            <c:numRef>
              <c:f>K2SO4!$R$40:$R$45</c:f>
              <c:numCache>
                <c:formatCode>0.0000</c:formatCode>
                <c:ptCount val="6"/>
                <c:pt idx="0">
                  <c:v>-3.7059990650619004E-2</c:v>
                </c:pt>
                <c:pt idx="1">
                  <c:v>-6.8324438763643955E-2</c:v>
                </c:pt>
                <c:pt idx="2">
                  <c:v>-0.11227557424605941</c:v>
                </c:pt>
                <c:pt idx="3">
                  <c:v>-0.14423838758016738</c:v>
                </c:pt>
                <c:pt idx="4">
                  <c:v>-0.20736229755115934</c:v>
                </c:pt>
                <c:pt idx="5">
                  <c:v>-0.25841041796535108</c:v>
                </c:pt>
              </c:numCache>
            </c:numRef>
          </c:yVal>
          <c:smooth val="0"/>
          <c:extLst>
            <c:ext xmlns:c16="http://schemas.microsoft.com/office/drawing/2014/chart" uri="{C3380CC4-5D6E-409C-BE32-E72D297353CC}">
              <c16:uniqueId val="{00000001-99BF-8147-9C4A-004C61E03E54}"/>
            </c:ext>
          </c:extLst>
        </c:ser>
        <c:dLbls>
          <c:showLegendKey val="0"/>
          <c:showVal val="0"/>
          <c:showCatName val="0"/>
          <c:showSerName val="0"/>
          <c:showPercent val="0"/>
          <c:showBubbleSize val="0"/>
        </c:dLbls>
        <c:axId val="45462093"/>
        <c:axId val="86137764"/>
      </c:scatterChart>
      <c:valAx>
        <c:axId val="45462093"/>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86137764"/>
        <c:crosses val="autoZero"/>
        <c:crossBetween val="midCat"/>
      </c:valAx>
      <c:valAx>
        <c:axId val="86137764"/>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45462093"/>
        <c:crosses val="autoZero"/>
        <c:crossBetween val="midCat"/>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D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GB" sz="1400" b="0" strike="noStrike" spc="-1">
                <a:solidFill>
                  <a:srgbClr val="595959"/>
                </a:solidFill>
                <a:latin typeface="Calibri"/>
              </a:defRPr>
            </a:pPr>
            <a:r>
              <a:rPr lang="en-GB" sz="1400" b="0" strike="noStrike" spc="-1">
                <a:solidFill>
                  <a:srgbClr val="595959"/>
                </a:solidFill>
                <a:latin typeface="Calibri"/>
              </a:rPr>
              <a:t>pH12</a:t>
            </a:r>
          </a:p>
        </c:rich>
      </c:tx>
      <c:overlay val="0"/>
      <c:spPr>
        <a:noFill/>
        <a:ln w="0">
          <a:noFill/>
        </a:ln>
      </c:spPr>
    </c:title>
    <c:autoTitleDeleted val="0"/>
    <c:plotArea>
      <c:layout/>
      <c:scatterChart>
        <c:scatterStyle val="lineMarker"/>
        <c:varyColors val="0"/>
        <c:ser>
          <c:idx val="0"/>
          <c:order val="0"/>
          <c:spPr>
            <a:ln w="19080" cap="rnd">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K2SO4!$J$46:$J$51</c:f>
              <c:numCache>
                <c:formatCode>0.00E+00</c:formatCode>
                <c:ptCount val="6"/>
                <c:pt idx="0">
                  <c:v>3.1227148040488254E-8</c:v>
                </c:pt>
                <c:pt idx="1">
                  <c:v>6.077481778040401E-8</c:v>
                </c:pt>
                <c:pt idx="2">
                  <c:v>1.2298047909882275E-7</c:v>
                </c:pt>
                <c:pt idx="3">
                  <c:v>1.8176177400245053E-7</c:v>
                </c:pt>
                <c:pt idx="4">
                  <c:v>2.3999776361161482E-7</c:v>
                </c:pt>
                <c:pt idx="5">
                  <c:v>3.0093364615953206E-7</c:v>
                </c:pt>
              </c:numCache>
            </c:numRef>
          </c:xVal>
          <c:yVal>
            <c:numRef>
              <c:f>K2SO4!$Q$46:$Q$51</c:f>
              <c:numCache>
                <c:formatCode>0.0000</c:formatCode>
                <c:ptCount val="6"/>
                <c:pt idx="0">
                  <c:v>-7.1826567373147854E-2</c:v>
                </c:pt>
                <c:pt idx="1">
                  <c:v>-0.12265612068873077</c:v>
                </c:pt>
                <c:pt idx="2">
                  <c:v>-0.24721624662828878</c:v>
                </c:pt>
                <c:pt idx="3">
                  <c:v>-0.33305003102312947</c:v>
                </c:pt>
                <c:pt idx="4">
                  <c:v>-0.45700174573598251</c:v>
                </c:pt>
                <c:pt idx="5">
                  <c:v>-0.53325444877165218</c:v>
                </c:pt>
              </c:numCache>
            </c:numRef>
          </c:yVal>
          <c:smooth val="0"/>
          <c:extLst>
            <c:ext xmlns:c16="http://schemas.microsoft.com/office/drawing/2014/chart" uri="{C3380CC4-5D6E-409C-BE32-E72D297353CC}">
              <c16:uniqueId val="{00000000-FA95-9C49-9354-627773496CF5}"/>
            </c:ext>
          </c:extLst>
        </c:ser>
        <c:ser>
          <c:idx val="1"/>
          <c:order val="1"/>
          <c:spPr>
            <a:ln w="1908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K2SO4!$J$46:$J$51</c:f>
              <c:numCache>
                <c:formatCode>0.00E+00</c:formatCode>
                <c:ptCount val="6"/>
                <c:pt idx="0">
                  <c:v>3.1227148040488254E-8</c:v>
                </c:pt>
                <c:pt idx="1">
                  <c:v>6.077481778040401E-8</c:v>
                </c:pt>
                <c:pt idx="2">
                  <c:v>1.2298047909882275E-7</c:v>
                </c:pt>
                <c:pt idx="3">
                  <c:v>1.8176177400245053E-7</c:v>
                </c:pt>
                <c:pt idx="4">
                  <c:v>2.3999776361161482E-7</c:v>
                </c:pt>
                <c:pt idx="5">
                  <c:v>3.0093364615953206E-7</c:v>
                </c:pt>
              </c:numCache>
            </c:numRef>
          </c:xVal>
          <c:yVal>
            <c:numRef>
              <c:f>K2SO4!$R$46:$R$51</c:f>
              <c:numCache>
                <c:formatCode>0.0000</c:formatCode>
                <c:ptCount val="6"/>
                <c:pt idx="0">
                  <c:v>-6.4818898501246003E-2</c:v>
                </c:pt>
                <c:pt idx="1">
                  <c:v>-0.12420986855296481</c:v>
                </c:pt>
                <c:pt idx="2">
                  <c:v>-0.24307181582186979</c:v>
                </c:pt>
                <c:pt idx="3">
                  <c:v>-0.34770037056853881</c:v>
                </c:pt>
                <c:pt idx="4">
                  <c:v>-0.4439894730347525</c:v>
                </c:pt>
                <c:pt idx="5">
                  <c:v>-0.53689023198291019</c:v>
                </c:pt>
              </c:numCache>
            </c:numRef>
          </c:yVal>
          <c:smooth val="0"/>
          <c:extLst>
            <c:ext xmlns:c16="http://schemas.microsoft.com/office/drawing/2014/chart" uri="{C3380CC4-5D6E-409C-BE32-E72D297353CC}">
              <c16:uniqueId val="{00000001-FA95-9C49-9354-627773496CF5}"/>
            </c:ext>
          </c:extLst>
        </c:ser>
        <c:dLbls>
          <c:showLegendKey val="0"/>
          <c:showVal val="0"/>
          <c:showCatName val="0"/>
          <c:showSerName val="0"/>
          <c:showPercent val="0"/>
          <c:showBubbleSize val="0"/>
        </c:dLbls>
        <c:axId val="62377515"/>
        <c:axId val="10973166"/>
      </c:scatterChart>
      <c:valAx>
        <c:axId val="62377515"/>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10973166"/>
        <c:crosses val="autoZero"/>
        <c:crossBetween val="midCat"/>
      </c:valAx>
      <c:valAx>
        <c:axId val="10973166"/>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62377515"/>
        <c:crosses val="autoZero"/>
        <c:crossBetween val="midCat"/>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D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a:pPr>
            <a:r>
              <a:rPr lang="en-GB"/>
              <a:t>Activity Coefficient</a:t>
            </a:r>
          </a:p>
        </c:rich>
      </c:tx>
      <c:overlay val="0"/>
      <c:spPr>
        <a:noFill/>
        <a:ln w="0">
          <a:noFill/>
        </a:ln>
      </c:spPr>
    </c:title>
    <c:autoTitleDeleted val="0"/>
    <c:plotArea>
      <c:layout/>
      <c:scatterChart>
        <c:scatterStyle val="lineMarker"/>
        <c:varyColors val="0"/>
        <c:ser>
          <c:idx val="0"/>
          <c:order val="0"/>
          <c:tx>
            <c:v>pH=4</c:v>
          </c:tx>
          <c:spPr>
            <a:ln w="19080" cap="rnd">
              <a:solidFill>
                <a:srgbClr val="4472C4"/>
              </a:solidFill>
              <a:round/>
            </a:ln>
          </c:spPr>
          <c:marker>
            <c:symbol val="circle"/>
            <c:size val="5"/>
            <c:spPr>
              <a:solidFill>
                <a:srgbClr val="4472C4"/>
              </a:solidFill>
            </c:spPr>
          </c:marker>
          <c:dLbls>
            <c:spPr>
              <a:noFill/>
              <a:ln>
                <a:noFill/>
              </a:ln>
              <a:effectLst/>
            </c:sp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K2SO4!$I$4:$I$9</c:f>
              <c:numCache>
                <c:formatCode>0.0</c:formatCode>
                <c:ptCount val="6"/>
                <c:pt idx="0">
                  <c:v>30.066666666666666</c:v>
                </c:pt>
                <c:pt idx="1">
                  <c:v>59.933333333333337</c:v>
                </c:pt>
                <c:pt idx="2">
                  <c:v>119.13333333333334</c:v>
                </c:pt>
                <c:pt idx="3">
                  <c:v>177.70000000000002</c:v>
                </c:pt>
                <c:pt idx="4">
                  <c:v>234.23333333333332</c:v>
                </c:pt>
                <c:pt idx="5">
                  <c:v>294.5</c:v>
                </c:pt>
              </c:numCache>
            </c:numRef>
          </c:xVal>
          <c:yVal>
            <c:numRef>
              <c:f>K2SO4!$X$4:$X$9</c:f>
              <c:numCache>
                <c:formatCode>0.0000</c:formatCode>
                <c:ptCount val="6"/>
                <c:pt idx="0">
                  <c:v>0.95785563237170335</c:v>
                </c:pt>
                <c:pt idx="1">
                  <c:v>0.88856248745155897</c:v>
                </c:pt>
                <c:pt idx="2">
                  <c:v>0.82319904514524078</c:v>
                </c:pt>
                <c:pt idx="3">
                  <c:v>0.75992973227633043</c:v>
                </c:pt>
                <c:pt idx="4">
                  <c:v>0.71405798473380133</c:v>
                </c:pt>
                <c:pt idx="5">
                  <c:v>0.66569057461055092</c:v>
                </c:pt>
              </c:numCache>
            </c:numRef>
          </c:yVal>
          <c:smooth val="0"/>
          <c:extLst>
            <c:ext xmlns:c16="http://schemas.microsoft.com/office/drawing/2014/chart" uri="{C3380CC4-5D6E-409C-BE32-E72D297353CC}">
              <c16:uniqueId val="{00000000-C1B7-3B42-998A-8B35C31F17E1}"/>
            </c:ext>
          </c:extLst>
        </c:ser>
        <c:ser>
          <c:idx val="1"/>
          <c:order val="1"/>
          <c:tx>
            <c:v>pH=5</c:v>
          </c:tx>
          <c:spPr>
            <a:ln w="19080" cap="rnd">
              <a:solidFill>
                <a:srgbClr val="ED7D31"/>
              </a:solidFill>
              <a:round/>
            </a:ln>
          </c:spPr>
          <c:marker>
            <c:symbol val="circle"/>
            <c:size val="5"/>
            <c:spPr>
              <a:solidFill>
                <a:srgbClr val="ED7D31"/>
              </a:solidFill>
            </c:spPr>
          </c:marker>
          <c:dLbls>
            <c:spPr>
              <a:noFill/>
              <a:ln>
                <a:noFill/>
              </a:ln>
              <a:effectLst/>
            </c:sp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K2SO4!$I$10:$I$15</c:f>
              <c:numCache>
                <c:formatCode>0.0</c:formatCode>
                <c:ptCount val="6"/>
                <c:pt idx="0">
                  <c:v>28.043478260869563</c:v>
                </c:pt>
                <c:pt idx="1">
                  <c:v>55.652173913043477</c:v>
                </c:pt>
                <c:pt idx="2">
                  <c:v>109.78260869565216</c:v>
                </c:pt>
                <c:pt idx="3">
                  <c:v>164.50310559006209</c:v>
                </c:pt>
                <c:pt idx="4">
                  <c:v>216.36645962732916</c:v>
                </c:pt>
                <c:pt idx="5">
                  <c:v>270.03105590062108</c:v>
                </c:pt>
              </c:numCache>
            </c:numRef>
          </c:xVal>
          <c:yVal>
            <c:numRef>
              <c:f>K2SO4!$X$10:$X$15</c:f>
              <c:numCache>
                <c:formatCode>0.0000</c:formatCode>
                <c:ptCount val="6"/>
                <c:pt idx="0">
                  <c:v>0.97035131338629821</c:v>
                </c:pt>
                <c:pt idx="1">
                  <c:v>0.92312805713277368</c:v>
                </c:pt>
                <c:pt idx="2">
                  <c:v>0.88281856384583346</c:v>
                </c:pt>
                <c:pt idx="3">
                  <c:v>0.85245305756158374</c:v>
                </c:pt>
                <c:pt idx="4">
                  <c:v>0.82311059463135627</c:v>
                </c:pt>
                <c:pt idx="5">
                  <c:v>0.79208799949542141</c:v>
                </c:pt>
              </c:numCache>
            </c:numRef>
          </c:yVal>
          <c:smooth val="0"/>
          <c:extLst>
            <c:ext xmlns:c16="http://schemas.microsoft.com/office/drawing/2014/chart" uri="{C3380CC4-5D6E-409C-BE32-E72D297353CC}">
              <c16:uniqueId val="{00000001-C1B7-3B42-998A-8B35C31F17E1}"/>
            </c:ext>
          </c:extLst>
        </c:ser>
        <c:ser>
          <c:idx val="2"/>
          <c:order val="2"/>
          <c:tx>
            <c:v>pH=6</c:v>
          </c:tx>
          <c:spPr>
            <a:ln w="19080" cap="rnd">
              <a:solidFill>
                <a:srgbClr val="A5A5A5"/>
              </a:solidFill>
              <a:round/>
            </a:ln>
          </c:spPr>
          <c:marker>
            <c:symbol val="circle"/>
            <c:size val="5"/>
            <c:spPr>
              <a:solidFill>
                <a:srgbClr val="A5A5A5"/>
              </a:solidFill>
            </c:spPr>
          </c:marker>
          <c:dLbls>
            <c:spPr>
              <a:noFill/>
              <a:ln>
                <a:noFill/>
              </a:ln>
              <a:effectLst/>
            </c:sp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K2SO4!$I$16:$I$21</c:f>
              <c:numCache>
                <c:formatCode>0.0</c:formatCode>
                <c:ptCount val="6"/>
                <c:pt idx="0">
                  <c:v>27.753846153846155</c:v>
                </c:pt>
                <c:pt idx="1">
                  <c:v>55.969230769230769</c:v>
                </c:pt>
                <c:pt idx="2">
                  <c:v>115.56923076923077</c:v>
                </c:pt>
                <c:pt idx="3">
                  <c:v>167.63076923076923</c:v>
                </c:pt>
                <c:pt idx="4">
                  <c:v>219.53846153846152</c:v>
                </c:pt>
                <c:pt idx="5">
                  <c:v>276.5846153846154</c:v>
                </c:pt>
              </c:numCache>
            </c:numRef>
          </c:xVal>
          <c:yVal>
            <c:numRef>
              <c:f>K2SO4!$X$16:$X$21</c:f>
              <c:numCache>
                <c:formatCode>0.0000</c:formatCode>
                <c:ptCount val="6"/>
                <c:pt idx="0">
                  <c:v>0.96144159373551186</c:v>
                </c:pt>
                <c:pt idx="1">
                  <c:v>0.94495671234048306</c:v>
                </c:pt>
                <c:pt idx="2">
                  <c:v>0.90708886500035812</c:v>
                </c:pt>
                <c:pt idx="3">
                  <c:v>0.89207740579443151</c:v>
                </c:pt>
                <c:pt idx="4">
                  <c:v>0.86880978121225905</c:v>
                </c:pt>
                <c:pt idx="5">
                  <c:v>0.84153823631817315</c:v>
                </c:pt>
              </c:numCache>
            </c:numRef>
          </c:yVal>
          <c:smooth val="0"/>
          <c:extLst>
            <c:ext xmlns:c16="http://schemas.microsoft.com/office/drawing/2014/chart" uri="{C3380CC4-5D6E-409C-BE32-E72D297353CC}">
              <c16:uniqueId val="{00000002-C1B7-3B42-998A-8B35C31F17E1}"/>
            </c:ext>
          </c:extLst>
        </c:ser>
        <c:ser>
          <c:idx val="3"/>
          <c:order val="3"/>
          <c:tx>
            <c:v>pH=8</c:v>
          </c:tx>
          <c:spPr>
            <a:ln w="19080" cap="rnd">
              <a:solidFill>
                <a:srgbClr val="FFC000"/>
              </a:solidFill>
              <a:round/>
            </a:ln>
          </c:spPr>
          <c:marker>
            <c:symbol val="circle"/>
            <c:size val="5"/>
            <c:spPr>
              <a:solidFill>
                <a:srgbClr val="FFC000"/>
              </a:solidFill>
            </c:spPr>
          </c:marker>
          <c:dLbls>
            <c:spPr>
              <a:noFill/>
              <a:ln>
                <a:noFill/>
              </a:ln>
              <a:effectLst/>
            </c:sp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K2SO4!$I$22:$I$27</c:f>
              <c:numCache>
                <c:formatCode>0.0</c:formatCode>
                <c:ptCount val="6"/>
                <c:pt idx="0">
                  <c:v>23.899204244031829</c:v>
                </c:pt>
                <c:pt idx="1">
                  <c:v>48.832891246684348</c:v>
                </c:pt>
                <c:pt idx="2">
                  <c:v>107.95755968169762</c:v>
                </c:pt>
                <c:pt idx="3">
                  <c:v>147.42705570291778</c:v>
                </c:pt>
                <c:pt idx="4">
                  <c:v>191.27320954907162</c:v>
                </c:pt>
                <c:pt idx="5">
                  <c:v>246.63129973474801</c:v>
                </c:pt>
              </c:numCache>
            </c:numRef>
          </c:xVal>
          <c:yVal>
            <c:numRef>
              <c:f>K2SO4!$X$22:$X$27</c:f>
              <c:numCache>
                <c:formatCode>0.0000</c:formatCode>
                <c:ptCount val="6"/>
                <c:pt idx="0">
                  <c:v>0.94971440009788821</c:v>
                </c:pt>
                <c:pt idx="1">
                  <c:v>0.94505121159231142</c:v>
                </c:pt>
                <c:pt idx="2">
                  <c:v>0.9469102322599029</c:v>
                </c:pt>
                <c:pt idx="3">
                  <c:v>0.96061145215368071</c:v>
                </c:pt>
                <c:pt idx="4">
                  <c:v>0.93726296125900654</c:v>
                </c:pt>
                <c:pt idx="5">
                  <c:v>0.93178581770927238</c:v>
                </c:pt>
              </c:numCache>
            </c:numRef>
          </c:yVal>
          <c:smooth val="0"/>
          <c:extLst>
            <c:ext xmlns:c16="http://schemas.microsoft.com/office/drawing/2014/chart" uri="{C3380CC4-5D6E-409C-BE32-E72D297353CC}">
              <c16:uniqueId val="{00000003-C1B7-3B42-998A-8B35C31F17E1}"/>
            </c:ext>
          </c:extLst>
        </c:ser>
        <c:ser>
          <c:idx val="4"/>
          <c:order val="4"/>
          <c:tx>
            <c:v>pH=8.25</c:v>
          </c:tx>
          <c:spPr>
            <a:ln w="19080" cap="rnd">
              <a:solidFill>
                <a:srgbClr val="5B9BD5"/>
              </a:solidFill>
              <a:round/>
            </a:ln>
          </c:spPr>
          <c:marker>
            <c:symbol val="circle"/>
            <c:size val="5"/>
            <c:spPr>
              <a:solidFill>
                <a:srgbClr val="5B9BD5"/>
              </a:solidFill>
            </c:spPr>
          </c:marker>
          <c:dLbls>
            <c:spPr>
              <a:noFill/>
              <a:ln>
                <a:noFill/>
              </a:ln>
              <a:effectLst/>
            </c:sp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K2SO4!$I$28:$I$33</c:f>
              <c:numCache>
                <c:formatCode>0.0</c:formatCode>
                <c:ptCount val="6"/>
                <c:pt idx="0">
                  <c:v>25.552407932011334</c:v>
                </c:pt>
                <c:pt idx="1">
                  <c:v>51.303116147308778</c:v>
                </c:pt>
                <c:pt idx="2">
                  <c:v>103.65439093484419</c:v>
                </c:pt>
                <c:pt idx="3">
                  <c:v>152.71954674220964</c:v>
                </c:pt>
                <c:pt idx="4">
                  <c:v>203.54107648725213</c:v>
                </c:pt>
                <c:pt idx="5">
                  <c:v>253.03116147308785</c:v>
                </c:pt>
              </c:numCache>
            </c:numRef>
          </c:xVal>
          <c:yVal>
            <c:numRef>
              <c:f>K2SO4!$X$28:$X$33</c:f>
              <c:numCache>
                <c:formatCode>0.0000</c:formatCode>
                <c:ptCount val="6"/>
                <c:pt idx="0">
                  <c:v>0.96742577483587133</c:v>
                </c:pt>
                <c:pt idx="1">
                  <c:v>0.9393887702363326</c:v>
                </c:pt>
                <c:pt idx="2">
                  <c:v>0.94338361249601377</c:v>
                </c:pt>
                <c:pt idx="3">
                  <c:v>0.92700124963628661</c:v>
                </c:pt>
                <c:pt idx="4">
                  <c:v>0.91641608909325656</c:v>
                </c:pt>
                <c:pt idx="5">
                  <c:v>0.91273531501595839</c:v>
                </c:pt>
              </c:numCache>
            </c:numRef>
          </c:yVal>
          <c:smooth val="0"/>
          <c:extLst>
            <c:ext xmlns:c16="http://schemas.microsoft.com/office/drawing/2014/chart" uri="{C3380CC4-5D6E-409C-BE32-E72D297353CC}">
              <c16:uniqueId val="{00000004-C1B7-3B42-998A-8B35C31F17E1}"/>
            </c:ext>
          </c:extLst>
        </c:ser>
        <c:ser>
          <c:idx val="5"/>
          <c:order val="5"/>
          <c:tx>
            <c:v>pH=10</c:v>
          </c:tx>
          <c:spPr>
            <a:ln w="19080" cap="rnd">
              <a:solidFill>
                <a:srgbClr val="70AD47"/>
              </a:solidFill>
              <a:round/>
            </a:ln>
          </c:spPr>
          <c:marker>
            <c:symbol val="circle"/>
            <c:size val="5"/>
            <c:spPr>
              <a:solidFill>
                <a:srgbClr val="70AD47"/>
              </a:solidFill>
            </c:spPr>
          </c:marker>
          <c:dLbls>
            <c:spPr>
              <a:noFill/>
              <a:ln>
                <a:noFill/>
              </a:ln>
              <a:effectLst/>
            </c:sp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K2SO4!$I$34:$I$39</c:f>
              <c:numCache>
                <c:formatCode>0.0</c:formatCode>
                <c:ptCount val="6"/>
                <c:pt idx="0">
                  <c:v>29.651898734177216</c:v>
                </c:pt>
                <c:pt idx="1">
                  <c:v>57.215189873417721</c:v>
                </c:pt>
                <c:pt idx="2">
                  <c:v>113.60759493670885</c:v>
                </c:pt>
                <c:pt idx="3">
                  <c:v>148.25949367088609</c:v>
                </c:pt>
                <c:pt idx="4">
                  <c:v>214.33544303797467</c:v>
                </c:pt>
                <c:pt idx="5">
                  <c:v>283.22784810126581</c:v>
                </c:pt>
              </c:numCache>
            </c:numRef>
          </c:xVal>
          <c:yVal>
            <c:numRef>
              <c:f>K2SO4!$X$34:$X$39</c:f>
              <c:numCache>
                <c:formatCode>0.0000</c:formatCode>
                <c:ptCount val="6"/>
                <c:pt idx="0">
                  <c:v>0.95926602458238741</c:v>
                </c:pt>
                <c:pt idx="1">
                  <c:v>0.919127614231667</c:v>
                </c:pt>
                <c:pt idx="2">
                  <c:v>0.88075112522671728</c:v>
                </c:pt>
                <c:pt idx="3">
                  <c:v>0.84362513319488608</c:v>
                </c:pt>
                <c:pt idx="4">
                  <c:v>0.80189115637356512</c:v>
                </c:pt>
                <c:pt idx="5">
                  <c:v>0.76355396925497809</c:v>
                </c:pt>
              </c:numCache>
            </c:numRef>
          </c:yVal>
          <c:smooth val="0"/>
          <c:extLst>
            <c:ext xmlns:c16="http://schemas.microsoft.com/office/drawing/2014/chart" uri="{C3380CC4-5D6E-409C-BE32-E72D297353CC}">
              <c16:uniqueId val="{00000005-C1B7-3B42-998A-8B35C31F17E1}"/>
            </c:ext>
          </c:extLst>
        </c:ser>
        <c:ser>
          <c:idx val="6"/>
          <c:order val="6"/>
          <c:tx>
            <c:v>pH=11</c:v>
          </c:tx>
          <c:spPr>
            <a:ln w="19080" cap="rnd">
              <a:solidFill>
                <a:srgbClr val="264478"/>
              </a:solidFill>
              <a:round/>
            </a:ln>
          </c:spPr>
          <c:marker>
            <c:symbol val="circle"/>
            <c:size val="5"/>
            <c:spPr>
              <a:solidFill>
                <a:srgbClr val="264478"/>
              </a:solidFill>
            </c:spPr>
          </c:marker>
          <c:dLbls>
            <c:spPr>
              <a:noFill/>
              <a:ln>
                <a:noFill/>
              </a:ln>
              <a:effectLst/>
            </c:sp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K2SO4!$I$40:$I$45</c:f>
              <c:numCache>
                <c:formatCode>0.0</c:formatCode>
                <c:ptCount val="6"/>
                <c:pt idx="0">
                  <c:v>28.190789473684209</c:v>
                </c:pt>
                <c:pt idx="1">
                  <c:v>58.881578947368418</c:v>
                </c:pt>
                <c:pt idx="2">
                  <c:v>120.82236842105263</c:v>
                </c:pt>
                <c:pt idx="3">
                  <c:v>177.46710526315789</c:v>
                </c:pt>
                <c:pt idx="4">
                  <c:v>257.63157894736844</c:v>
                </c:pt>
                <c:pt idx="5">
                  <c:v>297.17105263157902</c:v>
                </c:pt>
              </c:numCache>
            </c:numRef>
          </c:xVal>
          <c:yVal>
            <c:numRef>
              <c:f>K2SO4!$X$40:$X$45</c:f>
              <c:numCache>
                <c:formatCode>0.0000</c:formatCode>
                <c:ptCount val="6"/>
                <c:pt idx="0">
                  <c:v>0.93120550227226573</c:v>
                </c:pt>
                <c:pt idx="1">
                  <c:v>0.8569605027659366</c:v>
                </c:pt>
                <c:pt idx="2">
                  <c:v>0.77766785161298291</c:v>
                </c:pt>
                <c:pt idx="3">
                  <c:v>0.71894637567061459</c:v>
                </c:pt>
                <c:pt idx="4">
                  <c:v>0.6256247454008429</c:v>
                </c:pt>
                <c:pt idx="5">
                  <c:v>0.58118129759987192</c:v>
                </c:pt>
              </c:numCache>
            </c:numRef>
          </c:yVal>
          <c:smooth val="0"/>
          <c:extLst>
            <c:ext xmlns:c16="http://schemas.microsoft.com/office/drawing/2014/chart" uri="{C3380CC4-5D6E-409C-BE32-E72D297353CC}">
              <c16:uniqueId val="{00000006-C1B7-3B42-998A-8B35C31F17E1}"/>
            </c:ext>
          </c:extLst>
        </c:ser>
        <c:ser>
          <c:idx val="7"/>
          <c:order val="7"/>
          <c:tx>
            <c:v>pH=12</c:v>
          </c:tx>
          <c:spPr>
            <a:ln w="19080" cap="rnd">
              <a:solidFill>
                <a:srgbClr val="9E480E"/>
              </a:solidFill>
              <a:round/>
            </a:ln>
          </c:spPr>
          <c:marker>
            <c:symbol val="circle"/>
            <c:size val="5"/>
            <c:spPr>
              <a:solidFill>
                <a:srgbClr val="9E480E"/>
              </a:solidFill>
            </c:spPr>
          </c:marker>
          <c:dLbls>
            <c:spPr>
              <a:noFill/>
              <a:ln>
                <a:noFill/>
              </a:ln>
              <a:effectLst/>
            </c:sp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K2SO4!$I$46:$I$51</c:f>
              <c:numCache>
                <c:formatCode>0.0</c:formatCode>
                <c:ptCount val="6"/>
                <c:pt idx="0">
                  <c:v>30.550161812297731</c:v>
                </c:pt>
                <c:pt idx="1">
                  <c:v>59.417475728155338</c:v>
                </c:pt>
                <c:pt idx="2">
                  <c:v>120.06472491909385</c:v>
                </c:pt>
                <c:pt idx="3">
                  <c:v>177.2168284789644</c:v>
                </c:pt>
                <c:pt idx="4">
                  <c:v>233.6893203883495</c:v>
                </c:pt>
                <c:pt idx="5">
                  <c:v>292.62135922330094</c:v>
                </c:pt>
              </c:numCache>
            </c:numRef>
          </c:xVal>
          <c:yVal>
            <c:numRef>
              <c:f>K2SO4!$X$46:$X$51</c:f>
              <c:numCache>
                <c:formatCode>0.0000</c:formatCode>
                <c:ptCount val="6"/>
                <c:pt idx="0">
                  <c:v>0.87181966244236908</c:v>
                </c:pt>
                <c:pt idx="1">
                  <c:v>0.77968680494865117</c:v>
                </c:pt>
                <c:pt idx="2">
                  <c:v>0.60746229997175516</c:v>
                </c:pt>
                <c:pt idx="3">
                  <c:v>0.49727480182463174</c:v>
                </c:pt>
                <c:pt idx="4">
                  <c:v>0.39371308249446907</c:v>
                </c:pt>
                <c:pt idx="5">
                  <c:v>0.32657105298006628</c:v>
                </c:pt>
              </c:numCache>
            </c:numRef>
          </c:yVal>
          <c:smooth val="0"/>
          <c:extLst>
            <c:ext xmlns:c16="http://schemas.microsoft.com/office/drawing/2014/chart" uri="{C3380CC4-5D6E-409C-BE32-E72D297353CC}">
              <c16:uniqueId val="{00000007-C1B7-3B42-998A-8B35C31F17E1}"/>
            </c:ext>
          </c:extLst>
        </c:ser>
        <c:dLbls>
          <c:showLegendKey val="0"/>
          <c:showVal val="0"/>
          <c:showCatName val="0"/>
          <c:showSerName val="0"/>
          <c:showPercent val="0"/>
          <c:showBubbleSize val="0"/>
        </c:dLbls>
        <c:axId val="22725216"/>
        <c:axId val="94868951"/>
      </c:scatterChart>
      <c:valAx>
        <c:axId val="22725216"/>
        <c:scaling>
          <c:orientation val="minMax"/>
        </c:scaling>
        <c:delete val="0"/>
        <c:axPos val="b"/>
        <c:title>
          <c:tx>
            <c:rich>
              <a:bodyPr rot="0"/>
              <a:lstStyle/>
              <a:p>
                <a:pPr>
                  <a:defRPr/>
                </a:pPr>
                <a:r>
                  <a:rPr lang="en-GB"/>
                  <a:t>Protein Concentration (𝝁M)</a:t>
                </a:r>
              </a:p>
            </c:rich>
          </c:tx>
          <c:overlay val="0"/>
          <c:spPr>
            <a:noFill/>
            <a:ln w="0">
              <a:noFill/>
            </a:ln>
          </c:spPr>
        </c:title>
        <c:numFmt formatCode="0.0" sourceLinked="0"/>
        <c:majorTickMark val="out"/>
        <c:minorTickMark val="none"/>
        <c:tickLblPos val="nextTo"/>
        <c:spPr>
          <a:ln w="9360">
            <a:solidFill>
              <a:srgbClr val="BFBFBF"/>
            </a:solidFill>
            <a:round/>
          </a:ln>
        </c:spPr>
        <c:crossAx val="94868951"/>
        <c:crosses val="autoZero"/>
        <c:crossBetween val="midCat"/>
      </c:valAx>
      <c:valAx>
        <c:axId val="94868951"/>
        <c:scaling>
          <c:orientation val="minMax"/>
          <c:max val="1.1000000000000001"/>
          <c:min val="0"/>
        </c:scaling>
        <c:delete val="0"/>
        <c:axPos val="l"/>
        <c:majorGridlines>
          <c:spPr>
            <a:ln w="9360">
              <a:solidFill>
                <a:srgbClr val="D9D9D9"/>
              </a:solidFill>
              <a:round/>
            </a:ln>
          </c:spPr>
        </c:majorGridlines>
        <c:title>
          <c:tx>
            <c:rich>
              <a:bodyPr rot="-5400000"/>
              <a:lstStyle/>
              <a:p>
                <a:pPr>
                  <a:defRPr/>
                </a:pPr>
                <a:r>
                  <a:rPr lang="en-GB"/>
                  <a:t>𝜸</a:t>
                </a:r>
              </a:p>
            </c:rich>
          </c:tx>
          <c:overlay val="0"/>
          <c:spPr>
            <a:noFill/>
            <a:ln w="0">
              <a:noFill/>
            </a:ln>
          </c:spPr>
        </c:title>
        <c:numFmt formatCode="0.0" sourceLinked="0"/>
        <c:majorTickMark val="none"/>
        <c:minorTickMark val="none"/>
        <c:tickLblPos val="nextTo"/>
        <c:spPr>
          <a:ln w="9360">
            <a:solidFill>
              <a:srgbClr val="BFBFBF"/>
            </a:solidFill>
            <a:round/>
          </a:ln>
        </c:spPr>
        <c:crossAx val="22725216"/>
        <c:crosses val="autoZero"/>
        <c:crossBetween val="midCat"/>
        <c:majorUnit val="0.1"/>
      </c:valAx>
      <c:spPr>
        <a:noFill/>
        <a:ln w="0">
          <a:noFill/>
        </a:ln>
      </c:spPr>
    </c:plotArea>
    <c:legend>
      <c:legendPos val="r"/>
      <c:overlay val="0"/>
      <c:spPr>
        <a:noFill/>
        <a:ln w="0">
          <a:noFill/>
        </a:ln>
      </c:spPr>
    </c:legend>
    <c:plotVisOnly val="1"/>
    <c:dispBlanksAs val="gap"/>
    <c:showDLblsOverMax val="1"/>
  </c:chart>
  <c:spPr>
    <a:solidFill>
      <a:srgbClr val="FFFFFF"/>
    </a:solidFill>
    <a:ln w="9360">
      <a:noFill/>
    </a:ln>
  </c:spPr>
  <c:txPr>
    <a:bodyPr/>
    <a:lstStyle/>
    <a:p>
      <a:pPr>
        <a:defRPr>
          <a:solidFill>
            <a:schemeClr val="tx1"/>
          </a:solidFill>
          <a:latin typeface="Times New Roman" panose="02020603050405020304" pitchFamily="18" charset="0"/>
          <a:cs typeface="Times New Roman" panose="02020603050405020304" pitchFamily="18" charset="0"/>
        </a:defRPr>
      </a:pPr>
      <a:endParaRPr lang="en-DE"/>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GB" sz="1400" b="0" strike="noStrike" spc="-1">
                <a:solidFill>
                  <a:srgbClr val="595959"/>
                </a:solidFill>
                <a:latin typeface="Calibri"/>
              </a:defRPr>
            </a:pPr>
            <a:r>
              <a:rPr lang="en-GB" sz="1400" b="0" strike="noStrike" spc="-1">
                <a:solidFill>
                  <a:srgbClr val="595959"/>
                </a:solidFill>
                <a:latin typeface="Calibri"/>
              </a:rPr>
              <a:t>Activity Coefficient Agena</a:t>
            </a:r>
          </a:p>
        </c:rich>
      </c:tx>
      <c:overlay val="0"/>
      <c:spPr>
        <a:noFill/>
        <a:ln w="0">
          <a:noFill/>
        </a:ln>
      </c:spPr>
    </c:title>
    <c:autoTitleDeleted val="0"/>
    <c:plotArea>
      <c:layout/>
      <c:scatterChart>
        <c:scatterStyle val="lineMarker"/>
        <c:varyColors val="0"/>
        <c:ser>
          <c:idx val="0"/>
          <c:order val="0"/>
          <c:tx>
            <c:v>pH4</c:v>
          </c:tx>
          <c:spPr>
            <a:ln w="19080" cap="rnd">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K2SO4!$G$4:$G$9</c:f>
              <c:numCache>
                <c:formatCode>General</c:formatCode>
                <c:ptCount val="6"/>
                <c:pt idx="0">
                  <c:v>0.90200000000000002</c:v>
                </c:pt>
                <c:pt idx="1">
                  <c:v>1.798</c:v>
                </c:pt>
                <c:pt idx="2">
                  <c:v>3.5739999999999998</c:v>
                </c:pt>
                <c:pt idx="3">
                  <c:v>5.3310000000000004</c:v>
                </c:pt>
                <c:pt idx="4">
                  <c:v>7.0270000000000001</c:v>
                </c:pt>
                <c:pt idx="5">
                  <c:v>8.8350000000000009</c:v>
                </c:pt>
              </c:numCache>
            </c:numRef>
          </c:xVal>
          <c:yVal>
            <c:numRef>
              <c:f>K2SO4!$W$4:$W$9</c:f>
              <c:numCache>
                <c:formatCode>0.0000</c:formatCode>
                <c:ptCount val="6"/>
                <c:pt idx="0">
                  <c:v>0.96792029812221203</c:v>
                </c:pt>
                <c:pt idx="1">
                  <c:v>0.93703198888826156</c:v>
                </c:pt>
                <c:pt idx="2">
                  <c:v>0.87857642580345618</c:v>
                </c:pt>
                <c:pt idx="3">
                  <c:v>0.82419583686385012</c:v>
                </c:pt>
                <c:pt idx="4">
                  <c:v>0.774773998394644</c:v>
                </c:pt>
                <c:pt idx="5">
                  <c:v>0.72522128634666116</c:v>
                </c:pt>
              </c:numCache>
            </c:numRef>
          </c:yVal>
          <c:smooth val="0"/>
          <c:extLst>
            <c:ext xmlns:c16="http://schemas.microsoft.com/office/drawing/2014/chart" uri="{C3380CC4-5D6E-409C-BE32-E72D297353CC}">
              <c16:uniqueId val="{00000000-CCFF-2A44-8277-D8B76D56F0BB}"/>
            </c:ext>
          </c:extLst>
        </c:ser>
        <c:ser>
          <c:idx val="1"/>
          <c:order val="1"/>
          <c:tx>
            <c:v>pH5</c:v>
          </c:tx>
          <c:spPr>
            <a:ln w="1908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K2SO4!$G$10:$G$15</c:f>
              <c:numCache>
                <c:formatCode>General</c:formatCode>
                <c:ptCount val="6"/>
                <c:pt idx="0">
                  <c:v>0.90300000000000002</c:v>
                </c:pt>
                <c:pt idx="1">
                  <c:v>1.792</c:v>
                </c:pt>
                <c:pt idx="2">
                  <c:v>3.5350000000000001</c:v>
                </c:pt>
                <c:pt idx="3">
                  <c:v>5.2969999999999997</c:v>
                </c:pt>
                <c:pt idx="4">
                  <c:v>6.9669999999999996</c:v>
                </c:pt>
                <c:pt idx="5">
                  <c:v>8.6950000000000003</c:v>
                </c:pt>
              </c:numCache>
            </c:numRef>
          </c:xVal>
          <c:yVal>
            <c:numRef>
              <c:f>K2SO4!$W$10:$W$15</c:f>
              <c:numCache>
                <c:formatCode>0.0000</c:formatCode>
                <c:ptCount val="6"/>
                <c:pt idx="0">
                  <c:v>0.98268786970208832</c:v>
                </c:pt>
                <c:pt idx="1">
                  <c:v>0.96591462373216441</c:v>
                </c:pt>
                <c:pt idx="2">
                  <c:v>0.93379257951275674</c:v>
                </c:pt>
                <c:pt idx="3">
                  <c:v>0.90232469008252691</c:v>
                </c:pt>
                <c:pt idx="4">
                  <c:v>0.87340591416370228</c:v>
                </c:pt>
                <c:pt idx="5">
                  <c:v>0.84438515327264418</c:v>
                </c:pt>
              </c:numCache>
            </c:numRef>
          </c:yVal>
          <c:smooth val="0"/>
          <c:extLst>
            <c:ext xmlns:c16="http://schemas.microsoft.com/office/drawing/2014/chart" uri="{C3380CC4-5D6E-409C-BE32-E72D297353CC}">
              <c16:uniqueId val="{00000001-CCFF-2A44-8277-D8B76D56F0BB}"/>
            </c:ext>
          </c:extLst>
        </c:ser>
        <c:ser>
          <c:idx val="2"/>
          <c:order val="2"/>
          <c:tx>
            <c:v>pH6</c:v>
          </c:tx>
          <c:spPr>
            <a:ln w="19080" cap="rnd">
              <a:solidFill>
                <a:srgbClr val="A5A5A5"/>
              </a:solidFill>
              <a:round/>
            </a:ln>
          </c:spPr>
          <c:marker>
            <c:symbol val="circle"/>
            <c:size val="5"/>
            <c:spPr>
              <a:solidFill>
                <a:srgbClr val="A5A5A5"/>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K2SO4!$G$16:$G$21</c:f>
              <c:numCache>
                <c:formatCode>General</c:formatCode>
                <c:ptCount val="6"/>
                <c:pt idx="0">
                  <c:v>0.90200000000000002</c:v>
                </c:pt>
                <c:pt idx="1">
                  <c:v>1.819</c:v>
                </c:pt>
                <c:pt idx="2">
                  <c:v>3.7559999999999998</c:v>
                </c:pt>
                <c:pt idx="3">
                  <c:v>5.4480000000000004</c:v>
                </c:pt>
                <c:pt idx="4">
                  <c:v>7.1349999999999998</c:v>
                </c:pt>
                <c:pt idx="5">
                  <c:v>8.9890000000000008</c:v>
                </c:pt>
              </c:numCache>
            </c:numRef>
          </c:xVal>
          <c:yVal>
            <c:numRef>
              <c:f>K2SO4!$W$16:$W$21</c:f>
              <c:numCache>
                <c:formatCode>0.0000</c:formatCode>
                <c:ptCount val="6"/>
                <c:pt idx="0">
                  <c:v>0.98891661661888053</c:v>
                </c:pt>
                <c:pt idx="1">
                  <c:v>0.9777597181843084</c:v>
                </c:pt>
                <c:pt idx="2">
                  <c:v>0.95455572201559924</c:v>
                </c:pt>
                <c:pt idx="3">
                  <c:v>0.93468419207956799</c:v>
                </c:pt>
                <c:pt idx="4">
                  <c:v>0.9152343837387209</c:v>
                </c:pt>
                <c:pt idx="5">
                  <c:v>0.89427049071208364</c:v>
                </c:pt>
              </c:numCache>
            </c:numRef>
          </c:yVal>
          <c:smooth val="0"/>
          <c:extLst>
            <c:ext xmlns:c16="http://schemas.microsoft.com/office/drawing/2014/chart" uri="{C3380CC4-5D6E-409C-BE32-E72D297353CC}">
              <c16:uniqueId val="{00000002-CCFF-2A44-8277-D8B76D56F0BB}"/>
            </c:ext>
          </c:extLst>
        </c:ser>
        <c:ser>
          <c:idx val="3"/>
          <c:order val="3"/>
          <c:tx>
            <c:v>pH8</c:v>
          </c:tx>
          <c:spPr>
            <a:ln w="19080" cap="rnd">
              <a:solidFill>
                <a:srgbClr val="FFC000"/>
              </a:solidFill>
              <a:round/>
            </a:ln>
          </c:spPr>
          <c:marker>
            <c:symbol val="circle"/>
            <c:size val="5"/>
            <c:spPr>
              <a:solidFill>
                <a:srgbClr val="FFC000"/>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K2SO4!$G$22:$G$27</c:f>
              <c:numCache>
                <c:formatCode>General</c:formatCode>
                <c:ptCount val="6"/>
                <c:pt idx="0">
                  <c:v>0.90100000000000002</c:v>
                </c:pt>
                <c:pt idx="1">
                  <c:v>1.841</c:v>
                </c:pt>
                <c:pt idx="2">
                  <c:v>4.07</c:v>
                </c:pt>
                <c:pt idx="3">
                  <c:v>5.5579999999999998</c:v>
                </c:pt>
                <c:pt idx="4">
                  <c:v>7.2110000000000003</c:v>
                </c:pt>
                <c:pt idx="5">
                  <c:v>9.298</c:v>
                </c:pt>
              </c:numCache>
            </c:numRef>
          </c:xVal>
          <c:yVal>
            <c:numRef>
              <c:f>K2SO4!$W$22:$W$27</c:f>
              <c:numCache>
                <c:formatCode>0.0000</c:formatCode>
                <c:ptCount val="6"/>
                <c:pt idx="0">
                  <c:v>1.0017643551149058</c:v>
                </c:pt>
                <c:pt idx="1">
                  <c:v>1.003610947769725</c:v>
                </c:pt>
                <c:pt idx="2">
                  <c:v>1.0080138287552414</c:v>
                </c:pt>
                <c:pt idx="3">
                  <c:v>1.0109720394023598</c:v>
                </c:pt>
                <c:pt idx="4">
                  <c:v>1.0142762683412545</c:v>
                </c:pt>
                <c:pt idx="5">
                  <c:v>1.0184752990573467</c:v>
                </c:pt>
              </c:numCache>
            </c:numRef>
          </c:yVal>
          <c:smooth val="0"/>
          <c:extLst>
            <c:ext xmlns:c16="http://schemas.microsoft.com/office/drawing/2014/chart" uri="{C3380CC4-5D6E-409C-BE32-E72D297353CC}">
              <c16:uniqueId val="{00000003-CCFF-2A44-8277-D8B76D56F0BB}"/>
            </c:ext>
          </c:extLst>
        </c:ser>
        <c:ser>
          <c:idx val="4"/>
          <c:order val="4"/>
          <c:tx>
            <c:v>pH8.25</c:v>
          </c:tx>
          <c:spPr>
            <a:ln w="19080" cap="rnd">
              <a:solidFill>
                <a:srgbClr val="5B9BD5"/>
              </a:solidFill>
              <a:round/>
            </a:ln>
          </c:spPr>
          <c:marker>
            <c:symbol val="circle"/>
            <c:size val="5"/>
            <c:spPr>
              <a:solidFill>
                <a:srgbClr val="5B9BD5"/>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K2SO4!$G$28:$G$33</c:f>
              <c:numCache>
                <c:formatCode>General</c:formatCode>
                <c:ptCount val="6"/>
                <c:pt idx="0">
                  <c:v>0.90200000000000002</c:v>
                </c:pt>
                <c:pt idx="1">
                  <c:v>1.8109999999999999</c:v>
                </c:pt>
                <c:pt idx="2">
                  <c:v>3.6589999999999998</c:v>
                </c:pt>
                <c:pt idx="3">
                  <c:v>5.391</c:v>
                </c:pt>
                <c:pt idx="4">
                  <c:v>7.1849999999999996</c:v>
                </c:pt>
                <c:pt idx="5">
                  <c:v>8.9320000000000004</c:v>
                </c:pt>
              </c:numCache>
            </c:numRef>
          </c:xVal>
          <c:yVal>
            <c:numRef>
              <c:f>K2SO4!$W$28:$W$33</c:f>
              <c:numCache>
                <c:formatCode>0.0000</c:formatCode>
                <c:ptCount val="6"/>
                <c:pt idx="0">
                  <c:v>0.99787169668879105</c:v>
                </c:pt>
                <c:pt idx="1">
                  <c:v>0.99572855484530221</c:v>
                </c:pt>
                <c:pt idx="2">
                  <c:v>0.99137674674778797</c:v>
                </c:pt>
                <c:pt idx="3">
                  <c:v>0.98730445855142734</c:v>
                </c:pt>
                <c:pt idx="4">
                  <c:v>0.98309290063148036</c:v>
                </c:pt>
                <c:pt idx="5">
                  <c:v>0.97899806199922079</c:v>
                </c:pt>
              </c:numCache>
            </c:numRef>
          </c:yVal>
          <c:smooth val="0"/>
          <c:extLst>
            <c:ext xmlns:c16="http://schemas.microsoft.com/office/drawing/2014/chart" uri="{C3380CC4-5D6E-409C-BE32-E72D297353CC}">
              <c16:uniqueId val="{00000004-CCFF-2A44-8277-D8B76D56F0BB}"/>
            </c:ext>
          </c:extLst>
        </c:ser>
        <c:ser>
          <c:idx val="5"/>
          <c:order val="5"/>
          <c:tx>
            <c:v>pH10</c:v>
          </c:tx>
          <c:spPr>
            <a:ln w="19080" cap="rnd">
              <a:solidFill>
                <a:srgbClr val="70AD47"/>
              </a:solidFill>
              <a:round/>
            </a:ln>
          </c:spPr>
          <c:marker>
            <c:symbol val="circle"/>
            <c:size val="5"/>
            <c:spPr>
              <a:solidFill>
                <a:srgbClr val="70AD47"/>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K2SO4!$G$34:$G$39</c:f>
              <c:numCache>
                <c:formatCode>General</c:formatCode>
                <c:ptCount val="6"/>
                <c:pt idx="0">
                  <c:v>0.93700000000000006</c:v>
                </c:pt>
                <c:pt idx="1">
                  <c:v>1.8080000000000001</c:v>
                </c:pt>
                <c:pt idx="2">
                  <c:v>3.59</c:v>
                </c:pt>
                <c:pt idx="3">
                  <c:v>4.6849999999999996</c:v>
                </c:pt>
                <c:pt idx="4">
                  <c:v>6.7729999999999997</c:v>
                </c:pt>
                <c:pt idx="5">
                  <c:v>8.9499999999999993</c:v>
                </c:pt>
              </c:numCache>
            </c:numRef>
          </c:xVal>
          <c:yVal>
            <c:numRef>
              <c:f>K2SO4!$W$34:$W$39</c:f>
              <c:numCache>
                <c:formatCode>0.0000</c:formatCode>
                <c:ptCount val="6"/>
                <c:pt idx="0">
                  <c:v>0.97938929659595952</c:v>
                </c:pt>
                <c:pt idx="1">
                  <c:v>0.96058629788983674</c:v>
                </c:pt>
                <c:pt idx="2">
                  <c:v>0.92316110276242325</c:v>
                </c:pt>
                <c:pt idx="3">
                  <c:v>0.90084350289108728</c:v>
                </c:pt>
                <c:pt idx="4">
                  <c:v>0.85967541649697787</c:v>
                </c:pt>
                <c:pt idx="5">
                  <c:v>0.81862617579662067</c:v>
                </c:pt>
              </c:numCache>
            </c:numRef>
          </c:yVal>
          <c:smooth val="0"/>
          <c:extLst>
            <c:ext xmlns:c16="http://schemas.microsoft.com/office/drawing/2014/chart" uri="{C3380CC4-5D6E-409C-BE32-E72D297353CC}">
              <c16:uniqueId val="{00000005-CCFF-2A44-8277-D8B76D56F0BB}"/>
            </c:ext>
          </c:extLst>
        </c:ser>
        <c:ser>
          <c:idx val="6"/>
          <c:order val="6"/>
          <c:tx>
            <c:v>pH11</c:v>
          </c:tx>
          <c:spPr>
            <a:ln w="19080" cap="rnd">
              <a:solidFill>
                <a:srgbClr val="264478"/>
              </a:solidFill>
              <a:round/>
            </a:ln>
          </c:spPr>
          <c:marker>
            <c:symbol val="circle"/>
            <c:size val="5"/>
            <c:spPr>
              <a:solidFill>
                <a:srgbClr val="264478"/>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K2SO4!$G$40:$G$45</c:f>
              <c:numCache>
                <c:formatCode>General</c:formatCode>
                <c:ptCount val="6"/>
                <c:pt idx="0">
                  <c:v>0.85699999999999998</c:v>
                </c:pt>
                <c:pt idx="1">
                  <c:v>1.79</c:v>
                </c:pt>
                <c:pt idx="2">
                  <c:v>3.673</c:v>
                </c:pt>
                <c:pt idx="3">
                  <c:v>5.3949999999999996</c:v>
                </c:pt>
                <c:pt idx="4">
                  <c:v>7.8319999999999999</c:v>
                </c:pt>
                <c:pt idx="5">
                  <c:v>9.0340000000000007</c:v>
                </c:pt>
              </c:numCache>
            </c:numRef>
          </c:xVal>
          <c:yVal>
            <c:numRef>
              <c:f>K2SO4!$W$40:$W$45</c:f>
              <c:numCache>
                <c:formatCode>0.0000</c:formatCode>
                <c:ptCount val="6"/>
                <c:pt idx="0">
                  <c:v>0.96040793710091721</c:v>
                </c:pt>
                <c:pt idx="1">
                  <c:v>0.91903062572265382</c:v>
                </c:pt>
                <c:pt idx="2">
                  <c:v>0.8407140988586016</c:v>
                </c:pt>
                <c:pt idx="3">
                  <c:v>0.7747794797796228</c:v>
                </c:pt>
                <c:pt idx="4">
                  <c:v>0.68995823623790686</c:v>
                </c:pt>
                <c:pt idx="5">
                  <c:v>0.65150524721731684</c:v>
                </c:pt>
              </c:numCache>
            </c:numRef>
          </c:yVal>
          <c:smooth val="0"/>
          <c:extLst>
            <c:ext xmlns:c16="http://schemas.microsoft.com/office/drawing/2014/chart" uri="{C3380CC4-5D6E-409C-BE32-E72D297353CC}">
              <c16:uniqueId val="{00000006-CCFF-2A44-8277-D8B76D56F0BB}"/>
            </c:ext>
          </c:extLst>
        </c:ser>
        <c:ser>
          <c:idx val="7"/>
          <c:order val="7"/>
          <c:tx>
            <c:v>pH12</c:v>
          </c:tx>
          <c:spPr>
            <a:ln w="19080" cap="rnd">
              <a:solidFill>
                <a:srgbClr val="9E480E"/>
              </a:solidFill>
              <a:round/>
            </a:ln>
          </c:spPr>
          <c:marker>
            <c:symbol val="circle"/>
            <c:size val="5"/>
            <c:spPr>
              <a:solidFill>
                <a:srgbClr val="9E480E"/>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K2SO4!$G$46:$G$51</c:f>
              <c:numCache>
                <c:formatCode>General</c:formatCode>
                <c:ptCount val="6"/>
                <c:pt idx="0">
                  <c:v>0.94399999999999995</c:v>
                </c:pt>
                <c:pt idx="1">
                  <c:v>1.8360000000000001</c:v>
                </c:pt>
                <c:pt idx="2">
                  <c:v>3.71</c:v>
                </c:pt>
                <c:pt idx="3">
                  <c:v>5.476</c:v>
                </c:pt>
                <c:pt idx="4">
                  <c:v>7.2210000000000001</c:v>
                </c:pt>
                <c:pt idx="5">
                  <c:v>9.0419999999999998</c:v>
                </c:pt>
              </c:numCache>
            </c:numRef>
          </c:xVal>
          <c:yVal>
            <c:numRef>
              <c:f>K2SO4!$W$46:$W$51</c:f>
              <c:numCache>
                <c:formatCode>0.0000</c:formatCode>
                <c:ptCount val="6"/>
                <c:pt idx="0">
                  <c:v>0.89670692950084363</c:v>
                </c:pt>
                <c:pt idx="1">
                  <c:v>0.80881208410523098</c:v>
                </c:pt>
                <c:pt idx="2">
                  <c:v>0.65091710750504561</c:v>
                </c:pt>
                <c:pt idx="3">
                  <c:v>0.53014672132383944</c:v>
                </c:pt>
                <c:pt idx="4">
                  <c:v>0.43260677431387179</c:v>
                </c:pt>
                <c:pt idx="5">
                  <c:v>0.34970088058967846</c:v>
                </c:pt>
              </c:numCache>
            </c:numRef>
          </c:yVal>
          <c:smooth val="0"/>
          <c:extLst>
            <c:ext xmlns:c16="http://schemas.microsoft.com/office/drawing/2014/chart" uri="{C3380CC4-5D6E-409C-BE32-E72D297353CC}">
              <c16:uniqueId val="{00000007-CCFF-2A44-8277-D8B76D56F0BB}"/>
            </c:ext>
          </c:extLst>
        </c:ser>
        <c:dLbls>
          <c:showLegendKey val="0"/>
          <c:showVal val="0"/>
          <c:showCatName val="0"/>
          <c:showSerName val="0"/>
          <c:showPercent val="0"/>
          <c:showBubbleSize val="0"/>
        </c:dLbls>
        <c:axId val="99098121"/>
        <c:axId val="42782914"/>
      </c:scatterChart>
      <c:valAx>
        <c:axId val="99098121"/>
        <c:scaling>
          <c:orientation val="minMax"/>
        </c:scaling>
        <c:delete val="0"/>
        <c:axPos val="b"/>
        <c:title>
          <c:tx>
            <c:rich>
              <a:bodyPr rot="0"/>
              <a:lstStyle/>
              <a:p>
                <a:pPr>
                  <a:defRPr lang="en-GB" sz="1000" b="0" strike="noStrike" spc="-1">
                    <a:solidFill>
                      <a:srgbClr val="595959"/>
                    </a:solidFill>
                    <a:latin typeface="Calibri"/>
                  </a:defRPr>
                </a:pPr>
                <a:r>
                  <a:rPr lang="en-GB" sz="1000" b="0" strike="noStrike" spc="-1">
                    <a:solidFill>
                      <a:srgbClr val="595959"/>
                    </a:solidFill>
                    <a:latin typeface="Calibri"/>
                  </a:rPr>
                  <a:t>Protein Concentration (𝝁M)</a:t>
                </a:r>
              </a:p>
            </c:rich>
          </c:tx>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42782914"/>
        <c:crosses val="autoZero"/>
        <c:crossBetween val="midCat"/>
      </c:valAx>
      <c:valAx>
        <c:axId val="42782914"/>
        <c:scaling>
          <c:orientation val="minMax"/>
          <c:max val="1.1000000000000001"/>
          <c:min val="0"/>
        </c:scaling>
        <c:delete val="0"/>
        <c:axPos val="l"/>
        <c:majorGridlines>
          <c:spPr>
            <a:ln w="9360">
              <a:solidFill>
                <a:srgbClr val="D9D9D9"/>
              </a:solidFill>
              <a:round/>
            </a:ln>
          </c:spPr>
        </c:majorGridlines>
        <c:title>
          <c:tx>
            <c:rich>
              <a:bodyPr rot="-5400000"/>
              <a:lstStyle/>
              <a:p>
                <a:pPr>
                  <a:defRPr lang="en-GB" sz="1000" b="0" strike="noStrike" spc="-1">
                    <a:solidFill>
                      <a:srgbClr val="595959"/>
                    </a:solidFill>
                    <a:latin typeface="Calibri"/>
                  </a:defRPr>
                </a:pPr>
                <a:r>
                  <a:rPr lang="en-GB" sz="1000" b="0" strike="noStrike" spc="-1">
                    <a:solidFill>
                      <a:srgbClr val="595959"/>
                    </a:solidFill>
                    <a:latin typeface="Calibri"/>
                  </a:rPr>
                  <a:t>𝜸m</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99098121"/>
        <c:crosses val="autoZero"/>
        <c:crossBetween val="midCat"/>
        <c:majorUnit val="0.1"/>
      </c:valAx>
      <c:spPr>
        <a:noFill/>
        <a:ln w="0">
          <a:noFill/>
        </a:ln>
      </c:spPr>
    </c:plotArea>
    <c:legend>
      <c:legendPos val="r"/>
      <c:overlay val="0"/>
      <c:spPr>
        <a:noFill/>
        <a:ln w="0">
          <a:noFill/>
        </a:ln>
      </c:spPr>
      <c:txPr>
        <a:bodyPr/>
        <a:lstStyle/>
        <a:p>
          <a:pPr>
            <a:defRPr sz="900" b="0" strike="noStrike" spc="-1">
              <a:solidFill>
                <a:srgbClr val="595959"/>
              </a:solidFill>
              <a:latin typeface="Calibri"/>
            </a:defRPr>
          </a:pPr>
          <a:endParaRPr lang="en-D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32</xdr:col>
      <xdr:colOff>12600</xdr:colOff>
      <xdr:row>1</xdr:row>
      <xdr:rowOff>6480</xdr:rowOff>
    </xdr:from>
    <xdr:to>
      <xdr:col>37</xdr:col>
      <xdr:colOff>456480</xdr:colOff>
      <xdr:row>11</xdr:row>
      <xdr:rowOff>12240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28080</xdr:colOff>
      <xdr:row>51</xdr:row>
      <xdr:rowOff>30240</xdr:rowOff>
    </xdr:from>
    <xdr:to>
      <xdr:col>6</xdr:col>
      <xdr:colOff>591840</xdr:colOff>
      <xdr:row>65</xdr:row>
      <xdr:rowOff>6840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605520</xdr:colOff>
      <xdr:row>51</xdr:row>
      <xdr:rowOff>36720</xdr:rowOff>
    </xdr:from>
    <xdr:to>
      <xdr:col>11</xdr:col>
      <xdr:colOff>1112760</xdr:colOff>
      <xdr:row>65</xdr:row>
      <xdr:rowOff>13320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1118880</xdr:colOff>
      <xdr:row>51</xdr:row>
      <xdr:rowOff>52200</xdr:rowOff>
    </xdr:from>
    <xdr:to>
      <xdr:col>22</xdr:col>
      <xdr:colOff>370440</xdr:colOff>
      <xdr:row>65</xdr:row>
      <xdr:rowOff>28800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382320</xdr:colOff>
      <xdr:row>51</xdr:row>
      <xdr:rowOff>53640</xdr:rowOff>
    </xdr:from>
    <xdr:to>
      <xdr:col>28</xdr:col>
      <xdr:colOff>113400</xdr:colOff>
      <xdr:row>65</xdr:row>
      <xdr:rowOff>30240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33840</xdr:colOff>
      <xdr:row>65</xdr:row>
      <xdr:rowOff>21240</xdr:rowOff>
    </xdr:from>
    <xdr:to>
      <xdr:col>6</xdr:col>
      <xdr:colOff>597600</xdr:colOff>
      <xdr:row>78</xdr:row>
      <xdr:rowOff>195480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14040</xdr:colOff>
      <xdr:row>65</xdr:row>
      <xdr:rowOff>21240</xdr:rowOff>
    </xdr:from>
    <xdr:to>
      <xdr:col>11</xdr:col>
      <xdr:colOff>1139040</xdr:colOff>
      <xdr:row>78</xdr:row>
      <xdr:rowOff>195480</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5760</xdr:colOff>
      <xdr:row>65</xdr:row>
      <xdr:rowOff>21240</xdr:rowOff>
    </xdr:from>
    <xdr:to>
      <xdr:col>22</xdr:col>
      <xdr:colOff>385920</xdr:colOff>
      <xdr:row>78</xdr:row>
      <xdr:rowOff>195480</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22</xdr:col>
      <xdr:colOff>397800</xdr:colOff>
      <xdr:row>65</xdr:row>
      <xdr:rowOff>36720</xdr:rowOff>
    </xdr:from>
    <xdr:to>
      <xdr:col>28</xdr:col>
      <xdr:colOff>128880</xdr:colOff>
      <xdr:row>79</xdr:row>
      <xdr:rowOff>13320</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28</xdr:col>
      <xdr:colOff>162360</xdr:colOff>
      <xdr:row>23</xdr:row>
      <xdr:rowOff>32400</xdr:rowOff>
    </xdr:from>
    <xdr:to>
      <xdr:col>37</xdr:col>
      <xdr:colOff>189720</xdr:colOff>
      <xdr:row>46</xdr:row>
      <xdr:rowOff>59760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37</xdr:col>
      <xdr:colOff>211680</xdr:colOff>
      <xdr:row>23</xdr:row>
      <xdr:rowOff>28080</xdr:rowOff>
    </xdr:from>
    <xdr:to>
      <xdr:col>46</xdr:col>
      <xdr:colOff>338040</xdr:colOff>
      <xdr:row>46</xdr:row>
      <xdr:rowOff>55440</xdr:rowOff>
    </xdr:to>
    <xdr:graphicFrame macro="">
      <xdr:nvGraphicFramePr>
        <xdr:cNvPr id="12" name="Chart 11">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1"/>
  <sheetViews>
    <sheetView tabSelected="1" topLeftCell="I13" zoomScale="90" zoomScaleNormal="90" workbookViewId="0">
      <selection activeCell="N26" sqref="N26"/>
    </sheetView>
  </sheetViews>
  <sheetFormatPr baseColWidth="10" defaultColWidth="10.6640625" defaultRowHeight="16" x14ac:dyDescent="0.2"/>
  <cols>
    <col min="1" max="1" width="10.5" customWidth="1"/>
    <col min="4" max="4" width="5.6640625" customWidth="1"/>
    <col min="5" max="6" width="7.83203125" customWidth="1"/>
    <col min="7" max="7" width="8" customWidth="1"/>
    <col min="8" max="9" width="10.1640625" customWidth="1"/>
    <col min="11" max="11" width="14.1640625" customWidth="1"/>
    <col min="12" max="12" width="14.83203125" customWidth="1"/>
    <col min="13" max="13" width="11.1640625" customWidth="1"/>
    <col min="14" max="14" width="6.83203125" customWidth="1"/>
    <col min="15" max="16" width="7.33203125" customWidth="1"/>
    <col min="17" max="18" width="8" customWidth="1"/>
    <col min="19" max="19" width="10.83203125" customWidth="1"/>
    <col min="20" max="20" width="5.6640625" customWidth="1"/>
    <col min="21" max="21" width="5.1640625" customWidth="1"/>
    <col min="22" max="22" width="7.33203125" customWidth="1"/>
    <col min="23" max="25" width="11.5" customWidth="1"/>
    <col min="27" max="27" width="5.1640625" customWidth="1"/>
    <col min="28" max="28" width="13" customWidth="1"/>
    <col min="29" max="29" width="11.5" customWidth="1"/>
    <col min="30" max="30" width="10" customWidth="1"/>
    <col min="31" max="31" width="11.83203125" customWidth="1"/>
    <col min="32" max="32" width="11.6640625" customWidth="1"/>
  </cols>
  <sheetData>
    <row r="1" spans="1:32" ht="15.75" customHeight="1" x14ac:dyDescent="0.2">
      <c r="A1" t="s">
        <v>0</v>
      </c>
      <c r="B1">
        <v>8.3144626181532395</v>
      </c>
    </row>
    <row r="2" spans="1:32" ht="15.75" customHeight="1" x14ac:dyDescent="0.2">
      <c r="A2" t="s">
        <v>1</v>
      </c>
      <c r="B2">
        <f>25+273.15</f>
        <v>298.14999999999998</v>
      </c>
      <c r="G2" s="7"/>
      <c r="H2" s="7"/>
      <c r="I2" s="7"/>
      <c r="J2" s="7"/>
      <c r="K2" s="7"/>
      <c r="L2" s="7"/>
      <c r="M2" s="7"/>
      <c r="N2" s="7"/>
      <c r="O2" s="7"/>
      <c r="P2" s="7"/>
      <c r="Q2" s="7"/>
      <c r="R2" s="7"/>
      <c r="S2" s="7"/>
      <c r="T2" s="7"/>
      <c r="U2" s="7"/>
      <c r="V2" s="7"/>
      <c r="W2" s="7"/>
      <c r="X2" s="7"/>
      <c r="Y2" s="7"/>
      <c r="AA2" t="s">
        <v>2</v>
      </c>
      <c r="AB2" t="s">
        <v>3</v>
      </c>
      <c r="AC2" t="s">
        <v>4</v>
      </c>
      <c r="AD2" t="s">
        <v>5</v>
      </c>
      <c r="AE2" t="s">
        <v>6</v>
      </c>
      <c r="AF2" t="s">
        <v>7</v>
      </c>
    </row>
    <row r="3" spans="1:32" ht="15.75" customHeight="1" x14ac:dyDescent="0.2">
      <c r="D3" s="8" t="s">
        <v>2</v>
      </c>
      <c r="E3" s="9" t="s">
        <v>8</v>
      </c>
      <c r="F3" s="9" t="s">
        <v>9</v>
      </c>
      <c r="G3" s="9" t="s">
        <v>10</v>
      </c>
      <c r="H3" s="8" t="s">
        <v>11</v>
      </c>
      <c r="I3" s="8" t="s">
        <v>12</v>
      </c>
      <c r="J3" s="9" t="s">
        <v>13</v>
      </c>
      <c r="K3" s="9" t="s">
        <v>14</v>
      </c>
      <c r="L3" s="9" t="s">
        <v>15</v>
      </c>
      <c r="M3" s="9" t="s">
        <v>16</v>
      </c>
      <c r="N3" s="9" t="s">
        <v>17</v>
      </c>
      <c r="O3" s="9" t="s">
        <v>18</v>
      </c>
      <c r="P3" s="9" t="s">
        <v>19</v>
      </c>
      <c r="Q3" s="9" t="s">
        <v>20</v>
      </c>
      <c r="R3" s="9" t="s">
        <v>21</v>
      </c>
      <c r="S3" s="9" t="s">
        <v>22</v>
      </c>
      <c r="T3" s="9" t="s">
        <v>23</v>
      </c>
      <c r="U3" s="9" t="s">
        <v>24</v>
      </c>
      <c r="V3" s="8" t="s">
        <v>25</v>
      </c>
      <c r="W3" s="8" t="s">
        <v>26</v>
      </c>
      <c r="X3" s="8" t="s">
        <v>27</v>
      </c>
      <c r="Y3" s="8" t="s">
        <v>28</v>
      </c>
      <c r="AA3">
        <v>3</v>
      </c>
      <c r="AB3">
        <v>27.4</v>
      </c>
      <c r="AC3">
        <f t="shared" ref="AC3:AC11" si="0">AB3*1000</f>
        <v>27400</v>
      </c>
      <c r="AD3">
        <v>0.1</v>
      </c>
      <c r="AE3">
        <f t="shared" ref="AE3:AE11" si="1">AB3-AD3</f>
        <v>27.299999999999997</v>
      </c>
      <c r="AF3">
        <f t="shared" ref="AF3:AF11" si="2">AB3+AD3</f>
        <v>27.5</v>
      </c>
    </row>
    <row r="4" spans="1:32" ht="15.75" customHeight="1" x14ac:dyDescent="0.2">
      <c r="D4" s="6">
        <v>4</v>
      </c>
      <c r="E4" s="10">
        <f>10^-D4</f>
        <v>1E-4</v>
      </c>
      <c r="F4" s="10">
        <f t="shared" ref="F4:F51" si="3">0.00000000000001/E4</f>
        <v>9.9999999999999991E-11</v>
      </c>
      <c r="G4" s="9">
        <v>0.90200000000000002</v>
      </c>
      <c r="H4" s="11">
        <f t="shared" ref="H4:H9" si="4">G4/$AC$4</f>
        <v>3.0066666666666668E-5</v>
      </c>
      <c r="I4" s="12">
        <f t="shared" ref="I4:I51" si="5">1000000*H4</f>
        <v>30.066666666666666</v>
      </c>
      <c r="J4" s="13">
        <f t="shared" ref="J4:J9" si="6">H4/($B$9*(1-H4*$AC$4*$B$5/1000) - K4*($B$11+$B$11+$B$12) - E4*$B$13 - F4*$B$14 - 0.5*E4*$B$12)</f>
        <v>3.0714567295951755E-8</v>
      </c>
      <c r="K4" s="9">
        <v>0.1</v>
      </c>
      <c r="L4" s="13">
        <f t="shared" ref="L4:L9" si="7">(3*K4)/($B$9*(1-H4*$AC$4*$B$5/1000) - K4*(2*$B$11+$B$12) - E4*$B$13 - F4*$B$14 - 0.5*E4*$B$12)</f>
        <v>3.0646464042523926E-4</v>
      </c>
      <c r="M4" s="14">
        <v>7.65</v>
      </c>
      <c r="N4" s="9">
        <f t="shared" ref="N4:N24" si="8">M4*9.80665</f>
        <v>75.020872499999996</v>
      </c>
      <c r="O4" s="15">
        <f t="shared" ref="O4:O9" si="9">$B$1*$B$2*$B$9*1000*(J4+0.25*$AB$26*$AB$26*J4*J4/L4)</f>
        <v>76.109557260907579</v>
      </c>
      <c r="P4" s="16">
        <f t="shared" ref="P4:P51" si="10">N4/O4</f>
        <v>0.98569582060271987</v>
      </c>
      <c r="Q4" s="16">
        <f t="shared" ref="Q4:Q51" si="11">P4-1</f>
        <v>-1.4304179397280126E-2</v>
      </c>
      <c r="R4" s="16">
        <f t="shared" ref="R4:R9" si="12">$S$4+$S$5*J4+$S$6*J4*J4+$S$7*J4*J4*J4+$S$8*J4*J4*J4*J4</f>
        <v>-2.7844400902669739E-2</v>
      </c>
      <c r="S4" s="17">
        <v>0</v>
      </c>
      <c r="T4" s="14">
        <f t="shared" ref="T4:T35" si="13">Q4-R4</f>
        <v>1.3540221505389614E-2</v>
      </c>
      <c r="U4" s="14">
        <f t="shared" ref="U4:U51" si="14">T4*T4</f>
        <v>1.8333759841501537E-4</v>
      </c>
      <c r="V4" s="18">
        <f t="shared" ref="V4:V9" si="15">EXP(Q4+$S$5*J4+$S$6*J4*J4/2+$S$7*J4*J4*J4/3+$S$8*J4*J4*J4*J4/4)</f>
        <v>0.95785563237170335</v>
      </c>
      <c r="W4" s="18">
        <f t="shared" ref="W4:W9" si="16">EXP(2*$AF$15*J4)</f>
        <v>0.96792029812221203</v>
      </c>
      <c r="X4" s="18">
        <f t="shared" ref="X4:X51" si="17">V4</f>
        <v>0.95785563237170335</v>
      </c>
      <c r="Y4" s="18">
        <f t="shared" ref="Y4:Y51" si="18">W4</f>
        <v>0.96792029812221203</v>
      </c>
      <c r="AA4">
        <v>4</v>
      </c>
      <c r="AB4">
        <v>30</v>
      </c>
      <c r="AC4">
        <f t="shared" si="0"/>
        <v>30000</v>
      </c>
      <c r="AD4">
        <v>0.2</v>
      </c>
      <c r="AE4">
        <f t="shared" si="1"/>
        <v>29.8</v>
      </c>
      <c r="AF4">
        <f t="shared" si="2"/>
        <v>30.2</v>
      </c>
    </row>
    <row r="5" spans="1:32" ht="15.75" customHeight="1" x14ac:dyDescent="0.2">
      <c r="A5" t="s">
        <v>29</v>
      </c>
      <c r="B5">
        <v>0.73599999999999999</v>
      </c>
      <c r="C5" t="s">
        <v>30</v>
      </c>
      <c r="D5" s="6"/>
      <c r="E5" s="19">
        <f>E4</f>
        <v>1E-4</v>
      </c>
      <c r="F5" s="19">
        <f t="shared" si="3"/>
        <v>9.9999999999999991E-11</v>
      </c>
      <c r="G5" s="20">
        <v>1.798</v>
      </c>
      <c r="H5" s="21">
        <f t="shared" si="4"/>
        <v>5.9933333333333338E-5</v>
      </c>
      <c r="I5" s="22">
        <f t="shared" si="5"/>
        <v>59.933333333333337</v>
      </c>
      <c r="J5" s="23">
        <f t="shared" si="6"/>
        <v>6.1265973846456272E-8</v>
      </c>
      <c r="K5" s="20">
        <v>0.1</v>
      </c>
      <c r="L5" s="23">
        <f t="shared" si="7"/>
        <v>3.0667061435934729E-4</v>
      </c>
      <c r="M5" s="24">
        <v>14.55</v>
      </c>
      <c r="N5" s="20">
        <f t="shared" si="8"/>
        <v>142.6867575</v>
      </c>
      <c r="O5" s="25">
        <f t="shared" si="9"/>
        <v>152.2069014893855</v>
      </c>
      <c r="P5" s="26">
        <f t="shared" si="10"/>
        <v>0.93745261288267268</v>
      </c>
      <c r="Q5" s="26">
        <f t="shared" si="11"/>
        <v>-6.2547387117327324E-2</v>
      </c>
      <c r="R5" s="26">
        <f t="shared" si="12"/>
        <v>-5.2193828920026011E-2</v>
      </c>
      <c r="S5" s="27">
        <v>-966648.99138442299</v>
      </c>
      <c r="T5" s="24">
        <f t="shared" si="13"/>
        <v>-1.0353558197301313E-2</v>
      </c>
      <c r="U5" s="24">
        <f t="shared" si="14"/>
        <v>1.0719616734490521E-4</v>
      </c>
      <c r="V5" s="28">
        <f t="shared" si="15"/>
        <v>0.88856248745155897</v>
      </c>
      <c r="W5" s="28">
        <f t="shared" si="16"/>
        <v>0.93703198888826156</v>
      </c>
      <c r="X5" s="28">
        <f t="shared" si="17"/>
        <v>0.88856248745155897</v>
      </c>
      <c r="Y5" s="28">
        <f t="shared" si="18"/>
        <v>0.93703198888826156</v>
      </c>
      <c r="AA5">
        <v>5</v>
      </c>
      <c r="AB5">
        <v>32.200000000000003</v>
      </c>
      <c r="AC5">
        <f t="shared" si="0"/>
        <v>32200.000000000004</v>
      </c>
      <c r="AD5">
        <v>0.2</v>
      </c>
      <c r="AE5">
        <f t="shared" si="1"/>
        <v>32</v>
      </c>
      <c r="AF5">
        <f t="shared" si="2"/>
        <v>32.400000000000006</v>
      </c>
    </row>
    <row r="6" spans="1:32" ht="15.75" customHeight="1" x14ac:dyDescent="0.2">
      <c r="A6" t="s">
        <v>31</v>
      </c>
      <c r="B6" t="s">
        <v>32</v>
      </c>
      <c r="D6" s="6"/>
      <c r="E6" s="19">
        <f>E5</f>
        <v>1E-4</v>
      </c>
      <c r="F6" s="19">
        <f t="shared" si="3"/>
        <v>9.9999999999999991E-11</v>
      </c>
      <c r="G6" s="20">
        <v>3.5739999999999998</v>
      </c>
      <c r="H6" s="21">
        <f t="shared" si="4"/>
        <v>1.1913333333333333E-4</v>
      </c>
      <c r="I6" s="22">
        <f t="shared" si="5"/>
        <v>119.13333333333334</v>
      </c>
      <c r="J6" s="23">
        <f t="shared" si="6"/>
        <v>1.2194476225804468E-7</v>
      </c>
      <c r="K6" s="20">
        <v>0.1</v>
      </c>
      <c r="L6" s="23">
        <f t="shared" si="7"/>
        <v>3.0707970350374992E-4</v>
      </c>
      <c r="M6" s="24">
        <v>28.25</v>
      </c>
      <c r="N6" s="20">
        <f t="shared" si="8"/>
        <v>277.03786249999996</v>
      </c>
      <c r="O6" s="25">
        <f t="shared" si="9"/>
        <v>304.50194229356117</v>
      </c>
      <c r="P6" s="26">
        <f t="shared" si="10"/>
        <v>0.90980655300029611</v>
      </c>
      <c r="Q6" s="26">
        <f t="shared" si="11"/>
        <v>-9.0193446999703886E-2</v>
      </c>
      <c r="R6" s="26">
        <f t="shared" si="12"/>
        <v>-9.2511202745599541E-2</v>
      </c>
      <c r="S6" s="27">
        <v>2040996320449.1899</v>
      </c>
      <c r="T6" s="24">
        <f t="shared" si="13"/>
        <v>2.3177557458956555E-3</v>
      </c>
      <c r="U6" s="24">
        <f t="shared" si="14"/>
        <v>5.3719916976323264E-6</v>
      </c>
      <c r="V6" s="28">
        <f t="shared" si="15"/>
        <v>0.82319904514524078</v>
      </c>
      <c r="W6" s="28">
        <f t="shared" si="16"/>
        <v>0.87857642580345618</v>
      </c>
      <c r="X6" s="28">
        <f t="shared" si="17"/>
        <v>0.82319904514524078</v>
      </c>
      <c r="Y6" s="28">
        <f t="shared" si="18"/>
        <v>0.87857642580345618</v>
      </c>
      <c r="AA6">
        <v>6</v>
      </c>
      <c r="AB6">
        <v>32.5</v>
      </c>
      <c r="AC6">
        <f t="shared" si="0"/>
        <v>32500</v>
      </c>
      <c r="AD6">
        <v>0.7</v>
      </c>
      <c r="AE6">
        <f t="shared" si="1"/>
        <v>31.8</v>
      </c>
      <c r="AF6">
        <f t="shared" si="2"/>
        <v>33.200000000000003</v>
      </c>
    </row>
    <row r="7" spans="1:32" ht="15.75" customHeight="1" x14ac:dyDescent="0.2">
      <c r="A7" t="s">
        <v>33</v>
      </c>
      <c r="D7" s="6"/>
      <c r="E7" s="19">
        <f>E6</f>
        <v>1E-4</v>
      </c>
      <c r="F7" s="19">
        <f t="shared" si="3"/>
        <v>9.9999999999999991E-11</v>
      </c>
      <c r="G7" s="20">
        <v>5.3310000000000004</v>
      </c>
      <c r="H7" s="21">
        <f t="shared" si="4"/>
        <v>1.7770000000000001E-4</v>
      </c>
      <c r="I7" s="22">
        <f t="shared" si="5"/>
        <v>177.70000000000002</v>
      </c>
      <c r="J7" s="23">
        <f t="shared" si="6"/>
        <v>1.8213390614560593E-7</v>
      </c>
      <c r="K7" s="20">
        <v>0.1</v>
      </c>
      <c r="L7" s="23">
        <f t="shared" si="7"/>
        <v>3.0748549152325144E-4</v>
      </c>
      <c r="M7" s="24">
        <v>40.700000000000003</v>
      </c>
      <c r="N7" s="20">
        <f t="shared" si="8"/>
        <v>399.13065499999999</v>
      </c>
      <c r="O7" s="25">
        <f t="shared" si="9"/>
        <v>457.08286041755565</v>
      </c>
      <c r="P7" s="26">
        <f t="shared" si="10"/>
        <v>0.87321291075186014</v>
      </c>
      <c r="Q7" s="26">
        <f t="shared" si="11"/>
        <v>-0.12678708924813986</v>
      </c>
      <c r="R7" s="26">
        <f t="shared" si="12"/>
        <v>-0.12496028174523639</v>
      </c>
      <c r="S7" s="27">
        <v>-2.7485143433036298E+18</v>
      </c>
      <c r="T7" s="24">
        <f t="shared" si="13"/>
        <v>-1.8268075029034686E-3</v>
      </c>
      <c r="U7" s="24">
        <f t="shared" si="14"/>
        <v>3.3372256526644066E-6</v>
      </c>
      <c r="V7" s="28">
        <f t="shared" si="15"/>
        <v>0.75992973227633043</v>
      </c>
      <c r="W7" s="28">
        <f t="shared" si="16"/>
        <v>0.82419583686385012</v>
      </c>
      <c r="X7" s="28">
        <f t="shared" si="17"/>
        <v>0.75992973227633043</v>
      </c>
      <c r="Y7" s="28">
        <f t="shared" si="18"/>
        <v>0.82419583686385012</v>
      </c>
      <c r="AA7">
        <v>8</v>
      </c>
      <c r="AB7">
        <v>37.700000000000003</v>
      </c>
      <c r="AC7">
        <f t="shared" si="0"/>
        <v>37700</v>
      </c>
      <c r="AD7">
        <v>0.3</v>
      </c>
      <c r="AE7">
        <f t="shared" si="1"/>
        <v>37.400000000000006</v>
      </c>
      <c r="AF7">
        <f t="shared" si="2"/>
        <v>38</v>
      </c>
    </row>
    <row r="8" spans="1:32" ht="15.75" customHeight="1" x14ac:dyDescent="0.2">
      <c r="D8" s="6"/>
      <c r="E8" s="19">
        <f>E7</f>
        <v>1E-4</v>
      </c>
      <c r="F8" s="19">
        <f t="shared" si="3"/>
        <v>9.9999999999999991E-11</v>
      </c>
      <c r="G8" s="20">
        <v>7.0270000000000001</v>
      </c>
      <c r="H8" s="21">
        <f t="shared" si="4"/>
        <v>2.3423333333333333E-4</v>
      </c>
      <c r="I8" s="22">
        <f t="shared" si="5"/>
        <v>234.23333333333332</v>
      </c>
      <c r="J8" s="23">
        <f t="shared" si="6"/>
        <v>2.4038446449773989E-7</v>
      </c>
      <c r="K8" s="20">
        <v>0.1</v>
      </c>
      <c r="L8" s="23">
        <f t="shared" si="7"/>
        <v>3.0787820983060475E-4</v>
      </c>
      <c r="M8" s="24">
        <v>52.5</v>
      </c>
      <c r="N8" s="20">
        <f t="shared" si="8"/>
        <v>514.84912499999996</v>
      </c>
      <c r="O8" s="25">
        <f t="shared" si="9"/>
        <v>606.18035605443924</v>
      </c>
      <c r="P8" s="26">
        <f t="shared" si="10"/>
        <v>0.84933323862735477</v>
      </c>
      <c r="Q8" s="26">
        <f t="shared" si="11"/>
        <v>-0.15066676137264523</v>
      </c>
      <c r="R8" s="26">
        <f t="shared" si="12"/>
        <v>-0.15260741268613984</v>
      </c>
      <c r="S8" s="27">
        <v>0</v>
      </c>
      <c r="T8" s="24">
        <f t="shared" si="13"/>
        <v>1.9406513134946068E-3</v>
      </c>
      <c r="U8" s="24">
        <f t="shared" si="14"/>
        <v>3.7661275205683427E-6</v>
      </c>
      <c r="V8" s="28">
        <f t="shared" si="15"/>
        <v>0.71405798473380133</v>
      </c>
      <c r="W8" s="28">
        <f t="shared" si="16"/>
        <v>0.774773998394644</v>
      </c>
      <c r="X8" s="28">
        <f t="shared" si="17"/>
        <v>0.71405798473380133</v>
      </c>
      <c r="Y8" s="28">
        <f t="shared" si="18"/>
        <v>0.774773998394644</v>
      </c>
      <c r="AA8">
        <v>8.25</v>
      </c>
      <c r="AB8">
        <v>35.299999999999997</v>
      </c>
      <c r="AC8">
        <f t="shared" si="0"/>
        <v>35300</v>
      </c>
      <c r="AD8">
        <v>0.2</v>
      </c>
      <c r="AE8">
        <f t="shared" si="1"/>
        <v>35.099999999999994</v>
      </c>
      <c r="AF8">
        <f t="shared" si="2"/>
        <v>35.5</v>
      </c>
    </row>
    <row r="9" spans="1:32" ht="15.75" customHeight="1" x14ac:dyDescent="0.2">
      <c r="A9" t="s">
        <v>34</v>
      </c>
      <c r="B9">
        <v>997</v>
      </c>
      <c r="C9" t="s">
        <v>35</v>
      </c>
      <c r="D9" s="6"/>
      <c r="E9" s="29">
        <f>E8</f>
        <v>1E-4</v>
      </c>
      <c r="F9" s="29">
        <f t="shared" si="3"/>
        <v>9.9999999999999991E-11</v>
      </c>
      <c r="G9" s="30">
        <v>8.8350000000000009</v>
      </c>
      <c r="H9" s="31">
        <f t="shared" si="4"/>
        <v>2.945E-4</v>
      </c>
      <c r="I9" s="32">
        <f t="shared" si="5"/>
        <v>294.5</v>
      </c>
      <c r="J9" s="33">
        <f t="shared" si="6"/>
        <v>3.0264583915847332E-7</v>
      </c>
      <c r="K9" s="30">
        <v>0.1</v>
      </c>
      <c r="L9" s="33">
        <f t="shared" si="7"/>
        <v>3.0829796858248561E-4</v>
      </c>
      <c r="M9" s="34">
        <v>63.95</v>
      </c>
      <c r="N9" s="30">
        <f t="shared" si="8"/>
        <v>627.13526749999994</v>
      </c>
      <c r="O9" s="35">
        <f t="shared" si="9"/>
        <v>767.09396836981352</v>
      </c>
      <c r="P9" s="36">
        <f t="shared" si="10"/>
        <v>0.81754686304306856</v>
      </c>
      <c r="Q9" s="36">
        <f t="shared" si="11"/>
        <v>-0.18245313695693144</v>
      </c>
      <c r="R9" s="36">
        <f t="shared" si="12"/>
        <v>-0.18179897883817658</v>
      </c>
      <c r="S9" s="37">
        <f>SUM(U4:U9)</f>
        <v>3.0343703347511861E-4</v>
      </c>
      <c r="T9" s="34">
        <f t="shared" si="13"/>
        <v>-6.5415811875485508E-4</v>
      </c>
      <c r="U9" s="34">
        <f t="shared" si="14"/>
        <v>4.2792284433289107E-7</v>
      </c>
      <c r="V9" s="38">
        <f t="shared" si="15"/>
        <v>0.66569057461055092</v>
      </c>
      <c r="W9" s="38">
        <f t="shared" si="16"/>
        <v>0.72522128634666116</v>
      </c>
      <c r="X9" s="38">
        <f t="shared" si="17"/>
        <v>0.66569057461055092</v>
      </c>
      <c r="Y9" s="38">
        <f t="shared" si="18"/>
        <v>0.72522128634666116</v>
      </c>
      <c r="AA9">
        <v>10</v>
      </c>
      <c r="AB9">
        <v>31.6</v>
      </c>
      <c r="AC9">
        <f t="shared" si="0"/>
        <v>31600</v>
      </c>
      <c r="AD9">
        <v>0.1</v>
      </c>
      <c r="AE9">
        <f t="shared" si="1"/>
        <v>31.5</v>
      </c>
      <c r="AF9">
        <f t="shared" si="2"/>
        <v>31.700000000000003</v>
      </c>
    </row>
    <row r="10" spans="1:32" ht="15.75" customHeight="1" x14ac:dyDescent="0.2">
      <c r="D10" s="5">
        <v>5</v>
      </c>
      <c r="E10" s="19">
        <f>10^-D10</f>
        <v>1.0000000000000001E-5</v>
      </c>
      <c r="F10" s="19">
        <f t="shared" si="3"/>
        <v>9.9999999999999986E-10</v>
      </c>
      <c r="G10" s="20">
        <v>0.90300000000000002</v>
      </c>
      <c r="H10" s="21">
        <f t="shared" ref="H10:H15" si="19">G10/$AC$5</f>
        <v>2.8043478260869563E-5</v>
      </c>
      <c r="I10" s="22">
        <f t="shared" si="5"/>
        <v>28.043478260869563</v>
      </c>
      <c r="J10" s="23">
        <f t="shared" ref="J10:J15" si="20">H10/($B$9*(1-H10*$AC$5*$B$5/1000) - K10*($B$11+$B$11+$B$12) - E10*$B$13 - F10*$B$14 - 0.5*E10*$B$12)</f>
        <v>2.8647626472041088E-8</v>
      </c>
      <c r="K10" s="20">
        <v>0.1</v>
      </c>
      <c r="L10" s="23">
        <f t="shared" ref="L10:L15" si="21">(3*K10)/($B$9*(1-H10*$AC$5*$B$5/1000) - K10*(2*$B$11+$B$12) - E10*$B$13 - F10*$B$14 - 0.5*E10*$B$12)</f>
        <v>3.0646298086369541E-4</v>
      </c>
      <c r="M10" s="24">
        <v>7.15</v>
      </c>
      <c r="N10" s="20">
        <f t="shared" si="8"/>
        <v>70.117547500000001</v>
      </c>
      <c r="O10" s="25">
        <f t="shared" ref="O10:O15" si="22">$B$1*$B$2*$B$9*1000*(J10+0.25*$AB$27*$AB$27*J10*J10/L10)</f>
        <v>70.847927776171787</v>
      </c>
      <c r="P10" s="26">
        <f t="shared" si="10"/>
        <v>0.98969087312646231</v>
      </c>
      <c r="Q10" s="26">
        <f t="shared" si="11"/>
        <v>-1.0309126873537688E-2</v>
      </c>
      <c r="R10" s="26">
        <f t="shared" ref="R10:R15" si="23">$S$10+$S$11*J10+$S$12*J10*J10+$S$13*J10*J10*J10+$S$14*J10*J10*J10*J10</f>
        <v>-1.9055632106225774E-2</v>
      </c>
      <c r="S10" s="39">
        <v>0</v>
      </c>
      <c r="T10" s="24">
        <f t="shared" si="13"/>
        <v>8.7465052326880857E-3</v>
      </c>
      <c r="U10" s="24">
        <f t="shared" si="14"/>
        <v>7.6501353785440063E-5</v>
      </c>
      <c r="V10" s="28">
        <f t="shared" ref="V10:V15" si="24">EXP(Q10+$S$11*J10+$S$12*J10*J10/2+$S$13*J10*J10*J10/3+$S$14*J10*J10*J10*J10/4)</f>
        <v>0.97035131338629821</v>
      </c>
      <c r="W10" s="28">
        <f t="shared" ref="W10:W15" si="25">EXP(2*$AF$16*J10)</f>
        <v>0.98268786970208832</v>
      </c>
      <c r="X10" s="28">
        <f t="shared" si="17"/>
        <v>0.97035131338629821</v>
      </c>
      <c r="Y10" s="28">
        <f t="shared" si="18"/>
        <v>0.98268786970208832</v>
      </c>
      <c r="AA10">
        <v>11</v>
      </c>
      <c r="AB10">
        <v>30.4</v>
      </c>
      <c r="AC10">
        <f t="shared" si="0"/>
        <v>30400</v>
      </c>
      <c r="AD10">
        <v>0.2</v>
      </c>
      <c r="AE10">
        <f t="shared" si="1"/>
        <v>30.2</v>
      </c>
      <c r="AF10">
        <f t="shared" si="2"/>
        <v>30.599999999999998</v>
      </c>
    </row>
    <row r="11" spans="1:32" ht="15.75" customHeight="1" x14ac:dyDescent="0.2">
      <c r="A11" t="s">
        <v>36</v>
      </c>
      <c r="B11">
        <v>39.098300000000002</v>
      </c>
      <c r="D11" s="5"/>
      <c r="E11" s="19">
        <f>E10</f>
        <v>1.0000000000000001E-5</v>
      </c>
      <c r="F11" s="19">
        <f t="shared" si="3"/>
        <v>9.9999999999999986E-10</v>
      </c>
      <c r="G11" s="20">
        <v>1.792</v>
      </c>
      <c r="H11" s="21">
        <f t="shared" si="19"/>
        <v>5.5652173913043473E-5</v>
      </c>
      <c r="I11" s="22">
        <f t="shared" si="5"/>
        <v>55.652173913043477</v>
      </c>
      <c r="J11" s="23">
        <f t="shared" si="20"/>
        <v>5.6889014231061203E-8</v>
      </c>
      <c r="K11" s="20">
        <v>0.1</v>
      </c>
      <c r="L11" s="23">
        <f t="shared" si="21"/>
        <v>3.0666734233931434E-4</v>
      </c>
      <c r="M11" s="24">
        <v>13.75</v>
      </c>
      <c r="N11" s="20">
        <f t="shared" si="8"/>
        <v>134.84143749999998</v>
      </c>
      <c r="O11" s="25">
        <f t="shared" si="22"/>
        <v>140.77866488668346</v>
      </c>
      <c r="P11" s="26">
        <f t="shared" si="10"/>
        <v>0.95782580129267092</v>
      </c>
      <c r="Q11" s="26">
        <f t="shared" si="11"/>
        <v>-4.217419870732908E-2</v>
      </c>
      <c r="R11" s="26">
        <f t="shared" si="23"/>
        <v>-3.4744446200314714E-2</v>
      </c>
      <c r="S11" s="27">
        <v>-715152.83356521605</v>
      </c>
      <c r="T11" s="24">
        <f t="shared" si="13"/>
        <v>-7.4297525070143658E-3</v>
      </c>
      <c r="U11" s="24">
        <f t="shared" si="14"/>
        <v>5.5201222315486254E-5</v>
      </c>
      <c r="V11" s="28">
        <f t="shared" si="24"/>
        <v>0.92312805713277368</v>
      </c>
      <c r="W11" s="28">
        <f t="shared" si="25"/>
        <v>0.96591462373216441</v>
      </c>
      <c r="X11" s="28">
        <f t="shared" si="17"/>
        <v>0.92312805713277368</v>
      </c>
      <c r="Y11" s="28">
        <f t="shared" si="18"/>
        <v>0.96591462373216441</v>
      </c>
      <c r="AA11">
        <v>12</v>
      </c>
      <c r="AB11">
        <v>30.9</v>
      </c>
      <c r="AC11">
        <f t="shared" si="0"/>
        <v>30900</v>
      </c>
      <c r="AD11">
        <v>0.2</v>
      </c>
      <c r="AE11">
        <f t="shared" si="1"/>
        <v>30.7</v>
      </c>
      <c r="AF11">
        <f t="shared" si="2"/>
        <v>31.099999999999998</v>
      </c>
    </row>
    <row r="12" spans="1:32" ht="15.75" customHeight="1" x14ac:dyDescent="0.2">
      <c r="A12" t="s">
        <v>37</v>
      </c>
      <c r="B12">
        <v>96.06</v>
      </c>
      <c r="D12" s="5"/>
      <c r="E12" s="19">
        <f>E11</f>
        <v>1.0000000000000001E-5</v>
      </c>
      <c r="F12" s="19">
        <f t="shared" si="3"/>
        <v>9.9999999999999986E-10</v>
      </c>
      <c r="G12" s="20">
        <v>3.5350000000000001</v>
      </c>
      <c r="H12" s="21">
        <f t="shared" si="19"/>
        <v>1.0978260869565216E-4</v>
      </c>
      <c r="I12" s="22">
        <f t="shared" si="5"/>
        <v>109.78260869565216</v>
      </c>
      <c r="J12" s="23">
        <f t="shared" si="20"/>
        <v>1.1236938397014755E-7</v>
      </c>
      <c r="K12" s="20">
        <v>0.1</v>
      </c>
      <c r="L12" s="23">
        <f t="shared" si="21"/>
        <v>3.0706881164119536E-4</v>
      </c>
      <c r="M12" s="24">
        <v>26.8</v>
      </c>
      <c r="N12" s="20">
        <f t="shared" si="8"/>
        <v>262.81822</v>
      </c>
      <c r="O12" s="25">
        <f t="shared" si="22"/>
        <v>278.41022047345564</v>
      </c>
      <c r="P12" s="26">
        <f t="shared" si="10"/>
        <v>0.94399630715086402</v>
      </c>
      <c r="Q12" s="26">
        <f t="shared" si="11"/>
        <v>-5.6003692849135978E-2</v>
      </c>
      <c r="R12" s="26">
        <f t="shared" si="23"/>
        <v>-5.6288840206698956E-2</v>
      </c>
      <c r="S12" s="27">
        <v>1615008903035.1201</v>
      </c>
      <c r="T12" s="24">
        <f t="shared" si="13"/>
        <v>2.8514735756297871E-4</v>
      </c>
      <c r="U12" s="24">
        <f t="shared" si="14"/>
        <v>8.1309015525149236E-8</v>
      </c>
      <c r="V12" s="28">
        <f t="shared" si="24"/>
        <v>0.88281856384583346</v>
      </c>
      <c r="W12" s="28">
        <f t="shared" si="25"/>
        <v>0.93379257951275674</v>
      </c>
      <c r="X12" s="28">
        <f t="shared" si="17"/>
        <v>0.88281856384583346</v>
      </c>
      <c r="Y12" s="28">
        <f t="shared" si="18"/>
        <v>0.93379257951275674</v>
      </c>
    </row>
    <row r="13" spans="1:32" ht="15.75" customHeight="1" x14ac:dyDescent="0.2">
      <c r="A13" t="s">
        <v>38</v>
      </c>
      <c r="B13">
        <v>19.023199999999999</v>
      </c>
      <c r="D13" s="5"/>
      <c r="E13" s="19">
        <f>E12</f>
        <v>1.0000000000000001E-5</v>
      </c>
      <c r="F13" s="19">
        <f t="shared" si="3"/>
        <v>9.9999999999999986E-10</v>
      </c>
      <c r="G13" s="20">
        <v>5.2969999999999997</v>
      </c>
      <c r="H13" s="21">
        <f t="shared" si="19"/>
        <v>1.6450310559006209E-4</v>
      </c>
      <c r="I13" s="22">
        <f t="shared" si="5"/>
        <v>164.50310559006209</v>
      </c>
      <c r="J13" s="23">
        <f t="shared" si="20"/>
        <v>1.6860237332723434E-7</v>
      </c>
      <c r="K13" s="20">
        <v>0.1</v>
      </c>
      <c r="L13" s="23">
        <f t="shared" si="21"/>
        <v>3.074757270796836E-4</v>
      </c>
      <c r="M13" s="24">
        <v>39.85</v>
      </c>
      <c r="N13" s="20">
        <f t="shared" si="8"/>
        <v>390.79500250000001</v>
      </c>
      <c r="O13" s="25">
        <f t="shared" si="22"/>
        <v>418.2488048286674</v>
      </c>
      <c r="P13" s="26">
        <f t="shared" si="10"/>
        <v>0.9343601176818338</v>
      </c>
      <c r="Q13" s="26">
        <f t="shared" si="11"/>
        <v>-6.5639882318166198E-2</v>
      </c>
      <c r="R13" s="26">
        <f t="shared" si="23"/>
        <v>-6.8453849626504207E-2</v>
      </c>
      <c r="S13" s="27">
        <v>5.1857327373837496E+18</v>
      </c>
      <c r="T13" s="24">
        <f t="shared" si="13"/>
        <v>2.8139673083380085E-3</v>
      </c>
      <c r="U13" s="24">
        <f t="shared" si="14"/>
        <v>7.9184120123950564E-6</v>
      </c>
      <c r="V13" s="28">
        <f t="shared" si="24"/>
        <v>0.85245305756158374</v>
      </c>
      <c r="W13" s="28">
        <f t="shared" si="25"/>
        <v>0.90232469008252691</v>
      </c>
      <c r="X13" s="28">
        <f t="shared" si="17"/>
        <v>0.85245305756158374</v>
      </c>
      <c r="Y13" s="28">
        <f t="shared" si="18"/>
        <v>0.90232469008252691</v>
      </c>
      <c r="AA13" t="s">
        <v>2</v>
      </c>
      <c r="AB13" t="s">
        <v>39</v>
      </c>
      <c r="AC13" t="s">
        <v>40</v>
      </c>
      <c r="AD13" t="s">
        <v>41</v>
      </c>
      <c r="AE13" t="s">
        <v>42</v>
      </c>
      <c r="AF13" t="s">
        <v>43</v>
      </c>
    </row>
    <row r="14" spans="1:32" ht="15.75" customHeight="1" x14ac:dyDescent="0.2">
      <c r="A14" t="s">
        <v>44</v>
      </c>
      <c r="B14">
        <v>17.007000000000001</v>
      </c>
      <c r="D14" s="5"/>
      <c r="E14" s="19">
        <f>E13</f>
        <v>1.0000000000000001E-5</v>
      </c>
      <c r="F14" s="19">
        <f t="shared" si="3"/>
        <v>9.9999999999999986E-10</v>
      </c>
      <c r="G14" s="20">
        <v>6.9669999999999996</v>
      </c>
      <c r="H14" s="21">
        <f t="shared" si="19"/>
        <v>2.1636645962732915E-4</v>
      </c>
      <c r="I14" s="22">
        <f t="shared" si="5"/>
        <v>216.36645962732916</v>
      </c>
      <c r="J14" s="23">
        <f t="shared" si="20"/>
        <v>2.2203698660533317E-7</v>
      </c>
      <c r="K14" s="20">
        <v>0.1</v>
      </c>
      <c r="L14" s="23">
        <f t="shared" si="21"/>
        <v>3.0786239279568237E-4</v>
      </c>
      <c r="M14" s="24">
        <v>51.7</v>
      </c>
      <c r="N14" s="20">
        <f t="shared" si="8"/>
        <v>507.003805</v>
      </c>
      <c r="O14" s="25">
        <f t="shared" si="22"/>
        <v>551.44438775431399</v>
      </c>
      <c r="P14" s="26">
        <f t="shared" si="10"/>
        <v>0.91941058111899099</v>
      </c>
      <c r="Q14" s="26">
        <f t="shared" si="11"/>
        <v>-8.0589418881009012E-2</v>
      </c>
      <c r="R14" s="26">
        <f t="shared" si="23"/>
        <v>-7.8472541345385893E-2</v>
      </c>
      <c r="S14" s="27">
        <v>-2.3068407933282801E+25</v>
      </c>
      <c r="T14" s="24">
        <f t="shared" si="13"/>
        <v>-2.1168775356231184E-3</v>
      </c>
      <c r="U14" s="24">
        <f t="shared" si="14"/>
        <v>4.4811705008258068E-6</v>
      </c>
      <c r="V14" s="28">
        <f t="shared" si="24"/>
        <v>0.82311059463135627</v>
      </c>
      <c r="W14" s="28">
        <f t="shared" si="25"/>
        <v>0.87340591416370228</v>
      </c>
      <c r="X14" s="28">
        <f t="shared" si="17"/>
        <v>0.82311059463135627</v>
      </c>
      <c r="Y14" s="28">
        <f t="shared" si="18"/>
        <v>0.87340591416370228</v>
      </c>
      <c r="AA14">
        <v>3</v>
      </c>
      <c r="AB14" s="40">
        <v>-6.75E-7</v>
      </c>
      <c r="AC14" s="40">
        <f t="shared" ref="AC14:AC22" si="26">AB14*AC3</f>
        <v>-1.8495000000000001E-2</v>
      </c>
      <c r="AD14" s="40">
        <f t="shared" ref="AD14:AD22" si="27">AC14*AC3</f>
        <v>-506.76300000000003</v>
      </c>
      <c r="AE14" s="40">
        <f t="shared" ref="AE14:AE22" si="28">AD14*1000</f>
        <v>-506763.00000000006</v>
      </c>
      <c r="AF14" s="40">
        <f t="shared" ref="AF14:AF22" si="29">(AE14-$B$5*AC3)*$B$9/1000</f>
        <v>-525348.61179999996</v>
      </c>
    </row>
    <row r="15" spans="1:32" ht="15.75" customHeight="1" x14ac:dyDescent="0.2">
      <c r="D15" s="5"/>
      <c r="E15" s="19">
        <f>E14</f>
        <v>1.0000000000000001E-5</v>
      </c>
      <c r="F15" s="19">
        <f t="shared" si="3"/>
        <v>9.9999999999999986E-10</v>
      </c>
      <c r="G15" s="20">
        <v>8.6950000000000003</v>
      </c>
      <c r="H15" s="21">
        <f t="shared" si="19"/>
        <v>2.700310559006211E-4</v>
      </c>
      <c r="I15" s="22">
        <f t="shared" si="5"/>
        <v>270.03105590062108</v>
      </c>
      <c r="J15" s="23">
        <f t="shared" si="20"/>
        <v>2.7746907277213621E-7</v>
      </c>
      <c r="K15" s="20">
        <v>0.1</v>
      </c>
      <c r="L15" s="23">
        <f t="shared" si="21"/>
        <v>3.0826351270601916E-4</v>
      </c>
      <c r="M15" s="24">
        <v>63.35</v>
      </c>
      <c r="N15" s="20">
        <f t="shared" si="8"/>
        <v>621.25127750000001</v>
      </c>
      <c r="O15" s="25">
        <f t="shared" si="22"/>
        <v>689.94311377219651</v>
      </c>
      <c r="P15" s="26">
        <f t="shared" si="10"/>
        <v>0.90043840586127366</v>
      </c>
      <c r="Q15" s="26">
        <f t="shared" si="11"/>
        <v>-9.9561594138726339E-2</v>
      </c>
      <c r="R15" s="26">
        <f t="shared" si="23"/>
        <v>-0.10005046444549277</v>
      </c>
      <c r="S15" s="41">
        <f>SUM(U10:U15)</f>
        <v>1.4442246180651025E-4</v>
      </c>
      <c r="T15" s="24">
        <f t="shared" si="13"/>
        <v>4.8887030676643406E-4</v>
      </c>
      <c r="U15" s="24">
        <f t="shared" si="14"/>
        <v>2.3899417683790734E-7</v>
      </c>
      <c r="V15" s="28">
        <f t="shared" si="24"/>
        <v>0.79208799949542141</v>
      </c>
      <c r="W15" s="28">
        <f t="shared" si="25"/>
        <v>0.84438515327264418</v>
      </c>
      <c r="X15" s="28">
        <f t="shared" si="17"/>
        <v>0.79208799949542141</v>
      </c>
      <c r="Y15" s="28">
        <f t="shared" si="18"/>
        <v>0.84438515327264418</v>
      </c>
      <c r="AA15">
        <v>4</v>
      </c>
      <c r="AB15" s="40">
        <v>-5.6700000000000003E-7</v>
      </c>
      <c r="AC15" s="40">
        <f t="shared" si="26"/>
        <v>-1.7010000000000001E-2</v>
      </c>
      <c r="AD15" s="40">
        <f t="shared" si="27"/>
        <v>-510.3</v>
      </c>
      <c r="AE15" s="40">
        <f t="shared" si="28"/>
        <v>-510300</v>
      </c>
      <c r="AF15" s="40">
        <f t="shared" si="29"/>
        <v>-530782.86</v>
      </c>
    </row>
    <row r="16" spans="1:32" ht="15.75" customHeight="1" x14ac:dyDescent="0.2">
      <c r="D16" s="4">
        <v>6</v>
      </c>
      <c r="E16" s="10">
        <f>10^-D16</f>
        <v>9.9999999999999995E-7</v>
      </c>
      <c r="F16" s="10">
        <f t="shared" si="3"/>
        <v>1E-8</v>
      </c>
      <c r="G16" s="9">
        <v>0.90200000000000002</v>
      </c>
      <c r="H16" s="11">
        <f t="shared" ref="H16:H21" si="30">G16/$AC$6</f>
        <v>2.7753846153846155E-5</v>
      </c>
      <c r="I16" s="12">
        <f t="shared" si="5"/>
        <v>27.753846153846155</v>
      </c>
      <c r="J16" s="13">
        <f t="shared" ref="J16:J21" si="31">H16/($B$9*(1-H16*$AC$6*$B$5/1000) - K16*($B$11+$B$11+$B$12) - E16*$B$13 - F16*$B$14 - 0.5*E16*$B$12)</f>
        <v>2.8351716016188285E-8</v>
      </c>
      <c r="K16" s="9">
        <v>0.1</v>
      </c>
      <c r="L16" s="13">
        <f t="shared" ref="L16:L21" si="32">(3*K16)/($B$9*(1-H16*$AC$6*$B$5/1000) - K16*(2*$B$11+$B$12) - E16*$B$13 - F16*$B$14 - 0.5*E16*$B$12)</f>
        <v>3.0646256225924147E-4</v>
      </c>
      <c r="M16" s="14">
        <v>7</v>
      </c>
      <c r="N16" s="9">
        <f t="shared" si="8"/>
        <v>68.646549999999991</v>
      </c>
      <c r="O16" s="15">
        <f t="shared" ref="O16:O21" si="33">$B$1*$B$2*$B$9*1000*(J16+0.25*$AB$28*$AB$28*J16*J16/L16)</f>
        <v>70.087411972837657</v>
      </c>
      <c r="P16" s="16">
        <f t="shared" si="10"/>
        <v>0.97944192926689788</v>
      </c>
      <c r="Q16" s="16">
        <f t="shared" si="11"/>
        <v>-2.0558070733102118E-2</v>
      </c>
      <c r="R16" s="16">
        <f t="shared" ref="R16:R21" si="34">$S$16+$S$17*J16+$S$18*J16*J16+$S$19*J16*J16*J16+$S$20*J16*J16*J16*J16</f>
        <v>-1.6741560215444339E-2</v>
      </c>
      <c r="S16" s="17">
        <v>0</v>
      </c>
      <c r="T16" s="14">
        <f t="shared" si="13"/>
        <v>-3.8165105176577799E-3</v>
      </c>
      <c r="U16" s="14">
        <f t="shared" si="14"/>
        <v>1.4565752531392454E-5</v>
      </c>
      <c r="V16" s="18">
        <f t="shared" ref="V16:V21" si="35">EXP(Q16+$S$17*J16+$S$18*J16*J16/2+$S$19*J16*J16*J16/3+$S$20*J16*J16*J16*J16/4)</f>
        <v>0.96144159373551186</v>
      </c>
      <c r="W16" s="18">
        <f t="shared" ref="W16:W21" si="36">EXP(2*$AF$17*J16)</f>
        <v>0.98891661661888053</v>
      </c>
      <c r="X16" s="18">
        <f t="shared" si="17"/>
        <v>0.96144159373551186</v>
      </c>
      <c r="Y16" s="18">
        <f t="shared" si="18"/>
        <v>0.98891661661888053</v>
      </c>
      <c r="AA16">
        <v>5</v>
      </c>
      <c r="AB16" s="40">
        <v>-2.72E-7</v>
      </c>
      <c r="AC16" s="40">
        <f t="shared" si="26"/>
        <v>-8.7584000000000013E-3</v>
      </c>
      <c r="AD16" s="40">
        <f t="shared" si="27"/>
        <v>-282.02048000000008</v>
      </c>
      <c r="AE16" s="40">
        <f t="shared" si="28"/>
        <v>-282020.4800000001</v>
      </c>
      <c r="AF16" s="40">
        <f t="shared" si="29"/>
        <v>-304802.52096000011</v>
      </c>
    </row>
    <row r="17" spans="4:32" ht="15.75" customHeight="1" x14ac:dyDescent="0.2">
      <c r="D17" s="4"/>
      <c r="E17" s="19">
        <f>E16</f>
        <v>9.9999999999999995E-7</v>
      </c>
      <c r="F17" s="19">
        <f t="shared" si="3"/>
        <v>1E-8</v>
      </c>
      <c r="G17" s="20">
        <v>1.819</v>
      </c>
      <c r="H17" s="21">
        <f t="shared" si="30"/>
        <v>5.596923076923077E-5</v>
      </c>
      <c r="I17" s="22">
        <f t="shared" si="5"/>
        <v>55.969230769230769</v>
      </c>
      <c r="J17" s="23">
        <f t="shared" si="31"/>
        <v>5.7214240966342477E-8</v>
      </c>
      <c r="K17" s="20">
        <v>0.1</v>
      </c>
      <c r="L17" s="23">
        <f t="shared" si="32"/>
        <v>3.066733641681359E-4</v>
      </c>
      <c r="M17" s="24">
        <v>14.1</v>
      </c>
      <c r="N17" s="20">
        <f t="shared" si="8"/>
        <v>138.273765</v>
      </c>
      <c r="O17" s="25">
        <f t="shared" si="33"/>
        <v>141.46953100313618</v>
      </c>
      <c r="P17" s="26">
        <f t="shared" si="10"/>
        <v>0.9774102170235841</v>
      </c>
      <c r="Q17" s="26">
        <f t="shared" si="11"/>
        <v>-2.2589782976415895E-2</v>
      </c>
      <c r="R17" s="26">
        <f t="shared" si="34"/>
        <v>-2.7023920917000722E-2</v>
      </c>
      <c r="S17" s="27">
        <v>-738741.41560958198</v>
      </c>
      <c r="T17" s="24">
        <f t="shared" si="13"/>
        <v>4.4341379405848265E-3</v>
      </c>
      <c r="U17" s="24">
        <f t="shared" si="14"/>
        <v>1.9661579276133846E-5</v>
      </c>
      <c r="V17" s="28">
        <f t="shared" si="35"/>
        <v>0.94495671234048306</v>
      </c>
      <c r="W17" s="28">
        <f t="shared" si="36"/>
        <v>0.9777597181843084</v>
      </c>
      <c r="X17" s="28">
        <f t="shared" si="17"/>
        <v>0.94495671234048306</v>
      </c>
      <c r="Y17" s="28">
        <f t="shared" si="18"/>
        <v>0.9777597181843084</v>
      </c>
      <c r="AA17">
        <v>6</v>
      </c>
      <c r="AB17" s="40">
        <v>-1.6400000000000001E-7</v>
      </c>
      <c r="AC17" s="40">
        <f t="shared" si="26"/>
        <v>-5.3300000000000005E-3</v>
      </c>
      <c r="AD17" s="40">
        <f t="shared" si="27"/>
        <v>-173.22500000000002</v>
      </c>
      <c r="AE17" s="40">
        <f t="shared" si="28"/>
        <v>-173225.00000000003</v>
      </c>
      <c r="AF17" s="40">
        <f t="shared" si="29"/>
        <v>-196553.56500000003</v>
      </c>
    </row>
    <row r="18" spans="4:32" ht="15.75" customHeight="1" x14ac:dyDescent="0.2">
      <c r="D18" s="4"/>
      <c r="E18" s="19">
        <f>E17</f>
        <v>9.9999999999999995E-7</v>
      </c>
      <c r="F18" s="19">
        <f t="shared" si="3"/>
        <v>1E-8</v>
      </c>
      <c r="G18" s="20">
        <v>3.7559999999999998</v>
      </c>
      <c r="H18" s="21">
        <f t="shared" si="30"/>
        <v>1.1556923076923077E-4</v>
      </c>
      <c r="I18" s="22">
        <f t="shared" si="5"/>
        <v>115.56923076923077</v>
      </c>
      <c r="J18" s="23">
        <f t="shared" si="31"/>
        <v>1.1831191994774557E-7</v>
      </c>
      <c r="K18" s="20">
        <v>0.1</v>
      </c>
      <c r="L18" s="23">
        <f t="shared" si="32"/>
        <v>3.0711960050333321E-4</v>
      </c>
      <c r="M18" s="24">
        <v>28.65</v>
      </c>
      <c r="N18" s="20">
        <f t="shared" si="8"/>
        <v>280.96052249999997</v>
      </c>
      <c r="O18" s="25">
        <f t="shared" si="33"/>
        <v>292.68092581993523</v>
      </c>
      <c r="P18" s="26">
        <f t="shared" si="10"/>
        <v>0.9599550148780589</v>
      </c>
      <c r="Q18" s="26">
        <f t="shared" si="11"/>
        <v>-4.0044985121941101E-2</v>
      </c>
      <c r="R18" s="26">
        <f t="shared" si="34"/>
        <v>-3.7134294779824516E-2</v>
      </c>
      <c r="S18" s="27">
        <v>5834310636295.3203</v>
      </c>
      <c r="T18" s="24">
        <f t="shared" si="13"/>
        <v>-2.9106903421165856E-3</v>
      </c>
      <c r="U18" s="24">
        <f t="shared" si="14"/>
        <v>8.4721182676907656E-6</v>
      </c>
      <c r="V18" s="28">
        <f t="shared" si="35"/>
        <v>0.90708886500035812</v>
      </c>
      <c r="W18" s="28">
        <f t="shared" si="36"/>
        <v>0.95455572201559924</v>
      </c>
      <c r="X18" s="28">
        <f t="shared" si="17"/>
        <v>0.90708886500035812</v>
      </c>
      <c r="Y18" s="28">
        <f t="shared" si="18"/>
        <v>0.95455572201559924</v>
      </c>
      <c r="AA18">
        <v>8</v>
      </c>
      <c r="AB18" s="40">
        <v>4.4999999999999999E-8</v>
      </c>
      <c r="AC18" s="40">
        <f t="shared" si="26"/>
        <v>1.6964999999999999E-3</v>
      </c>
      <c r="AD18" s="40">
        <f t="shared" si="27"/>
        <v>63.958049999999993</v>
      </c>
      <c r="AE18" s="40">
        <f t="shared" si="28"/>
        <v>63958.049999999996</v>
      </c>
      <c r="AF18" s="40">
        <f t="shared" si="29"/>
        <v>36102.217449999989</v>
      </c>
    </row>
    <row r="19" spans="4:32" ht="15.75" customHeight="1" x14ac:dyDescent="0.2">
      <c r="D19" s="4"/>
      <c r="E19" s="19">
        <f>E18</f>
        <v>9.9999999999999995E-7</v>
      </c>
      <c r="F19" s="19">
        <f t="shared" si="3"/>
        <v>1E-8</v>
      </c>
      <c r="G19" s="20">
        <v>5.4480000000000004</v>
      </c>
      <c r="H19" s="21">
        <f t="shared" si="30"/>
        <v>1.6763076923076924E-4</v>
      </c>
      <c r="I19" s="22">
        <f t="shared" si="5"/>
        <v>167.63076923076923</v>
      </c>
      <c r="J19" s="23">
        <f t="shared" si="31"/>
        <v>1.7182738260125229E-7</v>
      </c>
      <c r="K19" s="20">
        <v>0.1</v>
      </c>
      <c r="L19" s="23">
        <f t="shared" si="32"/>
        <v>3.0751045895047906E-4</v>
      </c>
      <c r="M19" s="24">
        <v>41.55</v>
      </c>
      <c r="N19" s="20">
        <f t="shared" si="8"/>
        <v>407.46630749999997</v>
      </c>
      <c r="O19" s="25">
        <f t="shared" si="33"/>
        <v>425.24494168236595</v>
      </c>
      <c r="P19" s="26">
        <f t="shared" si="10"/>
        <v>0.9581920149078561</v>
      </c>
      <c r="Q19" s="26">
        <f t="shared" si="11"/>
        <v>-4.1807985092143896E-2</v>
      </c>
      <c r="R19" s="26">
        <f t="shared" si="34"/>
        <v>-4.3633355445268363E-2</v>
      </c>
      <c r="S19" s="27">
        <v>-2.2111828785802498E+19</v>
      </c>
      <c r="T19" s="24">
        <f t="shared" si="13"/>
        <v>1.8253703531244669E-3</v>
      </c>
      <c r="U19" s="24">
        <f t="shared" si="14"/>
        <v>3.3319769260657412E-6</v>
      </c>
      <c r="V19" s="28">
        <f t="shared" si="35"/>
        <v>0.89207740579443151</v>
      </c>
      <c r="W19" s="28">
        <f t="shared" si="36"/>
        <v>0.93468419207956799</v>
      </c>
      <c r="X19" s="28">
        <f t="shared" si="17"/>
        <v>0.89207740579443151</v>
      </c>
      <c r="Y19" s="28">
        <f t="shared" si="18"/>
        <v>0.93468419207956799</v>
      </c>
      <c r="AA19">
        <v>8.25</v>
      </c>
      <c r="AB19" s="40">
        <v>-1.2E-8</v>
      </c>
      <c r="AC19" s="40">
        <f t="shared" si="26"/>
        <v>-4.236E-4</v>
      </c>
      <c r="AD19" s="40">
        <f t="shared" si="27"/>
        <v>-14.95308</v>
      </c>
      <c r="AE19" s="40">
        <f t="shared" si="28"/>
        <v>-14953.08</v>
      </c>
      <c r="AF19" s="40">
        <f t="shared" si="29"/>
        <v>-40811.07836</v>
      </c>
    </row>
    <row r="20" spans="4:32" ht="15.75" customHeight="1" x14ac:dyDescent="0.2">
      <c r="D20" s="4"/>
      <c r="E20" s="19">
        <f>E19</f>
        <v>9.9999999999999995E-7</v>
      </c>
      <c r="F20" s="19">
        <f t="shared" si="3"/>
        <v>1E-8</v>
      </c>
      <c r="G20" s="20">
        <v>7.1349999999999998</v>
      </c>
      <c r="H20" s="21">
        <f t="shared" si="30"/>
        <v>2.1953846153846153E-4</v>
      </c>
      <c r="I20" s="22">
        <f t="shared" si="5"/>
        <v>219.53846153846152</v>
      </c>
      <c r="J20" s="23">
        <f t="shared" si="31"/>
        <v>2.2532048558301055E-7</v>
      </c>
      <c r="K20" s="20">
        <v>0.1</v>
      </c>
      <c r="L20" s="23">
        <f t="shared" si="32"/>
        <v>3.0790115409030878E-4</v>
      </c>
      <c r="M20" s="24">
        <v>53.75</v>
      </c>
      <c r="N20" s="20">
        <f t="shared" si="8"/>
        <v>527.10743749999995</v>
      </c>
      <c r="O20" s="25">
        <f t="shared" si="33"/>
        <v>557.86320092446329</v>
      </c>
      <c r="P20" s="26">
        <f t="shared" si="10"/>
        <v>0.94486862841374653</v>
      </c>
      <c r="Q20" s="26">
        <f t="shared" si="11"/>
        <v>-5.5131371586253475E-2</v>
      </c>
      <c r="R20" s="26">
        <f t="shared" si="34"/>
        <v>-5.4526950906379115E-2</v>
      </c>
      <c r="S20" s="27">
        <v>2.6641064234936401E+25</v>
      </c>
      <c r="T20" s="24">
        <f t="shared" si="13"/>
        <v>-6.0442067987435955E-4</v>
      </c>
      <c r="U20" s="24">
        <f t="shared" si="14"/>
        <v>3.6532435825978302E-7</v>
      </c>
      <c r="V20" s="28">
        <f t="shared" si="35"/>
        <v>0.86880978121225905</v>
      </c>
      <c r="W20" s="28">
        <f t="shared" si="36"/>
        <v>0.9152343837387209</v>
      </c>
      <c r="X20" s="28">
        <f t="shared" si="17"/>
        <v>0.86880978121225905</v>
      </c>
      <c r="Y20" s="28">
        <f t="shared" si="18"/>
        <v>0.9152343837387209</v>
      </c>
      <c r="AA20">
        <v>10</v>
      </c>
      <c r="AB20" s="40">
        <v>-3.22E-7</v>
      </c>
      <c r="AC20" s="40">
        <f t="shared" si="26"/>
        <v>-1.0175200000000001E-2</v>
      </c>
      <c r="AD20" s="40">
        <f t="shared" si="27"/>
        <v>-321.53632000000005</v>
      </c>
      <c r="AE20" s="40">
        <f t="shared" si="28"/>
        <v>-321536.32000000007</v>
      </c>
      <c r="AF20" s="40">
        <f t="shared" si="29"/>
        <v>-343759.53824000008</v>
      </c>
    </row>
    <row r="21" spans="4:32" ht="15.75" customHeight="1" x14ac:dyDescent="0.2">
      <c r="D21" s="4"/>
      <c r="E21" s="29">
        <f>E20</f>
        <v>9.9999999999999995E-7</v>
      </c>
      <c r="F21" s="29">
        <f t="shared" si="3"/>
        <v>1E-8</v>
      </c>
      <c r="G21" s="30">
        <v>8.9890000000000008</v>
      </c>
      <c r="H21" s="31">
        <f t="shared" si="30"/>
        <v>2.7658461538461541E-4</v>
      </c>
      <c r="I21" s="32">
        <f t="shared" si="5"/>
        <v>276.5846153846154</v>
      </c>
      <c r="J21" s="33">
        <f t="shared" si="31"/>
        <v>2.8426598941007136E-7</v>
      </c>
      <c r="K21" s="30">
        <v>0.1</v>
      </c>
      <c r="L21" s="33">
        <f t="shared" si="32"/>
        <v>3.0833167168185511E-4</v>
      </c>
      <c r="M21" s="34">
        <v>66.599999999999994</v>
      </c>
      <c r="N21" s="30">
        <f t="shared" si="8"/>
        <v>653.12288999999987</v>
      </c>
      <c r="O21" s="35">
        <f t="shared" si="33"/>
        <v>704.12530102434164</v>
      </c>
      <c r="P21" s="36">
        <f t="shared" si="10"/>
        <v>0.92756628550324083</v>
      </c>
      <c r="Q21" s="36">
        <f t="shared" si="11"/>
        <v>-7.2433714496759172E-2</v>
      </c>
      <c r="R21" s="36">
        <f t="shared" si="34"/>
        <v>-7.2509059069574916E-2</v>
      </c>
      <c r="S21" s="37">
        <f>SUM(U16:U21)</f>
        <v>4.640242816419537E-5</v>
      </c>
      <c r="T21" s="34">
        <f t="shared" si="13"/>
        <v>7.5344572815744248E-5</v>
      </c>
      <c r="U21" s="34">
        <f t="shared" si="14"/>
        <v>5.6768046527869873E-9</v>
      </c>
      <c r="V21" s="38">
        <f t="shared" si="35"/>
        <v>0.84153823631817315</v>
      </c>
      <c r="W21" s="38">
        <f t="shared" si="36"/>
        <v>0.89427049071208364</v>
      </c>
      <c r="X21" s="38">
        <f t="shared" si="17"/>
        <v>0.84153823631817315</v>
      </c>
      <c r="Y21" s="38">
        <f t="shared" si="18"/>
        <v>0.89427049071208364</v>
      </c>
      <c r="AA21">
        <v>11</v>
      </c>
      <c r="AB21" s="40">
        <v>-7.37E-7</v>
      </c>
      <c r="AC21" s="40">
        <f t="shared" si="26"/>
        <v>-2.2404799999999999E-2</v>
      </c>
      <c r="AD21" s="40">
        <f t="shared" si="27"/>
        <v>-681.10591999999997</v>
      </c>
      <c r="AE21" s="40">
        <f t="shared" si="28"/>
        <v>-681105.91999999993</v>
      </c>
      <c r="AF21" s="40">
        <f t="shared" si="29"/>
        <v>-701369.87903999991</v>
      </c>
    </row>
    <row r="22" spans="4:32" ht="15.75" customHeight="1" x14ac:dyDescent="0.2">
      <c r="D22" s="3">
        <v>8</v>
      </c>
      <c r="E22" s="19">
        <f>10^-D22</f>
        <v>1E-8</v>
      </c>
      <c r="F22" s="19">
        <f t="shared" si="3"/>
        <v>9.9999999999999995E-7</v>
      </c>
      <c r="G22" s="20">
        <v>0.90100000000000002</v>
      </c>
      <c r="H22" s="21">
        <f t="shared" ref="H22:H27" si="37">G22/$AC$7</f>
        <v>2.3899204244031829E-5</v>
      </c>
      <c r="I22" s="22">
        <f t="shared" si="5"/>
        <v>23.899204244031829</v>
      </c>
      <c r="J22" s="23">
        <f t="shared" ref="J22:J27" si="38">H22/($B$9*(1-H22*$AC$7*$B$5/1000) - K22*(2*$B$11+$B$12) - E22*$B$13 - F22*$B$14 - F22*$B$11)</f>
        <v>2.441401932200858E-8</v>
      </c>
      <c r="K22" s="20">
        <v>0.1</v>
      </c>
      <c r="L22" s="23">
        <f t="shared" ref="L22:L27" si="39">(3*K22)/($B$9*(1-H22*$AC$7*$B$5/1000) - K22*(2*$B$11+$B$12) - E22*$B$13 - F22*$B$14 - F22*$B$11)</f>
        <v>3.0646232911422542E-4</v>
      </c>
      <c r="M22" s="24">
        <v>6</v>
      </c>
      <c r="N22" s="20">
        <f t="shared" si="8"/>
        <v>58.8399</v>
      </c>
      <c r="O22" s="25">
        <f t="shared" ref="O22:O27" si="40">$B$1*$B$2*$B$9*1000*(J22+0.25*$AB$30*$AB$30*J22*J22/L22)</f>
        <v>60.339788973744</v>
      </c>
      <c r="P22" s="26">
        <f t="shared" si="10"/>
        <v>0.97514262148983233</v>
      </c>
      <c r="Q22" s="26">
        <f t="shared" si="11"/>
        <v>-2.4857378510167671E-2</v>
      </c>
      <c r="R22" s="26">
        <f t="shared" ref="R22:R27" si="41">$S$22+$S$23*J22+$S$24*J22*J22+$S$25*J22*J22*J22+$S$26*J22*J22*J22*J22</f>
        <v>-2.0147966902748015E-2</v>
      </c>
      <c r="S22" s="39">
        <v>0</v>
      </c>
      <c r="T22" s="24">
        <f t="shared" si="13"/>
        <v>-4.7094116074196564E-3</v>
      </c>
      <c r="U22" s="24">
        <f t="shared" si="14"/>
        <v>2.2178557688098992E-5</v>
      </c>
      <c r="V22" s="28">
        <f t="shared" ref="V22:V27" si="42">EXP(Q22+$S$23*J22+$S$24*J22*J22/2+$S$25*J22*J22*J22/3+$S$26*J22*J22*J22*J22/4)</f>
        <v>0.94971440009788821</v>
      </c>
      <c r="W22" s="28">
        <f t="shared" ref="W22:W27" si="43">EXP(2*$AF$18*J22)</f>
        <v>1.0017643551149058</v>
      </c>
      <c r="X22" s="28">
        <f t="shared" si="17"/>
        <v>0.94971440009788821</v>
      </c>
      <c r="Y22" s="28">
        <f t="shared" si="18"/>
        <v>1.0017643551149058</v>
      </c>
      <c r="AA22">
        <v>12</v>
      </c>
      <c r="AB22" s="40">
        <v>-1.81E-6</v>
      </c>
      <c r="AC22" s="40">
        <f t="shared" si="26"/>
        <v>-5.5929E-2</v>
      </c>
      <c r="AD22" s="40">
        <f t="shared" si="27"/>
        <v>-1728.2060999999999</v>
      </c>
      <c r="AE22" s="40">
        <f t="shared" si="28"/>
        <v>-1728206.0999999999</v>
      </c>
      <c r="AF22" s="40">
        <f t="shared" si="29"/>
        <v>-1745695.6544999997</v>
      </c>
    </row>
    <row r="23" spans="4:32" ht="15.75" customHeight="1" x14ac:dyDescent="0.2">
      <c r="D23" s="3"/>
      <c r="E23" s="19">
        <f>E22</f>
        <v>1E-8</v>
      </c>
      <c r="F23" s="19">
        <f t="shared" si="3"/>
        <v>9.9999999999999995E-7</v>
      </c>
      <c r="G23" s="20">
        <v>1.841</v>
      </c>
      <c r="H23" s="21">
        <f t="shared" si="37"/>
        <v>4.8832891246684346E-5</v>
      </c>
      <c r="I23" s="22">
        <f t="shared" si="5"/>
        <v>48.832891246684348</v>
      </c>
      <c r="J23" s="23">
        <f t="shared" si="38"/>
        <v>4.9919980050437351E-8</v>
      </c>
      <c r="K23" s="20">
        <v>0.1</v>
      </c>
      <c r="L23" s="23">
        <f t="shared" si="39"/>
        <v>3.0667842171126921E-4</v>
      </c>
      <c r="M23" s="24">
        <v>12.4</v>
      </c>
      <c r="N23" s="20">
        <f t="shared" si="8"/>
        <v>121.60245999999999</v>
      </c>
      <c r="O23" s="25">
        <f t="shared" si="40"/>
        <v>123.37843783778604</v>
      </c>
      <c r="P23" s="26">
        <f t="shared" si="10"/>
        <v>0.98560544395835969</v>
      </c>
      <c r="Q23" s="26">
        <f t="shared" si="11"/>
        <v>-1.4394556041640305E-2</v>
      </c>
      <c r="R23" s="26">
        <f t="shared" si="41"/>
        <v>-2.042930512859583E-2</v>
      </c>
      <c r="S23" s="27">
        <v>-1395296.4299258799</v>
      </c>
      <c r="T23" s="24">
        <f t="shared" si="13"/>
        <v>6.0347490869555251E-3</v>
      </c>
      <c r="U23" s="24">
        <f t="shared" si="14"/>
        <v>3.6418196542510541E-5</v>
      </c>
      <c r="V23" s="28">
        <f t="shared" si="42"/>
        <v>0.94505121159231142</v>
      </c>
      <c r="W23" s="28">
        <f t="shared" si="43"/>
        <v>1.003610947769725</v>
      </c>
      <c r="X23" s="28">
        <f t="shared" si="17"/>
        <v>0.94505121159231142</v>
      </c>
      <c r="Y23" s="28">
        <f t="shared" si="18"/>
        <v>1.003610947769725</v>
      </c>
    </row>
    <row r="24" spans="4:32" ht="15.75" customHeight="1" x14ac:dyDescent="0.2">
      <c r="D24" s="3"/>
      <c r="E24" s="19">
        <f>E23</f>
        <v>1E-8</v>
      </c>
      <c r="F24" s="19">
        <f t="shared" si="3"/>
        <v>9.9999999999999995E-7</v>
      </c>
      <c r="G24" s="20">
        <v>4.07</v>
      </c>
      <c r="H24" s="21">
        <f t="shared" si="37"/>
        <v>1.0795755968169762E-4</v>
      </c>
      <c r="I24" s="22">
        <f t="shared" si="5"/>
        <v>107.95755968169762</v>
      </c>
      <c r="J24" s="23">
        <f t="shared" si="38"/>
        <v>1.1054568281494604E-7</v>
      </c>
      <c r="K24" s="20">
        <v>0.1</v>
      </c>
      <c r="L24" s="23">
        <f t="shared" si="39"/>
        <v>3.0719205715897788E-4</v>
      </c>
      <c r="M24" s="24">
        <v>27.75</v>
      </c>
      <c r="N24" s="20">
        <f t="shared" si="8"/>
        <v>272.13453749999996</v>
      </c>
      <c r="O24" s="25">
        <f t="shared" si="40"/>
        <v>273.21686670445581</v>
      </c>
      <c r="P24" s="26">
        <f t="shared" si="10"/>
        <v>0.99603857105342397</v>
      </c>
      <c r="Q24" s="26">
        <f t="shared" si="11"/>
        <v>-3.9614289465760288E-3</v>
      </c>
      <c r="R24" s="26">
        <f t="shared" si="41"/>
        <v>2.1273313723702975E-3</v>
      </c>
      <c r="S24" s="27">
        <v>27161838003605.102</v>
      </c>
      <c r="T24" s="24">
        <f t="shared" si="13"/>
        <v>-6.0887603189463263E-3</v>
      </c>
      <c r="U24" s="24">
        <f t="shared" si="14"/>
        <v>3.707300222157537E-5</v>
      </c>
      <c r="V24" s="28">
        <f t="shared" si="42"/>
        <v>0.9469102322599029</v>
      </c>
      <c r="W24" s="28">
        <f t="shared" si="43"/>
        <v>1.0080138287552414</v>
      </c>
      <c r="X24" s="28">
        <f t="shared" si="17"/>
        <v>0.9469102322599029</v>
      </c>
      <c r="Y24" s="28">
        <f t="shared" si="18"/>
        <v>1.0080138287552414</v>
      </c>
      <c r="AA24" t="s">
        <v>2</v>
      </c>
      <c r="AB24" t="s">
        <v>45</v>
      </c>
    </row>
    <row r="25" spans="4:32" ht="15.75" customHeight="1" x14ac:dyDescent="0.2">
      <c r="D25" s="3"/>
      <c r="E25" s="19">
        <f>E24</f>
        <v>1E-8</v>
      </c>
      <c r="F25" s="19">
        <f t="shared" si="3"/>
        <v>9.9999999999999995E-7</v>
      </c>
      <c r="G25" s="20">
        <v>5.5579999999999998</v>
      </c>
      <c r="H25" s="21">
        <f t="shared" si="37"/>
        <v>1.4742705570291778E-4</v>
      </c>
      <c r="I25" s="22">
        <f t="shared" si="5"/>
        <v>147.42705570291778</v>
      </c>
      <c r="J25" s="23">
        <f t="shared" si="38"/>
        <v>1.5113037438094951E-7</v>
      </c>
      <c r="K25" s="20">
        <v>0.1</v>
      </c>
      <c r="L25" s="23">
        <f t="shared" si="39"/>
        <v>3.0753590036857484E-4</v>
      </c>
      <c r="M25" s="24">
        <v>38.549999999999997</v>
      </c>
      <c r="N25" s="20">
        <v>376.9</v>
      </c>
      <c r="O25" s="25">
        <f t="shared" si="40"/>
        <v>373.52360242003203</v>
      </c>
      <c r="P25" s="26">
        <f t="shared" si="10"/>
        <v>1.0090393152081756</v>
      </c>
      <c r="Q25" s="26">
        <f t="shared" si="11"/>
        <v>9.0393152081755801E-3</v>
      </c>
      <c r="R25" s="26">
        <f t="shared" si="41"/>
        <v>3.6007209798062101E-3</v>
      </c>
      <c r="S25" s="27">
        <v>-1.6362491699257999E+20</v>
      </c>
      <c r="T25" s="24">
        <f t="shared" si="13"/>
        <v>5.43859422836937E-3</v>
      </c>
      <c r="U25" s="24">
        <f t="shared" si="14"/>
        <v>2.9578307180852624E-5</v>
      </c>
      <c r="V25" s="28">
        <f t="shared" si="42"/>
        <v>0.96061145215368071</v>
      </c>
      <c r="W25" s="28">
        <f t="shared" si="43"/>
        <v>1.0109720394023598</v>
      </c>
      <c r="X25" s="28">
        <f t="shared" si="17"/>
        <v>0.96061145215368071</v>
      </c>
      <c r="Y25" s="28">
        <f t="shared" si="18"/>
        <v>1.0109720394023598</v>
      </c>
      <c r="AA25">
        <v>3</v>
      </c>
      <c r="AB25" s="42">
        <v>14.2</v>
      </c>
    </row>
    <row r="26" spans="4:32" ht="15.75" customHeight="1" x14ac:dyDescent="0.2">
      <c r="D26" s="3"/>
      <c r="E26" s="19">
        <f>E25</f>
        <v>1E-8</v>
      </c>
      <c r="F26" s="19">
        <f t="shared" si="3"/>
        <v>9.9999999999999995E-7</v>
      </c>
      <c r="G26" s="20">
        <v>7.2110000000000003</v>
      </c>
      <c r="H26" s="21">
        <f t="shared" si="37"/>
        <v>1.9127320954907161E-4</v>
      </c>
      <c r="I26" s="22">
        <f t="shared" si="5"/>
        <v>191.27320954907162</v>
      </c>
      <c r="J26" s="23">
        <f t="shared" si="38"/>
        <v>1.9632204123243743E-7</v>
      </c>
      <c r="K26" s="20">
        <v>0.1</v>
      </c>
      <c r="L26" s="23">
        <f t="shared" si="39"/>
        <v>3.079187749741877E-4</v>
      </c>
      <c r="M26" s="24">
        <v>48.75</v>
      </c>
      <c r="N26" s="20">
        <f>M26*9.80665</f>
        <v>478.07418749999999</v>
      </c>
      <c r="O26" s="25">
        <f t="shared" si="40"/>
        <v>485.21697608039074</v>
      </c>
      <c r="P26" s="26">
        <f t="shared" si="10"/>
        <v>0.98527918656496605</v>
      </c>
      <c r="Q26" s="26">
        <f t="shared" si="11"/>
        <v>-1.4720813435033953E-2</v>
      </c>
      <c r="R26" s="26">
        <f t="shared" si="41"/>
        <v>-1.268004106895676E-2</v>
      </c>
      <c r="S26" s="27">
        <v>3.0458789980940201E+26</v>
      </c>
      <c r="T26" s="24">
        <f t="shared" si="13"/>
        <v>-2.0407723660771926E-3</v>
      </c>
      <c r="U26" s="24">
        <f t="shared" si="14"/>
        <v>4.164751850144303E-6</v>
      </c>
      <c r="V26" s="28">
        <f t="shared" si="42"/>
        <v>0.93726296125900654</v>
      </c>
      <c r="W26" s="28">
        <f t="shared" si="43"/>
        <v>1.0142762683412545</v>
      </c>
      <c r="X26" s="28">
        <f t="shared" si="17"/>
        <v>0.93726296125900654</v>
      </c>
      <c r="Y26" s="28">
        <f t="shared" si="18"/>
        <v>1.0142762683412545</v>
      </c>
      <c r="AA26">
        <v>4</v>
      </c>
      <c r="AB26" s="42">
        <v>10.199999999999999</v>
      </c>
    </row>
    <row r="27" spans="4:32" ht="15.75" customHeight="1" x14ac:dyDescent="0.2">
      <c r="D27" s="3"/>
      <c r="E27" s="19">
        <f>E26</f>
        <v>1E-8</v>
      </c>
      <c r="F27" s="19">
        <f t="shared" si="3"/>
        <v>9.9999999999999995E-7</v>
      </c>
      <c r="G27" s="20">
        <v>9.298</v>
      </c>
      <c r="H27" s="21">
        <f t="shared" si="37"/>
        <v>2.4663129973474801E-4</v>
      </c>
      <c r="I27" s="22">
        <f t="shared" si="5"/>
        <v>246.63129973474801</v>
      </c>
      <c r="J27" s="23">
        <f t="shared" si="38"/>
        <v>2.5353988491746573E-7</v>
      </c>
      <c r="K27" s="20">
        <v>0.1</v>
      </c>
      <c r="L27" s="23">
        <f t="shared" si="39"/>
        <v>3.0840353822505248E-4</v>
      </c>
      <c r="M27" s="24">
        <v>62.9</v>
      </c>
      <c r="N27" s="20">
        <f>M27*9.80665</f>
        <v>616.83828499999993</v>
      </c>
      <c r="O27" s="25">
        <f t="shared" si="40"/>
        <v>626.6340881043659</v>
      </c>
      <c r="P27" s="26">
        <f t="shared" si="10"/>
        <v>0.984367586618214</v>
      </c>
      <c r="Q27" s="26">
        <f t="shared" si="11"/>
        <v>-1.5632413381786003E-2</v>
      </c>
      <c r="R27" s="26">
        <f t="shared" si="41"/>
        <v>-1.5890830686363211E-2</v>
      </c>
      <c r="S27" s="41">
        <f>SUM(U22:U27)</f>
        <v>1.2947959498648681E-4</v>
      </c>
      <c r="T27" s="24">
        <f t="shared" si="13"/>
        <v>2.5841730457720757E-4</v>
      </c>
      <c r="U27" s="24">
        <f t="shared" si="14"/>
        <v>6.6779503304949268E-8</v>
      </c>
      <c r="V27" s="28">
        <f t="shared" si="42"/>
        <v>0.93178581770927238</v>
      </c>
      <c r="W27" s="28">
        <f t="shared" si="43"/>
        <v>1.0184752990573467</v>
      </c>
      <c r="X27" s="28">
        <f t="shared" si="17"/>
        <v>0.93178581770927238</v>
      </c>
      <c r="Y27" s="28">
        <f t="shared" si="18"/>
        <v>1.0184752990573467</v>
      </c>
      <c r="AA27">
        <v>5</v>
      </c>
      <c r="AB27" s="42">
        <v>5.2</v>
      </c>
    </row>
    <row r="28" spans="4:32" ht="15.75" customHeight="1" x14ac:dyDescent="0.2">
      <c r="D28" s="4">
        <v>8.25</v>
      </c>
      <c r="E28" s="10">
        <f>10^-D28</f>
        <v>5.6234132519034744E-9</v>
      </c>
      <c r="F28" s="10">
        <f t="shared" si="3"/>
        <v>1.778279410038928E-6</v>
      </c>
      <c r="G28" s="9">
        <v>0.90200000000000002</v>
      </c>
      <c r="H28" s="11">
        <f t="shared" ref="H28:H33" si="44">G28/$AC$8</f>
        <v>2.5552407932011333E-5</v>
      </c>
      <c r="I28" s="12">
        <f t="shared" si="5"/>
        <v>25.552407932011334</v>
      </c>
      <c r="J28" s="13">
        <f t="shared" ref="J28:J33" si="45">H28/($B$9*(1-H28*$AC$8*$B$5/1000) - K28*(2*$B$11+$B$12) - E28*$B$13 - F28*$B$14 - F28*$B$11)</f>
        <v>2.6102855559865461E-8</v>
      </c>
      <c r="K28" s="9">
        <v>0.1</v>
      </c>
      <c r="L28" s="13">
        <f t="shared" ref="L28:L33" si="46">(3*K28)/($B$9*(1-H28*$AC$8*$B$5/1000) - K28*(2*$B$11+$B$12) - E28*$B$13 - F28*$B$14 - F28*$B$11)</f>
        <v>3.0646257248223417E-4</v>
      </c>
      <c r="M28" s="14">
        <v>6.5</v>
      </c>
      <c r="N28" s="9">
        <f>M28*9.80665</f>
        <v>63.743224999999995</v>
      </c>
      <c r="O28" s="15">
        <f t="shared" ref="O28:O33" si="47">$B$1*$B$2*$B$9*1000*(J28+0.25*$AB$31*$AB$31*J28*J28/L28)</f>
        <v>64.513733710975785</v>
      </c>
      <c r="P28" s="16">
        <f t="shared" si="10"/>
        <v>0.98805667155418875</v>
      </c>
      <c r="Q28" s="16">
        <f t="shared" si="11"/>
        <v>-1.1943328445811252E-2</v>
      </c>
      <c r="R28" s="16">
        <f t="shared" ref="R28:R33" si="48">$S$28+$S$29*J28+$S$30*J28*J28+$S$31*J28*J28*J28+$S$32*J28*J28*J28*J28</f>
        <v>-1.6874563714980896E-2</v>
      </c>
      <c r="S28" s="17">
        <v>0</v>
      </c>
      <c r="T28" s="14">
        <f t="shared" si="13"/>
        <v>4.931235269169644E-3</v>
      </c>
      <c r="U28" s="14">
        <f t="shared" si="14"/>
        <v>2.4317081279902613E-5</v>
      </c>
      <c r="V28" s="18">
        <f t="shared" ref="V28:V33" si="49">EXP(Q28+$S$29*J28+$S$30*J28*J28/2+$S$31*J28*J28*J28/3+$S$32*J28*J28*J28*J28/4)</f>
        <v>0.96742577483587133</v>
      </c>
      <c r="W28" s="18">
        <f t="shared" ref="W28:W33" si="50">EXP(2*$AF$19*J28)</f>
        <v>0.99787169668879105</v>
      </c>
      <c r="X28" s="18">
        <f t="shared" si="17"/>
        <v>0.96742577483587133</v>
      </c>
      <c r="Y28" s="18">
        <f t="shared" si="18"/>
        <v>0.99787169668879105</v>
      </c>
      <c r="AA28">
        <v>6</v>
      </c>
      <c r="AB28" s="42">
        <v>3.1</v>
      </c>
    </row>
    <row r="29" spans="4:32" ht="15.75" customHeight="1" x14ac:dyDescent="0.2">
      <c r="D29" s="4"/>
      <c r="E29" s="19">
        <f>E28</f>
        <v>5.6234132519034744E-9</v>
      </c>
      <c r="F29" s="19">
        <f t="shared" si="3"/>
        <v>1.778279410038928E-6</v>
      </c>
      <c r="G29" s="20">
        <v>1.8109999999999999</v>
      </c>
      <c r="H29" s="21">
        <f t="shared" si="44"/>
        <v>5.1303116147308778E-5</v>
      </c>
      <c r="I29" s="22">
        <f t="shared" si="5"/>
        <v>51.303116147308778</v>
      </c>
      <c r="J29" s="23">
        <f t="shared" si="45"/>
        <v>5.2444017775678374E-8</v>
      </c>
      <c r="K29" s="20">
        <v>0.1</v>
      </c>
      <c r="L29" s="23">
        <f t="shared" si="46"/>
        <v>3.0667153409411047E-4</v>
      </c>
      <c r="M29" s="24">
        <v>12.85</v>
      </c>
      <c r="N29" s="20">
        <f>M29*9.80665</f>
        <v>126.01545249999999</v>
      </c>
      <c r="O29" s="25">
        <f t="shared" si="47"/>
        <v>129.61644712603368</v>
      </c>
      <c r="P29" s="26">
        <f t="shared" si="10"/>
        <v>0.97221807335505639</v>
      </c>
      <c r="Q29" s="26">
        <f t="shared" si="11"/>
        <v>-2.7781926644943611E-2</v>
      </c>
      <c r="R29" s="26">
        <f t="shared" si="48"/>
        <v>-2.0976285836343183E-2</v>
      </c>
      <c r="S29" s="27">
        <v>-994496.12589469203</v>
      </c>
      <c r="T29" s="24">
        <f t="shared" si="13"/>
        <v>-6.8056408086004279E-3</v>
      </c>
      <c r="U29" s="24">
        <f t="shared" si="14"/>
        <v>4.6316746815687486E-5</v>
      </c>
      <c r="V29" s="28">
        <f t="shared" si="49"/>
        <v>0.9393887702363326</v>
      </c>
      <c r="W29" s="28">
        <f t="shared" si="50"/>
        <v>0.99572855484530221</v>
      </c>
      <c r="X29" s="28">
        <f t="shared" si="17"/>
        <v>0.9393887702363326</v>
      </c>
      <c r="Y29" s="28">
        <f t="shared" si="18"/>
        <v>0.99572855484530221</v>
      </c>
      <c r="AA29">
        <v>7</v>
      </c>
      <c r="AB29" s="42">
        <v>2</v>
      </c>
    </row>
    <row r="30" spans="4:32" ht="15.75" customHeight="1" x14ac:dyDescent="0.2">
      <c r="D30" s="4"/>
      <c r="E30" s="19">
        <f>E29</f>
        <v>5.6234132519034744E-9</v>
      </c>
      <c r="F30" s="19">
        <f t="shared" si="3"/>
        <v>1.778279410038928E-6</v>
      </c>
      <c r="G30" s="20">
        <v>3.6589999999999998</v>
      </c>
      <c r="H30" s="21">
        <f t="shared" si="44"/>
        <v>1.0365439093484418E-4</v>
      </c>
      <c r="I30" s="22">
        <f t="shared" si="5"/>
        <v>103.65439093484419</v>
      </c>
      <c r="J30" s="23">
        <f t="shared" si="45"/>
        <v>1.0610658899097288E-7</v>
      </c>
      <c r="K30" s="20">
        <v>0.1</v>
      </c>
      <c r="L30" s="23">
        <f t="shared" si="46"/>
        <v>3.0709723351035883E-4</v>
      </c>
      <c r="M30" s="24">
        <v>28.55</v>
      </c>
      <c r="N30" s="20">
        <v>259.60000000000002</v>
      </c>
      <c r="O30" s="25">
        <f t="shared" si="47"/>
        <v>262.24457364230466</v>
      </c>
      <c r="P30" s="26">
        <f t="shared" si="10"/>
        <v>0.98991562111057529</v>
      </c>
      <c r="Q30" s="26">
        <f t="shared" si="11"/>
        <v>-1.0084378889424706E-2</v>
      </c>
      <c r="R30" s="26">
        <f t="shared" si="48"/>
        <v>-1.5856389993448204E-2</v>
      </c>
      <c r="S30" s="27">
        <v>15533691293828.1</v>
      </c>
      <c r="T30" s="24">
        <f t="shared" si="13"/>
        <v>5.7720111040234987E-3</v>
      </c>
      <c r="U30" s="24">
        <f t="shared" si="14"/>
        <v>3.3316112184970566E-5</v>
      </c>
      <c r="V30" s="28">
        <f t="shared" si="49"/>
        <v>0.94338361249601377</v>
      </c>
      <c r="W30" s="28">
        <f t="shared" si="50"/>
        <v>0.99137674674778797</v>
      </c>
      <c r="X30" s="28">
        <f t="shared" si="17"/>
        <v>0.94338361249601377</v>
      </c>
      <c r="Y30" s="28">
        <f t="shared" si="18"/>
        <v>0.99137674674778797</v>
      </c>
      <c r="AA30">
        <v>8</v>
      </c>
      <c r="AB30" s="42">
        <v>0.2</v>
      </c>
    </row>
    <row r="31" spans="4:32" ht="15.75" customHeight="1" x14ac:dyDescent="0.2">
      <c r="D31" s="4"/>
      <c r="E31" s="19">
        <f>E30</f>
        <v>5.6234132519034744E-9</v>
      </c>
      <c r="F31" s="19">
        <f t="shared" si="3"/>
        <v>1.778279410038928E-6</v>
      </c>
      <c r="G31" s="20">
        <v>5.391</v>
      </c>
      <c r="H31" s="21">
        <f t="shared" si="44"/>
        <v>1.5271954674220964E-4</v>
      </c>
      <c r="I31" s="22">
        <f t="shared" si="5"/>
        <v>152.71954674220964</v>
      </c>
      <c r="J31" s="23">
        <f t="shared" si="45"/>
        <v>1.5653615372305593E-7</v>
      </c>
      <c r="K31" s="20">
        <v>0.1</v>
      </c>
      <c r="L31" s="23">
        <f t="shared" si="46"/>
        <v>3.0749728583327074E-4</v>
      </c>
      <c r="M31" s="24">
        <v>38.6</v>
      </c>
      <c r="N31" s="20">
        <f t="shared" ref="N31:N51" si="51">M31*9.80665</f>
        <v>378.53668999999996</v>
      </c>
      <c r="O31" s="25">
        <f t="shared" si="47"/>
        <v>386.88225946271342</v>
      </c>
      <c r="P31" s="26">
        <f t="shared" si="10"/>
        <v>0.97842865818064795</v>
      </c>
      <c r="Q31" s="26">
        <f t="shared" si="11"/>
        <v>-2.1571341819352052E-2</v>
      </c>
      <c r="R31" s="26">
        <f t="shared" si="48"/>
        <v>-1.7324865158280953E-2</v>
      </c>
      <c r="S31" s="27">
        <v>-8.8535435726997307E+19</v>
      </c>
      <c r="T31" s="24">
        <f t="shared" si="13"/>
        <v>-4.2464766610710997E-3</v>
      </c>
      <c r="U31" s="24">
        <f t="shared" si="14"/>
        <v>1.8032564033021555E-5</v>
      </c>
      <c r="V31" s="28">
        <f t="shared" si="49"/>
        <v>0.92700124963628661</v>
      </c>
      <c r="W31" s="28">
        <f t="shared" si="50"/>
        <v>0.98730445855142734</v>
      </c>
      <c r="X31" s="28">
        <f t="shared" si="17"/>
        <v>0.92700124963628661</v>
      </c>
      <c r="Y31" s="28">
        <f t="shared" si="18"/>
        <v>0.98730445855142734</v>
      </c>
      <c r="AA31">
        <v>8.25</v>
      </c>
      <c r="AB31" s="42">
        <v>0</v>
      </c>
    </row>
    <row r="32" spans="4:32" ht="15.75" customHeight="1" x14ac:dyDescent="0.2">
      <c r="D32" s="4"/>
      <c r="E32" s="19">
        <f>E31</f>
        <v>5.6234132519034744E-9</v>
      </c>
      <c r="F32" s="19">
        <f t="shared" si="3"/>
        <v>1.778279410038928E-6</v>
      </c>
      <c r="G32" s="20">
        <v>7.1849999999999996</v>
      </c>
      <c r="H32" s="21">
        <f t="shared" si="44"/>
        <v>2.0354107648725211E-4</v>
      </c>
      <c r="I32" s="22">
        <f t="shared" si="5"/>
        <v>203.54107648725213</v>
      </c>
      <c r="J32" s="23">
        <f t="shared" si="45"/>
        <v>2.0890964819984223E-7</v>
      </c>
      <c r="K32" s="20">
        <v>0.1</v>
      </c>
      <c r="L32" s="23">
        <f t="shared" si="46"/>
        <v>3.079127591421475E-4</v>
      </c>
      <c r="M32" s="24">
        <v>51.25</v>
      </c>
      <c r="N32" s="20">
        <f t="shared" si="51"/>
        <v>502.59081249999997</v>
      </c>
      <c r="O32" s="25">
        <f t="shared" si="47"/>
        <v>516.32440683389052</v>
      </c>
      <c r="P32" s="26">
        <f t="shared" si="10"/>
        <v>0.97340122962982678</v>
      </c>
      <c r="Q32" s="26">
        <f t="shared" si="11"/>
        <v>-2.6598770370173219E-2</v>
      </c>
      <c r="R32" s="26">
        <f t="shared" si="48"/>
        <v>-2.8331360112949788E-2</v>
      </c>
      <c r="S32" s="27">
        <v>1.6207481055334901E+26</v>
      </c>
      <c r="T32" s="24">
        <f t="shared" si="13"/>
        <v>1.7325897427765691E-3</v>
      </c>
      <c r="U32" s="24">
        <f t="shared" si="14"/>
        <v>3.0018672167745778E-6</v>
      </c>
      <c r="V32" s="28">
        <f t="shared" si="49"/>
        <v>0.91641608909325656</v>
      </c>
      <c r="W32" s="28">
        <f t="shared" si="50"/>
        <v>0.98309290063148036</v>
      </c>
      <c r="X32" s="28">
        <f t="shared" si="17"/>
        <v>0.91641608909325656</v>
      </c>
      <c r="Y32" s="28">
        <f t="shared" si="18"/>
        <v>0.98309290063148036</v>
      </c>
      <c r="AA32">
        <v>9</v>
      </c>
      <c r="AB32" s="42">
        <v>-1</v>
      </c>
    </row>
    <row r="33" spans="4:28" ht="15.75" customHeight="1" x14ac:dyDescent="0.2">
      <c r="D33" s="4"/>
      <c r="E33" s="29">
        <f>E32</f>
        <v>5.6234132519034744E-9</v>
      </c>
      <c r="F33" s="29">
        <f t="shared" si="3"/>
        <v>1.778279410038928E-6</v>
      </c>
      <c r="G33" s="30">
        <v>8.9320000000000004</v>
      </c>
      <c r="H33" s="31">
        <f t="shared" si="44"/>
        <v>2.5303116147308785E-4</v>
      </c>
      <c r="I33" s="32">
        <f t="shared" si="5"/>
        <v>253.03116147308785</v>
      </c>
      <c r="J33" s="33">
        <f t="shared" si="45"/>
        <v>2.6004723323087304E-7</v>
      </c>
      <c r="K33" s="30">
        <v>0.1</v>
      </c>
      <c r="L33" s="33">
        <f t="shared" si="46"/>
        <v>3.0831842811407807E-4</v>
      </c>
      <c r="M33" s="34">
        <v>63.95</v>
      </c>
      <c r="N33" s="30">
        <f t="shared" si="51"/>
        <v>627.13526749999994</v>
      </c>
      <c r="O33" s="35">
        <f t="shared" si="47"/>
        <v>642.71197909578541</v>
      </c>
      <c r="P33" s="36">
        <f t="shared" si="10"/>
        <v>0.9757640870212192</v>
      </c>
      <c r="Q33" s="36">
        <f t="shared" si="11"/>
        <v>-2.4235912978780805E-2</v>
      </c>
      <c r="R33" s="36">
        <f t="shared" si="48"/>
        <v>-2.3922584613334075E-2</v>
      </c>
      <c r="S33" s="37">
        <f>SUM(U28:U33)</f>
        <v>1.2508254619495034E-4</v>
      </c>
      <c r="T33" s="34">
        <f t="shared" si="13"/>
        <v>-3.1332836544673004E-4</v>
      </c>
      <c r="U33" s="34">
        <f t="shared" si="14"/>
        <v>9.8174664593519615E-8</v>
      </c>
      <c r="V33" s="38">
        <f t="shared" si="49"/>
        <v>0.91273531501595839</v>
      </c>
      <c r="W33" s="38">
        <f t="shared" si="50"/>
        <v>0.97899806199922079</v>
      </c>
      <c r="X33" s="38">
        <f t="shared" si="17"/>
        <v>0.91273531501595839</v>
      </c>
      <c r="Y33" s="38">
        <f t="shared" si="18"/>
        <v>0.97899806199922079</v>
      </c>
      <c r="AA33">
        <v>10</v>
      </c>
      <c r="AB33" s="42">
        <v>-6</v>
      </c>
    </row>
    <row r="34" spans="4:28" ht="15.75" customHeight="1" x14ac:dyDescent="0.2">
      <c r="D34" s="3">
        <v>10</v>
      </c>
      <c r="E34" s="19">
        <f>10^-D34</f>
        <v>1E-10</v>
      </c>
      <c r="F34" s="19">
        <f t="shared" si="3"/>
        <v>9.9999999999999991E-5</v>
      </c>
      <c r="G34" s="20">
        <v>0.93700000000000006</v>
      </c>
      <c r="H34" s="21">
        <f t="shared" ref="H34:H39" si="52">G34/$AC$9</f>
        <v>2.9651898734177216E-5</v>
      </c>
      <c r="I34" s="22">
        <f t="shared" si="5"/>
        <v>29.651898734177216</v>
      </c>
      <c r="J34" s="23">
        <f t="shared" ref="J34:J39" si="53">H34/($B$9*(1-H34*$AC$9*$B$5/1000) - K34*(2*$B$11+$B$12) - E34*$B$13 - F34*$B$14 - F34*$B$11)</f>
        <v>3.0291622469675868E-8</v>
      </c>
      <c r="K34" s="20">
        <v>0.1</v>
      </c>
      <c r="L34" s="23">
        <f t="shared" ref="L34:L39" si="54">(3*K34)/($B$9*(1-H34*$AC$9*$B$5/1000) - K34*(2*$B$11+$B$12) - E34*$B$13 - F34*$B$14 - F34*$B$11)</f>
        <v>3.0647233832713683E-4</v>
      </c>
      <c r="M34" s="24">
        <v>7.5</v>
      </c>
      <c r="N34" s="20">
        <f t="shared" si="51"/>
        <v>73.549875</v>
      </c>
      <c r="O34" s="25">
        <f t="shared" ref="O34:O39" si="55">$B$1*$B$2*$B$9*1000*(J34+0.25*$AB$33*$AB$33*J34*J34/L34)</f>
        <v>74.932953455703725</v>
      </c>
      <c r="P34" s="26">
        <f t="shared" si="10"/>
        <v>0.98154245372803406</v>
      </c>
      <c r="Q34" s="26">
        <f t="shared" si="11"/>
        <v>-1.8457546271965941E-2</v>
      </c>
      <c r="R34" s="26">
        <f t="shared" ref="R34:R39" si="56">$S$34+$S$35*J34+$S$36*J34*J34+$S$37*J34*J34*J34+$S$38*J34*J34*J34*J34</f>
        <v>-2.1962488821072018E-2</v>
      </c>
      <c r="S34" s="39">
        <v>0</v>
      </c>
      <c r="T34" s="24">
        <f t="shared" si="13"/>
        <v>3.5049425491060771E-3</v>
      </c>
      <c r="U34" s="24">
        <f t="shared" si="14"/>
        <v>1.2284622272534205E-5</v>
      </c>
      <c r="V34" s="28">
        <f t="shared" ref="V34:V39" si="57">EXP(Q34+$S$35*J34+$S$36*J34*J34/2+$S$37*J34*J34*J34/3+$S$38*J34*J34*J34*J34/4)</f>
        <v>0.95926602458238741</v>
      </c>
      <c r="W34" s="28">
        <f t="shared" ref="W34:W39" si="58">EXP(2*$AF$20*J34)</f>
        <v>0.97938929659595952</v>
      </c>
      <c r="X34" s="28">
        <f t="shared" si="17"/>
        <v>0.95926602458238741</v>
      </c>
      <c r="Y34" s="28">
        <f t="shared" si="18"/>
        <v>0.97938929659595952</v>
      </c>
      <c r="AA34">
        <v>11</v>
      </c>
      <c r="AB34" s="42">
        <v>-12</v>
      </c>
    </row>
    <row r="35" spans="4:28" ht="15.75" customHeight="1" x14ac:dyDescent="0.2">
      <c r="D35" s="3"/>
      <c r="E35" s="19">
        <f>E34</f>
        <v>1E-10</v>
      </c>
      <c r="F35" s="19">
        <f t="shared" si="3"/>
        <v>9.9999999999999991E-5</v>
      </c>
      <c r="G35" s="20">
        <v>1.8080000000000001</v>
      </c>
      <c r="H35" s="21">
        <f t="shared" si="52"/>
        <v>5.7215189873417723E-5</v>
      </c>
      <c r="I35" s="22">
        <f t="shared" si="5"/>
        <v>57.215189873417721</v>
      </c>
      <c r="J35" s="23">
        <f t="shared" si="53"/>
        <v>5.8487764696465997E-8</v>
      </c>
      <c r="K35" s="20">
        <v>0.1</v>
      </c>
      <c r="L35" s="23">
        <f t="shared" si="54"/>
        <v>3.0667257152793015E-4</v>
      </c>
      <c r="M35" s="24">
        <v>14.15</v>
      </c>
      <c r="N35" s="20">
        <f t="shared" si="51"/>
        <v>138.76409749999999</v>
      </c>
      <c r="O35" s="25">
        <f t="shared" si="55"/>
        <v>144.80180947741889</v>
      </c>
      <c r="P35" s="26">
        <f t="shared" si="10"/>
        <v>0.95830361513292794</v>
      </c>
      <c r="Q35" s="26">
        <f t="shared" si="11"/>
        <v>-4.1696384867072056E-2</v>
      </c>
      <c r="R35" s="26">
        <f t="shared" si="56"/>
        <v>-3.8583819332017259E-2</v>
      </c>
      <c r="S35" s="27">
        <v>-803511.09511508199</v>
      </c>
      <c r="T35" s="24">
        <f t="shared" si="13"/>
        <v>-3.1125655350547968E-3</v>
      </c>
      <c r="U35" s="24">
        <f t="shared" si="14"/>
        <v>9.688064210010953E-6</v>
      </c>
      <c r="V35" s="28">
        <f t="shared" si="57"/>
        <v>0.919127614231667</v>
      </c>
      <c r="W35" s="28">
        <f t="shared" si="58"/>
        <v>0.96058629788983674</v>
      </c>
      <c r="X35" s="28">
        <f t="shared" si="17"/>
        <v>0.919127614231667</v>
      </c>
      <c r="Y35" s="28">
        <f t="shared" si="18"/>
        <v>0.96058629788983674</v>
      </c>
      <c r="AA35">
        <v>12</v>
      </c>
      <c r="AB35" s="42">
        <v>-15.6</v>
      </c>
    </row>
    <row r="36" spans="4:28" ht="15.75" customHeight="1" x14ac:dyDescent="0.2">
      <c r="D36" s="3"/>
      <c r="E36" s="19">
        <f>E35</f>
        <v>1E-10</v>
      </c>
      <c r="F36" s="19">
        <f t="shared" si="3"/>
        <v>9.9999999999999991E-5</v>
      </c>
      <c r="G36" s="20">
        <v>3.59</v>
      </c>
      <c r="H36" s="21">
        <f t="shared" si="52"/>
        <v>1.1360759493670885E-4</v>
      </c>
      <c r="I36" s="22">
        <f t="shared" si="5"/>
        <v>113.60759493670885</v>
      </c>
      <c r="J36" s="23">
        <f t="shared" si="53"/>
        <v>1.1628988912069916E-7</v>
      </c>
      <c r="K36" s="20">
        <v>0.1</v>
      </c>
      <c r="L36" s="23">
        <f t="shared" si="54"/>
        <v>3.0708304982290485E-4</v>
      </c>
      <c r="M36" s="24">
        <v>27.95</v>
      </c>
      <c r="N36" s="20">
        <f t="shared" si="51"/>
        <v>274.0958675</v>
      </c>
      <c r="O36" s="25">
        <f t="shared" si="55"/>
        <v>288.39237351967722</v>
      </c>
      <c r="P36" s="26">
        <f t="shared" si="10"/>
        <v>0.95042689289874105</v>
      </c>
      <c r="Q36" s="26">
        <f t="shared" si="11"/>
        <v>-4.9573107101258951E-2</v>
      </c>
      <c r="R36" s="26">
        <f t="shared" si="56"/>
        <v>-6.3791940736377242E-2</v>
      </c>
      <c r="S36" s="27">
        <v>2733369415287.8701</v>
      </c>
      <c r="T36" s="24">
        <v>0</v>
      </c>
      <c r="U36" s="24">
        <f t="shared" si="14"/>
        <v>0</v>
      </c>
      <c r="V36" s="28">
        <f t="shared" si="57"/>
        <v>0.88075112522671728</v>
      </c>
      <c r="W36" s="28">
        <f t="shared" si="58"/>
        <v>0.92316110276242325</v>
      </c>
      <c r="X36" s="28">
        <f t="shared" si="17"/>
        <v>0.88075112522671728</v>
      </c>
      <c r="Y36" s="28">
        <f t="shared" si="18"/>
        <v>0.92316110276242325</v>
      </c>
    </row>
    <row r="37" spans="4:28" ht="15.75" customHeight="1" x14ac:dyDescent="0.2">
      <c r="D37" s="3"/>
      <c r="E37" s="19">
        <f>E36</f>
        <v>1E-10</v>
      </c>
      <c r="F37" s="19">
        <f t="shared" si="3"/>
        <v>9.9999999999999991E-5</v>
      </c>
      <c r="G37" s="20">
        <v>4.6849999999999996</v>
      </c>
      <c r="H37" s="21">
        <f t="shared" si="52"/>
        <v>1.4825949367088608E-4</v>
      </c>
      <c r="I37" s="22">
        <f t="shared" si="5"/>
        <v>148.25949367088609</v>
      </c>
      <c r="J37" s="23">
        <f t="shared" si="53"/>
        <v>1.5188484613321984E-7</v>
      </c>
      <c r="K37" s="20">
        <v>0.1</v>
      </c>
      <c r="L37" s="23">
        <f t="shared" si="54"/>
        <v>3.0733582525996252E-4</v>
      </c>
      <c r="M37" s="24">
        <v>35.6</v>
      </c>
      <c r="N37" s="20">
        <f t="shared" si="51"/>
        <v>349.11673999999999</v>
      </c>
      <c r="O37" s="25">
        <f t="shared" si="55"/>
        <v>377.05609718121366</v>
      </c>
      <c r="P37" s="26">
        <f t="shared" si="10"/>
        <v>0.92590132505459533</v>
      </c>
      <c r="Q37" s="26">
        <f t="shared" si="11"/>
        <v>-7.4098674945404674E-2</v>
      </c>
      <c r="R37" s="26">
        <f t="shared" si="56"/>
        <v>-7.5200626407933541E-2</v>
      </c>
      <c r="S37" s="27">
        <v>-4.7309329753112003E+18</v>
      </c>
      <c r="T37" s="24">
        <f t="shared" ref="T37:T51" si="59">Q37-R37</f>
        <v>1.1019514625288662E-3</v>
      </c>
      <c r="U37" s="24">
        <f t="shared" si="14"/>
        <v>1.2142970257695073E-6</v>
      </c>
      <c r="V37" s="28">
        <f t="shared" si="57"/>
        <v>0.84362513319488608</v>
      </c>
      <c r="W37" s="28">
        <f t="shared" si="58"/>
        <v>0.90084350289108728</v>
      </c>
      <c r="X37" s="28">
        <f t="shared" si="17"/>
        <v>0.84362513319488608</v>
      </c>
      <c r="Y37" s="28">
        <f t="shared" si="18"/>
        <v>0.90084350289108728</v>
      </c>
    </row>
    <row r="38" spans="4:28" ht="15.75" customHeight="1" x14ac:dyDescent="0.2">
      <c r="D38" s="3"/>
      <c r="E38" s="19">
        <f>E37</f>
        <v>1E-10</v>
      </c>
      <c r="F38" s="19">
        <f t="shared" si="3"/>
        <v>9.9999999999999991E-5</v>
      </c>
      <c r="G38" s="20">
        <v>6.7729999999999997</v>
      </c>
      <c r="H38" s="21">
        <f t="shared" si="52"/>
        <v>2.1433544303797467E-4</v>
      </c>
      <c r="I38" s="22">
        <f t="shared" si="5"/>
        <v>214.33544303797467</v>
      </c>
      <c r="J38" s="23">
        <f t="shared" si="53"/>
        <v>2.1992172846825688E-7</v>
      </c>
      <c r="K38" s="20">
        <v>0.1</v>
      </c>
      <c r="L38" s="23">
        <f t="shared" si="54"/>
        <v>3.0781898506999493E-4</v>
      </c>
      <c r="M38" s="24">
        <v>50.55</v>
      </c>
      <c r="N38" s="20">
        <f t="shared" si="51"/>
        <v>495.72615749999994</v>
      </c>
      <c r="O38" s="25">
        <f t="shared" si="55"/>
        <v>547.03598814063969</v>
      </c>
      <c r="P38" s="26">
        <f t="shared" si="10"/>
        <v>0.90620392121724846</v>
      </c>
      <c r="Q38" s="26">
        <f t="shared" si="11"/>
        <v>-9.3796078782751535E-2</v>
      </c>
      <c r="R38" s="26">
        <f t="shared" si="56"/>
        <v>-9.3243839059351658E-2</v>
      </c>
      <c r="S38" s="27">
        <v>6.7799095482413796E+23</v>
      </c>
      <c r="T38" s="24">
        <f t="shared" si="59"/>
        <v>-5.522397233998777E-4</v>
      </c>
      <c r="U38" s="24">
        <f t="shared" si="14"/>
        <v>3.0496871210077341E-7</v>
      </c>
      <c r="V38" s="28">
        <f t="shared" si="57"/>
        <v>0.80189115637356512</v>
      </c>
      <c r="W38" s="28">
        <f t="shared" si="58"/>
        <v>0.85967541649697787</v>
      </c>
      <c r="X38" s="28">
        <f t="shared" si="17"/>
        <v>0.80189115637356512</v>
      </c>
      <c r="Y38" s="28">
        <f t="shared" si="18"/>
        <v>0.85967541649697787</v>
      </c>
    </row>
    <row r="39" spans="4:28" ht="15.75" customHeight="1" x14ac:dyDescent="0.2">
      <c r="D39" s="3"/>
      <c r="E39" s="19">
        <f>E38</f>
        <v>1E-10</v>
      </c>
      <c r="F39" s="19">
        <f t="shared" si="3"/>
        <v>9.9999999999999991E-5</v>
      </c>
      <c r="G39" s="20">
        <v>8.9499999999999993</v>
      </c>
      <c r="H39" s="21">
        <f t="shared" si="52"/>
        <v>2.832278481012658E-4</v>
      </c>
      <c r="I39" s="22">
        <f t="shared" si="5"/>
        <v>283.22784810126581</v>
      </c>
      <c r="J39" s="23">
        <f t="shared" si="53"/>
        <v>2.9108681632925344E-7</v>
      </c>
      <c r="K39" s="20">
        <v>0.1</v>
      </c>
      <c r="L39" s="23">
        <f t="shared" si="54"/>
        <v>3.0832435964260596E-4</v>
      </c>
      <c r="M39" s="24">
        <v>65.55</v>
      </c>
      <c r="N39" s="20">
        <f t="shared" si="51"/>
        <v>642.82590749999997</v>
      </c>
      <c r="O39" s="25">
        <f t="shared" si="55"/>
        <v>725.53978671047594</v>
      </c>
      <c r="P39" s="26">
        <f t="shared" si="10"/>
        <v>0.88599676995593535</v>
      </c>
      <c r="Q39" s="26">
        <f t="shared" si="11"/>
        <v>-0.11400323004406465</v>
      </c>
      <c r="R39" s="26">
        <f t="shared" si="56"/>
        <v>-0.11410614226346921</v>
      </c>
      <c r="S39" s="41">
        <f>SUM(U34:U39)</f>
        <v>2.3502543145318211E-5</v>
      </c>
      <c r="T39" s="24">
        <f t="shared" si="59"/>
        <v>1.0291221940456063E-4</v>
      </c>
      <c r="U39" s="24">
        <f t="shared" si="14"/>
        <v>1.0590924902772426E-8</v>
      </c>
      <c r="V39" s="28">
        <f t="shared" si="57"/>
        <v>0.76355396925497809</v>
      </c>
      <c r="W39" s="28">
        <f t="shared" si="58"/>
        <v>0.81862617579662067</v>
      </c>
      <c r="X39" s="28">
        <f t="shared" si="17"/>
        <v>0.76355396925497809</v>
      </c>
      <c r="Y39" s="28">
        <f t="shared" si="18"/>
        <v>0.81862617579662067</v>
      </c>
    </row>
    <row r="40" spans="4:28" ht="15.75" customHeight="1" x14ac:dyDescent="0.2">
      <c r="D40" s="4">
        <v>11</v>
      </c>
      <c r="E40" s="10">
        <f>10^-D40</f>
        <v>9.9999999999999994E-12</v>
      </c>
      <c r="F40" s="10">
        <f t="shared" si="3"/>
        <v>1E-3</v>
      </c>
      <c r="G40" s="9">
        <v>0.85699999999999998</v>
      </c>
      <c r="H40" s="11">
        <f t="shared" ref="H40:H45" si="60">G40/$AC$10</f>
        <v>2.819078947368421E-5</v>
      </c>
      <c r="I40" s="12">
        <f t="shared" si="5"/>
        <v>28.190789473684209</v>
      </c>
      <c r="J40" s="13">
        <f t="shared" ref="J40:J45" si="61">H40/($B$9*(1-H40*$AC$10*$B$5/1000) - K40*(2*$B$11+$B$12) - E40*$B$13 - F40*$B$14 - F40*$B$11)</f>
        <v>2.8798749066978927E-8</v>
      </c>
      <c r="K40" s="9">
        <v>0.1</v>
      </c>
      <c r="L40" s="13">
        <f t="shared" ref="L40:L45" si="62">(3*K40)/($B$9*(1-H40*$AC$10*$B$5/1000) - K40*(2*$B$11+$B$12) - E40*$B$13 - F40*$B$14 - F40*$B$11)</f>
        <v>3.0646976836738369E-4</v>
      </c>
      <c r="M40" s="14">
        <v>7.05</v>
      </c>
      <c r="N40" s="9">
        <f t="shared" si="51"/>
        <v>69.136882499999999</v>
      </c>
      <c r="O40" s="15">
        <f t="shared" ref="O40:O45" si="63">$B$1*$B$2*$B$9*1000*(J40+0.25*$AB$34*$AB$34*J40*J40/L40)</f>
        <v>71.417472105139595</v>
      </c>
      <c r="P40" s="16">
        <f t="shared" si="10"/>
        <v>0.96806678340865737</v>
      </c>
      <c r="Q40" s="16">
        <f t="shared" si="11"/>
        <v>-3.1933216591342628E-2</v>
      </c>
      <c r="R40" s="16">
        <f t="shared" ref="R40:R45" si="64">$S$40+$S$41*J40+$S$42*J40*J40+$S$43*J40*J40*J40+$S$44*J40*J40*J40*J40</f>
        <v>-3.7059990650619004E-2</v>
      </c>
      <c r="S40" s="17">
        <v>0</v>
      </c>
      <c r="T40" s="14">
        <f t="shared" si="59"/>
        <v>5.1267740592763761E-3</v>
      </c>
      <c r="U40" s="14">
        <f t="shared" si="14"/>
        <v>2.6283812254869171E-5</v>
      </c>
      <c r="V40" s="18">
        <f t="shared" ref="V40:V45" si="65">EXP(Q40+$S$41*J40+$S$42*J40*J40/2+$S$43*J40*J40*J40/3+$S$44*J40*J40*J40*J40/4)</f>
        <v>0.93120550227226573</v>
      </c>
      <c r="W40" s="18">
        <f t="shared" ref="W40:W45" si="66">EXP(2*$AF$21*J40)</f>
        <v>0.96040793710091721</v>
      </c>
      <c r="X40" s="18">
        <f t="shared" si="17"/>
        <v>0.93120550227226573</v>
      </c>
      <c r="Y40" s="18">
        <f t="shared" si="18"/>
        <v>0.96040793710091721</v>
      </c>
    </row>
    <row r="41" spans="4:28" ht="15.75" customHeight="1" x14ac:dyDescent="0.2">
      <c r="D41" s="4"/>
      <c r="E41" s="19">
        <f>E40</f>
        <v>9.9999999999999994E-12</v>
      </c>
      <c r="F41" s="19">
        <f t="shared" si="3"/>
        <v>1E-3</v>
      </c>
      <c r="G41" s="20">
        <v>1.79</v>
      </c>
      <c r="H41" s="21">
        <f t="shared" si="60"/>
        <v>5.888157894736842E-5</v>
      </c>
      <c r="I41" s="22">
        <f t="shared" si="5"/>
        <v>58.881578947368418</v>
      </c>
      <c r="J41" s="23">
        <f t="shared" si="61"/>
        <v>6.0193511764031543E-8</v>
      </c>
      <c r="K41" s="20">
        <v>0.1</v>
      </c>
      <c r="L41" s="23">
        <f t="shared" si="62"/>
        <v>3.0668426105473056E-4</v>
      </c>
      <c r="M41" s="24">
        <v>14.1</v>
      </c>
      <c r="N41" s="20">
        <f t="shared" si="51"/>
        <v>138.273765</v>
      </c>
      <c r="O41" s="25">
        <f t="shared" si="63"/>
        <v>149.8206515463246</v>
      </c>
      <c r="P41" s="26">
        <f t="shared" si="10"/>
        <v>0.92292860545494093</v>
      </c>
      <c r="Q41" s="26">
        <f t="shared" si="11"/>
        <v>-7.7071394545059069E-2</v>
      </c>
      <c r="R41" s="26">
        <f t="shared" si="64"/>
        <v>-6.8324438763643955E-2</v>
      </c>
      <c r="S41" s="27">
        <v>-1448999.5004432199</v>
      </c>
      <c r="T41" s="24">
        <f t="shared" si="59"/>
        <v>-8.7469557814151139E-3</v>
      </c>
      <c r="U41" s="24">
        <f t="shared" si="14"/>
        <v>7.6509235442031291E-5</v>
      </c>
      <c r="V41" s="28">
        <f t="shared" si="65"/>
        <v>0.8569605027659366</v>
      </c>
      <c r="W41" s="28">
        <f t="shared" si="66"/>
        <v>0.91903062572265382</v>
      </c>
      <c r="X41" s="28">
        <f t="shared" si="17"/>
        <v>0.8569605027659366</v>
      </c>
      <c r="Y41" s="28">
        <f t="shared" si="18"/>
        <v>0.91903062572265382</v>
      </c>
    </row>
    <row r="42" spans="4:28" ht="15.75" customHeight="1" x14ac:dyDescent="0.2">
      <c r="D42" s="4"/>
      <c r="E42" s="19">
        <f>E41</f>
        <v>9.9999999999999994E-12</v>
      </c>
      <c r="F42" s="19">
        <f t="shared" si="3"/>
        <v>1E-3</v>
      </c>
      <c r="G42" s="20">
        <v>3.673</v>
      </c>
      <c r="H42" s="21">
        <f t="shared" si="60"/>
        <v>1.2082236842105263E-4</v>
      </c>
      <c r="I42" s="22">
        <f t="shared" si="5"/>
        <v>120.82236842105263</v>
      </c>
      <c r="J42" s="23">
        <f t="shared" si="61"/>
        <v>1.2368910883286641E-7</v>
      </c>
      <c r="K42" s="20">
        <v>0.1</v>
      </c>
      <c r="L42" s="23">
        <f t="shared" si="62"/>
        <v>3.071180703936133E-4</v>
      </c>
      <c r="M42" s="24">
        <v>28.15</v>
      </c>
      <c r="N42" s="20">
        <f t="shared" si="51"/>
        <v>276.05719749999997</v>
      </c>
      <c r="O42" s="25">
        <f t="shared" si="63"/>
        <v>310.13237545710246</v>
      </c>
      <c r="P42" s="26">
        <f t="shared" si="10"/>
        <v>0.89012698881605234</v>
      </c>
      <c r="Q42" s="26">
        <f t="shared" si="11"/>
        <v>-0.10987301118394766</v>
      </c>
      <c r="R42" s="26">
        <f t="shared" si="64"/>
        <v>-0.11227557424605941</v>
      </c>
      <c r="S42" s="27">
        <v>6010617553815.6699</v>
      </c>
      <c r="T42" s="24">
        <f t="shared" si="59"/>
        <v>2.4025630621117566E-3</v>
      </c>
      <c r="U42" s="24">
        <f t="shared" si="14"/>
        <v>5.7723092674238202E-6</v>
      </c>
      <c r="V42" s="28">
        <f t="shared" si="65"/>
        <v>0.77766785161298291</v>
      </c>
      <c r="W42" s="28">
        <f t="shared" si="66"/>
        <v>0.8407140988586016</v>
      </c>
      <c r="X42" s="28">
        <f t="shared" si="17"/>
        <v>0.77766785161298291</v>
      </c>
      <c r="Y42" s="28">
        <f t="shared" si="18"/>
        <v>0.8407140988586016</v>
      </c>
    </row>
    <row r="43" spans="4:28" ht="15.75" customHeight="1" x14ac:dyDescent="0.2">
      <c r="D43" s="4"/>
      <c r="E43" s="19">
        <f>E42</f>
        <v>9.9999999999999994E-12</v>
      </c>
      <c r="F43" s="19">
        <f t="shared" si="3"/>
        <v>1E-3</v>
      </c>
      <c r="G43" s="20">
        <v>5.3949999999999996</v>
      </c>
      <c r="H43" s="21">
        <f t="shared" si="60"/>
        <v>1.7746710526315789E-4</v>
      </c>
      <c r="I43" s="22">
        <f t="shared" si="5"/>
        <v>177.46710526315789</v>
      </c>
      <c r="J43" s="23">
        <f t="shared" si="61"/>
        <v>1.8191316733456191E-7</v>
      </c>
      <c r="K43" s="20">
        <v>0.1</v>
      </c>
      <c r="L43" s="23">
        <f t="shared" si="62"/>
        <v>3.0751586396500551E-4</v>
      </c>
      <c r="M43" s="24">
        <v>40.299999999999997</v>
      </c>
      <c r="N43" s="20">
        <f t="shared" si="51"/>
        <v>395.20799499999993</v>
      </c>
      <c r="O43" s="25">
        <f t="shared" si="63"/>
        <v>459.17680930299451</v>
      </c>
      <c r="P43" s="26">
        <f t="shared" si="10"/>
        <v>0.86068805521756253</v>
      </c>
      <c r="Q43" s="26">
        <f t="shared" si="11"/>
        <v>-0.13931194478243747</v>
      </c>
      <c r="R43" s="26">
        <f t="shared" si="64"/>
        <v>-0.14423838758016738</v>
      </c>
      <c r="S43" s="27">
        <v>-1.32147525318517E+19</v>
      </c>
      <c r="T43" s="24">
        <f t="shared" si="59"/>
        <v>4.926442797729913E-3</v>
      </c>
      <c r="U43" s="24">
        <f t="shared" si="14"/>
        <v>2.4269838639304934E-5</v>
      </c>
      <c r="V43" s="28">
        <f t="shared" si="65"/>
        <v>0.71894637567061459</v>
      </c>
      <c r="W43" s="28">
        <f t="shared" si="66"/>
        <v>0.7747794797796228</v>
      </c>
      <c r="X43" s="28">
        <f t="shared" si="17"/>
        <v>0.71894637567061459</v>
      </c>
      <c r="Y43" s="28">
        <f t="shared" si="18"/>
        <v>0.7747794797796228</v>
      </c>
    </row>
    <row r="44" spans="4:28" ht="15.75" customHeight="1" x14ac:dyDescent="0.2">
      <c r="D44" s="4"/>
      <c r="E44" s="19">
        <f>E43</f>
        <v>9.9999999999999994E-12</v>
      </c>
      <c r="F44" s="19">
        <f t="shared" si="3"/>
        <v>1E-3</v>
      </c>
      <c r="G44" s="20">
        <v>7.8319999999999999</v>
      </c>
      <c r="H44" s="21">
        <f t="shared" si="60"/>
        <v>2.5763157894736843E-4</v>
      </c>
      <c r="I44" s="22">
        <f t="shared" si="5"/>
        <v>257.63157894736844</v>
      </c>
      <c r="J44" s="23">
        <f t="shared" si="61"/>
        <v>2.6457096426930396E-7</v>
      </c>
      <c r="K44" s="20">
        <v>0.1</v>
      </c>
      <c r="L44" s="23">
        <f t="shared" si="62"/>
        <v>3.0808059169255006E-4</v>
      </c>
      <c r="M44" s="24">
        <v>54</v>
      </c>
      <c r="N44" s="20">
        <f t="shared" si="51"/>
        <v>529.55909999999994</v>
      </c>
      <c r="O44" s="25">
        <f t="shared" si="63"/>
        <v>674.1080735377958</v>
      </c>
      <c r="P44" s="26">
        <f t="shared" si="10"/>
        <v>0.78557003066409459</v>
      </c>
      <c r="Q44" s="26">
        <f t="shared" si="11"/>
        <v>-0.21442996933590541</v>
      </c>
      <c r="R44" s="26">
        <f t="shared" si="64"/>
        <v>-0.20736229755115934</v>
      </c>
      <c r="S44" s="27">
        <v>0</v>
      </c>
      <c r="T44" s="24">
        <f t="shared" si="59"/>
        <v>-7.0676717847460713E-3</v>
      </c>
      <c r="U44" s="24">
        <f t="shared" si="14"/>
        <v>4.995198445689572E-5</v>
      </c>
      <c r="V44" s="28">
        <f t="shared" si="65"/>
        <v>0.6256247454008429</v>
      </c>
      <c r="W44" s="28">
        <f t="shared" si="66"/>
        <v>0.68995823623790686</v>
      </c>
      <c r="X44" s="28">
        <f t="shared" si="17"/>
        <v>0.6256247454008429</v>
      </c>
      <c r="Y44" s="28">
        <f t="shared" si="18"/>
        <v>0.68995823623790686</v>
      </c>
    </row>
    <row r="45" spans="4:28" ht="15.75" customHeight="1" x14ac:dyDescent="0.2">
      <c r="D45" s="4"/>
      <c r="E45" s="29">
        <f>E44</f>
        <v>9.9999999999999994E-12</v>
      </c>
      <c r="F45" s="29">
        <f t="shared" si="3"/>
        <v>1E-3</v>
      </c>
      <c r="G45" s="30">
        <v>9.0340000000000007</v>
      </c>
      <c r="H45" s="31">
        <f t="shared" si="60"/>
        <v>2.9717105263157899E-4</v>
      </c>
      <c r="I45" s="32">
        <f t="shared" si="5"/>
        <v>297.17105263157902</v>
      </c>
      <c r="J45" s="33">
        <f t="shared" si="61"/>
        <v>3.0545211677780889E-7</v>
      </c>
      <c r="K45" s="30">
        <v>0.1</v>
      </c>
      <c r="L45" s="33">
        <f t="shared" si="62"/>
        <v>3.0835989650361052E-4</v>
      </c>
      <c r="M45" s="34">
        <v>59.4</v>
      </c>
      <c r="N45" s="30">
        <f t="shared" si="51"/>
        <v>582.51500999999996</v>
      </c>
      <c r="O45" s="35">
        <f t="shared" si="63"/>
        <v>781.85230315412377</v>
      </c>
      <c r="P45" s="36">
        <f t="shared" si="10"/>
        <v>0.74504482195682786</v>
      </c>
      <c r="Q45" s="36">
        <f t="shared" si="11"/>
        <v>-0.25495517804317214</v>
      </c>
      <c r="R45" s="36">
        <f t="shared" si="64"/>
        <v>-0.25841041796535108</v>
      </c>
      <c r="S45" s="37">
        <f>SUM(U40:U45)</f>
        <v>1.9472586298034409E-4</v>
      </c>
      <c r="T45" s="34">
        <f t="shared" si="59"/>
        <v>3.4552399221789432E-3</v>
      </c>
      <c r="U45" s="34">
        <f t="shared" si="14"/>
        <v>1.193868291981915E-5</v>
      </c>
      <c r="V45" s="38">
        <f t="shared" si="65"/>
        <v>0.58118129759987192</v>
      </c>
      <c r="W45" s="38">
        <f t="shared" si="66"/>
        <v>0.65150524721731684</v>
      </c>
      <c r="X45" s="38">
        <f t="shared" si="17"/>
        <v>0.58118129759987192</v>
      </c>
      <c r="Y45" s="38">
        <f t="shared" si="18"/>
        <v>0.65150524721731684</v>
      </c>
    </row>
    <row r="46" spans="4:28" ht="15.75" customHeight="1" x14ac:dyDescent="0.2">
      <c r="D46" s="2">
        <v>12</v>
      </c>
      <c r="E46" s="19">
        <f>10^-D46</f>
        <v>9.9999999999999998E-13</v>
      </c>
      <c r="F46" s="19">
        <f t="shared" si="3"/>
        <v>0.01</v>
      </c>
      <c r="G46" s="20">
        <v>0.94399999999999995</v>
      </c>
      <c r="H46" s="21">
        <f t="shared" ref="H46:H51" si="67">G46/$AC$11</f>
        <v>3.055016181229773E-5</v>
      </c>
      <c r="I46" s="22">
        <f t="shared" si="5"/>
        <v>30.550161812297731</v>
      </c>
      <c r="J46" s="23">
        <f t="shared" ref="J46:J51" si="68">H46/($B$9*(1-H46*$AC$11*$B$5/1000) - K46*(2*$B$11+$B$12) - E46*$B$13 - F46*$B$14 - F46*$B$11)</f>
        <v>3.1227148040488254E-8</v>
      </c>
      <c r="K46" s="20">
        <v>0.1</v>
      </c>
      <c r="L46" s="23">
        <f t="shared" ref="L46:L51" si="69">(3*K46)/($B$9*(1-H46*$AC$11*$B$5/1000) - K46*(2*$B$11+$B$12) - E46*$B$13 - F46*$B$14 - F46*$B$11)</f>
        <v>3.0664794738911671E-4</v>
      </c>
      <c r="M46" s="24">
        <v>7.35</v>
      </c>
      <c r="N46" s="20">
        <f t="shared" si="51"/>
        <v>72.07887749999999</v>
      </c>
      <c r="O46" s="25">
        <f t="shared" ref="O46:O51" si="70">$B$1*$B$2*$B$9*1000*(J46+0.25*$AB$35*$AB$35*J46*J46/L46)</f>
        <v>77.656691051808437</v>
      </c>
      <c r="P46" s="26">
        <f t="shared" si="10"/>
        <v>0.92817343262685215</v>
      </c>
      <c r="Q46" s="26">
        <f t="shared" si="11"/>
        <v>-7.1826567373147854E-2</v>
      </c>
      <c r="R46" s="26">
        <f t="shared" ref="R46:R51" si="71">$S$46+$S$47*J46+$S$48*J46*J46+$S$49*J46*J46*J46+$S$50*J46*J46*J46*J46</f>
        <v>-6.4818898501246003E-2</v>
      </c>
      <c r="S46" s="39">
        <v>0</v>
      </c>
      <c r="T46" s="24">
        <f t="shared" si="59"/>
        <v>-7.0076688719018509E-3</v>
      </c>
      <c r="U46" s="24">
        <f t="shared" si="14"/>
        <v>4.9107423018222159E-5</v>
      </c>
      <c r="V46" s="28">
        <f t="shared" ref="V46:V51" si="72">EXP(Q46+$S$47*J46+$S$48*J46*J46/2+$S$49*J46*J46*J46/3+$S$50*J46*J46*J46*J46/4)</f>
        <v>0.87181966244236908</v>
      </c>
      <c r="W46" s="28">
        <f t="shared" ref="W46:W51" si="73">EXP(2*$AF$22*J46)</f>
        <v>0.89670692950084363</v>
      </c>
      <c r="X46" s="28">
        <f t="shared" si="17"/>
        <v>0.87181966244236908</v>
      </c>
      <c r="Y46" s="28">
        <f t="shared" si="18"/>
        <v>0.89670692950084363</v>
      </c>
    </row>
    <row r="47" spans="4:28" ht="15.75" customHeight="1" x14ac:dyDescent="0.2">
      <c r="D47" s="2"/>
      <c r="E47" s="19">
        <f>E46</f>
        <v>9.9999999999999998E-13</v>
      </c>
      <c r="F47" s="19">
        <f t="shared" si="3"/>
        <v>0.01</v>
      </c>
      <c r="G47" s="20">
        <v>1.8360000000000001</v>
      </c>
      <c r="H47" s="21">
        <f t="shared" si="67"/>
        <v>5.9417475728155339E-5</v>
      </c>
      <c r="I47" s="22">
        <f t="shared" si="5"/>
        <v>59.417475728155338</v>
      </c>
      <c r="J47" s="23">
        <f t="shared" si="68"/>
        <v>6.077481778040401E-8</v>
      </c>
      <c r="K47" s="20">
        <v>0.1</v>
      </c>
      <c r="L47" s="23">
        <f t="shared" si="69"/>
        <v>3.0685324663635364E-4</v>
      </c>
      <c r="M47" s="24">
        <v>13.6</v>
      </c>
      <c r="N47" s="20">
        <f t="shared" si="51"/>
        <v>133.37044</v>
      </c>
      <c r="O47" s="25">
        <f t="shared" si="70"/>
        <v>152.01615141453794</v>
      </c>
      <c r="P47" s="26">
        <f t="shared" si="10"/>
        <v>0.87734387931126923</v>
      </c>
      <c r="Q47" s="26">
        <f t="shared" si="11"/>
        <v>-0.12265612068873077</v>
      </c>
      <c r="R47" s="26">
        <f t="shared" si="71"/>
        <v>-0.12420986855296481</v>
      </c>
      <c r="S47" s="27">
        <v>-2109489.4045630698</v>
      </c>
      <c r="T47" s="24">
        <f t="shared" si="59"/>
        <v>1.5537478642340397E-3</v>
      </c>
      <c r="U47" s="24">
        <f t="shared" si="14"/>
        <v>2.4141324256118395E-6</v>
      </c>
      <c r="V47" s="28">
        <f t="shared" si="72"/>
        <v>0.77968680494865117</v>
      </c>
      <c r="W47" s="28">
        <f t="shared" si="73"/>
        <v>0.80881208410523098</v>
      </c>
      <c r="X47" s="28">
        <f t="shared" si="17"/>
        <v>0.77968680494865117</v>
      </c>
      <c r="Y47" s="28">
        <f t="shared" si="18"/>
        <v>0.80881208410523098</v>
      </c>
    </row>
    <row r="48" spans="4:28" ht="15.75" customHeight="1" x14ac:dyDescent="0.2">
      <c r="D48" s="2"/>
      <c r="E48" s="19">
        <f>E47</f>
        <v>9.9999999999999998E-13</v>
      </c>
      <c r="F48" s="19">
        <f t="shared" si="3"/>
        <v>0.01</v>
      </c>
      <c r="G48" s="20">
        <v>3.71</v>
      </c>
      <c r="H48" s="21">
        <f t="shared" si="67"/>
        <v>1.2006472491909385E-4</v>
      </c>
      <c r="I48" s="22">
        <f t="shared" si="5"/>
        <v>120.06472491909385</v>
      </c>
      <c r="J48" s="23">
        <f t="shared" si="68"/>
        <v>1.2298047909882275E-7</v>
      </c>
      <c r="K48" s="20">
        <v>0.1</v>
      </c>
      <c r="L48" s="23">
        <f t="shared" si="69"/>
        <v>3.0728545586147901E-4</v>
      </c>
      <c r="M48" s="24">
        <v>23.9</v>
      </c>
      <c r="N48" s="20">
        <f t="shared" si="51"/>
        <v>234.37893499999998</v>
      </c>
      <c r="O48" s="25">
        <f t="shared" si="70"/>
        <v>311.34961926345909</v>
      </c>
      <c r="P48" s="26">
        <f t="shared" si="10"/>
        <v>0.75278375337171122</v>
      </c>
      <c r="Q48" s="26">
        <f t="shared" si="11"/>
        <v>-0.24721624662828878</v>
      </c>
      <c r="R48" s="26">
        <f t="shared" si="71"/>
        <v>-0.24307181582186979</v>
      </c>
      <c r="S48" s="27">
        <v>1081326860858.55</v>
      </c>
      <c r="T48" s="24">
        <f t="shared" si="59"/>
        <v>-4.1444308064189916E-3</v>
      </c>
      <c r="U48" s="24">
        <f t="shared" si="14"/>
        <v>1.7176306709194774E-5</v>
      </c>
      <c r="V48" s="28">
        <f t="shared" si="72"/>
        <v>0.60746229997175516</v>
      </c>
      <c r="W48" s="28">
        <f t="shared" si="73"/>
        <v>0.65091710750504561</v>
      </c>
      <c r="X48" s="28">
        <f t="shared" si="17"/>
        <v>0.60746229997175516</v>
      </c>
      <c r="Y48" s="28">
        <f t="shared" si="18"/>
        <v>0.65091710750504561</v>
      </c>
    </row>
    <row r="49" spans="4:25" ht="15.75" customHeight="1" x14ac:dyDescent="0.2">
      <c r="D49" s="2"/>
      <c r="E49" s="19">
        <f>E48</f>
        <v>9.9999999999999998E-13</v>
      </c>
      <c r="F49" s="19">
        <f t="shared" si="3"/>
        <v>0.01</v>
      </c>
      <c r="G49" s="20">
        <v>5.476</v>
      </c>
      <c r="H49" s="21">
        <f t="shared" si="67"/>
        <v>1.7721682847896439E-4</v>
      </c>
      <c r="I49" s="22">
        <f t="shared" si="5"/>
        <v>177.2168284789644</v>
      </c>
      <c r="J49" s="23">
        <f t="shared" si="68"/>
        <v>1.8176177400245053E-7</v>
      </c>
      <c r="K49" s="20">
        <v>0.1</v>
      </c>
      <c r="L49" s="23">
        <f t="shared" si="69"/>
        <v>3.0769387235257792E-4</v>
      </c>
      <c r="M49" s="24">
        <v>31.65</v>
      </c>
      <c r="N49" s="20">
        <f t="shared" si="51"/>
        <v>310.3804725</v>
      </c>
      <c r="O49" s="25">
        <f t="shared" si="70"/>
        <v>465.37294690355372</v>
      </c>
      <c r="P49" s="26">
        <f t="shared" si="10"/>
        <v>0.66694996897687053</v>
      </c>
      <c r="Q49" s="26">
        <f t="shared" si="11"/>
        <v>-0.33305003102312947</v>
      </c>
      <c r="R49" s="26">
        <f t="shared" si="71"/>
        <v>-0.34770037056853881</v>
      </c>
      <c r="S49" s="27">
        <v>0</v>
      </c>
      <c r="T49" s="24">
        <f t="shared" si="59"/>
        <v>1.4650339545409341E-2</v>
      </c>
      <c r="U49" s="24">
        <f t="shared" si="14"/>
        <v>2.1463244879578477E-4</v>
      </c>
      <c r="V49" s="28">
        <f t="shared" si="72"/>
        <v>0.49727480182463174</v>
      </c>
      <c r="W49" s="28">
        <f t="shared" si="73"/>
        <v>0.53014672132383944</v>
      </c>
      <c r="X49" s="28">
        <f t="shared" si="17"/>
        <v>0.49727480182463174</v>
      </c>
      <c r="Y49" s="28">
        <f t="shared" si="18"/>
        <v>0.53014672132383944</v>
      </c>
    </row>
    <row r="50" spans="4:25" ht="15.75" customHeight="1" x14ac:dyDescent="0.2">
      <c r="D50" s="2"/>
      <c r="E50" s="19">
        <f>E49</f>
        <v>9.9999999999999998E-13</v>
      </c>
      <c r="F50" s="19">
        <f t="shared" si="3"/>
        <v>0.01</v>
      </c>
      <c r="G50" s="20">
        <v>7.2210000000000001</v>
      </c>
      <c r="H50" s="21">
        <f t="shared" si="67"/>
        <v>2.3368932038834951E-4</v>
      </c>
      <c r="I50" s="22">
        <f t="shared" si="5"/>
        <v>233.6893203883495</v>
      </c>
      <c r="J50" s="23">
        <f t="shared" si="68"/>
        <v>2.3999776361161482E-7</v>
      </c>
      <c r="K50" s="20">
        <v>0.1</v>
      </c>
      <c r="L50" s="23">
        <f t="shared" si="69"/>
        <v>3.0809850002488156E-4</v>
      </c>
      <c r="M50" s="24">
        <v>34.4</v>
      </c>
      <c r="N50" s="20">
        <f t="shared" si="51"/>
        <v>337.34875999999997</v>
      </c>
      <c r="O50" s="25">
        <f t="shared" si="70"/>
        <v>621.27043199658931</v>
      </c>
      <c r="P50" s="26">
        <f t="shared" si="10"/>
        <v>0.54299825426401749</v>
      </c>
      <c r="Q50" s="26">
        <f t="shared" si="11"/>
        <v>-0.45700174573598251</v>
      </c>
      <c r="R50" s="26">
        <f t="shared" si="71"/>
        <v>-0.4439894730347525</v>
      </c>
      <c r="S50" s="27">
        <v>0</v>
      </c>
      <c r="T50" s="24">
        <f t="shared" si="59"/>
        <v>-1.301227270123001E-2</v>
      </c>
      <c r="U50" s="24">
        <f t="shared" si="14"/>
        <v>1.6931924085117575E-4</v>
      </c>
      <c r="V50" s="28">
        <f t="shared" si="72"/>
        <v>0.39371308249446907</v>
      </c>
      <c r="W50" s="28">
        <f t="shared" si="73"/>
        <v>0.43260677431387179</v>
      </c>
      <c r="X50" s="28">
        <f t="shared" si="17"/>
        <v>0.39371308249446907</v>
      </c>
      <c r="Y50" s="28">
        <f t="shared" si="18"/>
        <v>0.43260677431387179</v>
      </c>
    </row>
    <row r="51" spans="4:25" ht="15.75" customHeight="1" x14ac:dyDescent="0.2">
      <c r="D51" s="2"/>
      <c r="E51" s="29">
        <f>E50</f>
        <v>9.9999999999999998E-13</v>
      </c>
      <c r="F51" s="29">
        <f t="shared" si="3"/>
        <v>0.01</v>
      </c>
      <c r="G51" s="30">
        <v>9.0419999999999998</v>
      </c>
      <c r="H51" s="31">
        <f t="shared" si="67"/>
        <v>2.9262135922330097E-4</v>
      </c>
      <c r="I51" s="32">
        <f t="shared" si="5"/>
        <v>292.62135922330094</v>
      </c>
      <c r="J51" s="33">
        <f t="shared" si="68"/>
        <v>3.0093364615953206E-7</v>
      </c>
      <c r="K51" s="30">
        <v>0.1</v>
      </c>
      <c r="L51" s="33">
        <f t="shared" si="69"/>
        <v>3.085218867395336E-4</v>
      </c>
      <c r="M51" s="34">
        <v>37.5</v>
      </c>
      <c r="N51" s="30">
        <f t="shared" si="51"/>
        <v>367.74937499999999</v>
      </c>
      <c r="O51" s="35">
        <f t="shared" si="70"/>
        <v>787.90118948575571</v>
      </c>
      <c r="P51" s="36">
        <f t="shared" si="10"/>
        <v>0.46674555122834782</v>
      </c>
      <c r="Q51" s="36">
        <f t="shared" si="11"/>
        <v>-0.53325444877165218</v>
      </c>
      <c r="R51" s="36">
        <f t="shared" si="71"/>
        <v>-0.53689023198291019</v>
      </c>
      <c r="S51" s="37">
        <f>SUM(U46:U51)</f>
        <v>4.6586847135925499E-4</v>
      </c>
      <c r="T51" s="34">
        <f t="shared" si="59"/>
        <v>3.6357832112580146E-3</v>
      </c>
      <c r="U51" s="34">
        <f t="shared" si="14"/>
        <v>1.3218919559265641E-5</v>
      </c>
      <c r="V51" s="38">
        <f t="shared" si="72"/>
        <v>0.32657105298006628</v>
      </c>
      <c r="W51" s="38">
        <f t="shared" si="73"/>
        <v>0.34970088058967846</v>
      </c>
      <c r="X51" s="38">
        <f t="shared" si="17"/>
        <v>0.32657105298006628</v>
      </c>
      <c r="Y51" s="38">
        <f t="shared" si="18"/>
        <v>0.34970088058967846</v>
      </c>
    </row>
  </sheetData>
  <mergeCells count="8">
    <mergeCell ref="D34:D39"/>
    <mergeCell ref="D40:D45"/>
    <mergeCell ref="D46:D51"/>
    <mergeCell ref="D4:D9"/>
    <mergeCell ref="D10:D15"/>
    <mergeCell ref="D16:D21"/>
    <mergeCell ref="D22:D27"/>
    <mergeCell ref="D28:D33"/>
  </mergeCells>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80"/>
  <sheetViews>
    <sheetView zoomScaleNormal="100" workbookViewId="0"/>
  </sheetViews>
  <sheetFormatPr baseColWidth="10" defaultColWidth="8.6640625" defaultRowHeight="16" x14ac:dyDescent="0.2"/>
  <cols>
    <col min="1" max="1" width="10" customWidth="1"/>
    <col min="2" max="3" width="45" customWidth="1"/>
    <col min="4" max="4" width="70" customWidth="1"/>
  </cols>
  <sheetData>
    <row r="1" spans="1:4" x14ac:dyDescent="0.2">
      <c r="A1" s="43" t="s">
        <v>46</v>
      </c>
    </row>
    <row r="3" spans="1:4" ht="45" customHeight="1" x14ac:dyDescent="0.2">
      <c r="A3" s="1" t="s">
        <v>47</v>
      </c>
      <c r="B3" s="1"/>
      <c r="C3" s="1"/>
      <c r="D3" s="1"/>
    </row>
    <row r="4" spans="1:4" ht="75" customHeight="1" x14ac:dyDescent="0.2">
      <c r="A4" s="1" t="s">
        <v>48</v>
      </c>
      <c r="B4" s="1"/>
      <c r="C4" s="1"/>
      <c r="D4" s="1"/>
    </row>
    <row r="5" spans="1:4" ht="90" customHeight="1" x14ac:dyDescent="0.2">
      <c r="A5" s="1" t="s">
        <v>49</v>
      </c>
      <c r="B5" s="1"/>
      <c r="C5" s="1"/>
      <c r="D5" s="1"/>
    </row>
    <row r="6" spans="1:4" ht="30" customHeight="1" x14ac:dyDescent="0.2">
      <c r="A6" s="1" t="s">
        <v>50</v>
      </c>
      <c r="B6" s="1"/>
      <c r="C6" s="1"/>
      <c r="D6" s="1"/>
    </row>
    <row r="7" spans="1:4" ht="45" customHeight="1" x14ac:dyDescent="0.2">
      <c r="A7" s="1" t="s">
        <v>51</v>
      </c>
      <c r="B7" s="1"/>
      <c r="C7" s="1"/>
      <c r="D7" s="1"/>
    </row>
    <row r="9" spans="1:4" x14ac:dyDescent="0.2">
      <c r="A9" s="44" t="s">
        <v>52</v>
      </c>
      <c r="B9" s="44" t="s">
        <v>53</v>
      </c>
      <c r="C9" s="44" t="s">
        <v>54</v>
      </c>
      <c r="D9" s="44" t="s">
        <v>55</v>
      </c>
    </row>
    <row r="10" spans="1:4" ht="39" x14ac:dyDescent="0.2">
      <c r="A10" s="45" t="s">
        <v>56</v>
      </c>
      <c r="B10" s="46" t="s">
        <v>57</v>
      </c>
      <c r="C10" s="46" t="s">
        <v>58</v>
      </c>
      <c r="D10" s="46" t="s">
        <v>59</v>
      </c>
    </row>
    <row r="11" spans="1:4" ht="26" x14ac:dyDescent="0.2">
      <c r="A11" s="45" t="s">
        <v>60</v>
      </c>
      <c r="B11" s="46" t="s">
        <v>61</v>
      </c>
      <c r="C11" s="46" t="s">
        <v>62</v>
      </c>
      <c r="D11" s="46" t="s">
        <v>63</v>
      </c>
    </row>
    <row r="12" spans="1:4" ht="39" x14ac:dyDescent="0.2">
      <c r="A12" s="45" t="s">
        <v>64</v>
      </c>
      <c r="B12" s="46" t="s">
        <v>65</v>
      </c>
      <c r="C12" s="46" t="s">
        <v>66</v>
      </c>
      <c r="D12" s="46" t="s">
        <v>59</v>
      </c>
    </row>
    <row r="13" spans="1:4" ht="26" x14ac:dyDescent="0.2">
      <c r="A13" s="45" t="s">
        <v>67</v>
      </c>
      <c r="B13" s="46" t="s">
        <v>68</v>
      </c>
      <c r="C13" s="46" t="s">
        <v>69</v>
      </c>
      <c r="D13" s="46" t="s">
        <v>63</v>
      </c>
    </row>
    <row r="14" spans="1:4" ht="39" x14ac:dyDescent="0.2">
      <c r="A14" s="45" t="s">
        <v>70</v>
      </c>
      <c r="B14" s="46" t="s">
        <v>71</v>
      </c>
      <c r="C14" s="46" t="s">
        <v>72</v>
      </c>
      <c r="D14" s="46" t="s">
        <v>59</v>
      </c>
    </row>
    <row r="15" spans="1:4" ht="26" x14ac:dyDescent="0.2">
      <c r="A15" s="45" t="s">
        <v>73</v>
      </c>
      <c r="B15" s="46" t="s">
        <v>74</v>
      </c>
      <c r="C15" s="46" t="s">
        <v>75</v>
      </c>
      <c r="D15" s="46" t="s">
        <v>63</v>
      </c>
    </row>
    <row r="16" spans="1:4" ht="39" x14ac:dyDescent="0.2">
      <c r="A16" s="45" t="s">
        <v>76</v>
      </c>
      <c r="B16" s="46" t="s">
        <v>77</v>
      </c>
      <c r="C16" s="46" t="s">
        <v>78</v>
      </c>
      <c r="D16" s="46" t="s">
        <v>59</v>
      </c>
    </row>
    <row r="17" spans="1:4" ht="26" x14ac:dyDescent="0.2">
      <c r="A17" s="45" t="s">
        <v>79</v>
      </c>
      <c r="B17" s="46" t="s">
        <v>80</v>
      </c>
      <c r="C17" s="46" t="s">
        <v>81</v>
      </c>
      <c r="D17" s="46" t="s">
        <v>63</v>
      </c>
    </row>
    <row r="18" spans="1:4" ht="39" x14ac:dyDescent="0.2">
      <c r="A18" s="45" t="s">
        <v>82</v>
      </c>
      <c r="B18" s="46" t="s">
        <v>83</v>
      </c>
      <c r="C18" s="46" t="s">
        <v>84</v>
      </c>
      <c r="D18" s="46" t="s">
        <v>59</v>
      </c>
    </row>
    <row r="19" spans="1:4" ht="26" x14ac:dyDescent="0.2">
      <c r="A19" s="45" t="s">
        <v>85</v>
      </c>
      <c r="B19" s="46" t="s">
        <v>86</v>
      </c>
      <c r="C19" s="46" t="s">
        <v>87</v>
      </c>
      <c r="D19" s="46" t="s">
        <v>63</v>
      </c>
    </row>
    <row r="20" spans="1:4" ht="39" x14ac:dyDescent="0.2">
      <c r="A20" s="45" t="s">
        <v>88</v>
      </c>
      <c r="B20" s="46" t="s">
        <v>89</v>
      </c>
      <c r="C20" s="46" t="s">
        <v>90</v>
      </c>
      <c r="D20" s="46" t="s">
        <v>59</v>
      </c>
    </row>
    <row r="21" spans="1:4" ht="26" x14ac:dyDescent="0.2">
      <c r="A21" s="45" t="s">
        <v>91</v>
      </c>
      <c r="B21" s="46" t="s">
        <v>92</v>
      </c>
      <c r="C21" s="46" t="s">
        <v>93</v>
      </c>
      <c r="D21" s="46" t="s">
        <v>63</v>
      </c>
    </row>
    <row r="22" spans="1:4" ht="39" x14ac:dyDescent="0.2">
      <c r="A22" s="45" t="s">
        <v>94</v>
      </c>
      <c r="B22" s="46" t="s">
        <v>95</v>
      </c>
      <c r="C22" s="46" t="s">
        <v>96</v>
      </c>
      <c r="D22" s="46" t="s">
        <v>59</v>
      </c>
    </row>
    <row r="23" spans="1:4" ht="39" x14ac:dyDescent="0.2">
      <c r="A23" s="45" t="s">
        <v>97</v>
      </c>
      <c r="B23" s="46" t="s">
        <v>98</v>
      </c>
      <c r="C23" s="46" t="s">
        <v>99</v>
      </c>
      <c r="D23" s="46" t="s">
        <v>63</v>
      </c>
    </row>
    <row r="24" spans="1:4" ht="39" x14ac:dyDescent="0.2">
      <c r="A24" s="45" t="s">
        <v>100</v>
      </c>
      <c r="B24" s="46" t="s">
        <v>101</v>
      </c>
      <c r="C24" s="46" t="s">
        <v>102</v>
      </c>
      <c r="D24" s="46" t="s">
        <v>59</v>
      </c>
    </row>
    <row r="25" spans="1:4" ht="39" x14ac:dyDescent="0.2">
      <c r="A25" s="45" t="s">
        <v>103</v>
      </c>
      <c r="B25" s="46" t="s">
        <v>104</v>
      </c>
      <c r="C25" s="46" t="s">
        <v>105</v>
      </c>
      <c r="D25" s="46" t="s">
        <v>63</v>
      </c>
    </row>
    <row r="26" spans="1:4" ht="39" x14ac:dyDescent="0.2">
      <c r="A26" s="45" t="s">
        <v>106</v>
      </c>
      <c r="B26" s="46" t="s">
        <v>107</v>
      </c>
      <c r="C26" s="46" t="s">
        <v>108</v>
      </c>
      <c r="D26" s="46" t="s">
        <v>59</v>
      </c>
    </row>
    <row r="27" spans="1:4" ht="39" x14ac:dyDescent="0.2">
      <c r="A27" s="45" t="s">
        <v>109</v>
      </c>
      <c r="B27" s="46" t="s">
        <v>110</v>
      </c>
      <c r="C27" s="46" t="s">
        <v>111</v>
      </c>
      <c r="D27" s="46" t="s">
        <v>63</v>
      </c>
    </row>
    <row r="28" spans="1:4" ht="39" x14ac:dyDescent="0.2">
      <c r="A28" s="45" t="s">
        <v>112</v>
      </c>
      <c r="B28" s="46" t="s">
        <v>113</v>
      </c>
      <c r="C28" s="46" t="s">
        <v>114</v>
      </c>
      <c r="D28" s="46" t="s">
        <v>59</v>
      </c>
    </row>
    <row r="29" spans="1:4" ht="39" x14ac:dyDescent="0.2">
      <c r="A29" s="45" t="s">
        <v>115</v>
      </c>
      <c r="B29" s="46" t="s">
        <v>116</v>
      </c>
      <c r="C29" s="46" t="s">
        <v>117</v>
      </c>
      <c r="D29" s="46" t="s">
        <v>63</v>
      </c>
    </row>
    <row r="30" spans="1:4" ht="39" x14ac:dyDescent="0.2">
      <c r="A30" s="45" t="s">
        <v>118</v>
      </c>
      <c r="B30" s="46" t="s">
        <v>119</v>
      </c>
      <c r="C30" s="46" t="s">
        <v>120</v>
      </c>
      <c r="D30" s="46" t="s">
        <v>59</v>
      </c>
    </row>
    <row r="31" spans="1:4" ht="39" x14ac:dyDescent="0.2">
      <c r="A31" s="45" t="s">
        <v>121</v>
      </c>
      <c r="B31" s="46" t="s">
        <v>122</v>
      </c>
      <c r="C31" s="46" t="s">
        <v>123</v>
      </c>
      <c r="D31" s="46" t="s">
        <v>63</v>
      </c>
    </row>
    <row r="32" spans="1:4" ht="39" x14ac:dyDescent="0.2">
      <c r="A32" s="45" t="s">
        <v>124</v>
      </c>
      <c r="B32" s="46" t="s">
        <v>125</v>
      </c>
      <c r="C32" s="46" t="s">
        <v>126</v>
      </c>
      <c r="D32" s="46" t="s">
        <v>59</v>
      </c>
    </row>
    <row r="33" spans="1:4" ht="39" x14ac:dyDescent="0.2">
      <c r="A33" s="45" t="s">
        <v>127</v>
      </c>
      <c r="B33" s="46" t="s">
        <v>128</v>
      </c>
      <c r="C33" s="46" t="s">
        <v>129</v>
      </c>
      <c r="D33" s="46" t="s">
        <v>63</v>
      </c>
    </row>
    <row r="34" spans="1:4" ht="39" x14ac:dyDescent="0.2">
      <c r="A34" s="45" t="s">
        <v>130</v>
      </c>
      <c r="B34" s="46" t="s">
        <v>131</v>
      </c>
      <c r="C34" s="46" t="s">
        <v>132</v>
      </c>
      <c r="D34" s="46" t="s">
        <v>59</v>
      </c>
    </row>
    <row r="35" spans="1:4" ht="39" x14ac:dyDescent="0.2">
      <c r="A35" s="45" t="s">
        <v>133</v>
      </c>
      <c r="B35" s="46" t="s">
        <v>134</v>
      </c>
      <c r="C35" s="46" t="s">
        <v>135</v>
      </c>
      <c r="D35" s="46" t="s">
        <v>63</v>
      </c>
    </row>
    <row r="36" spans="1:4" ht="39" x14ac:dyDescent="0.2">
      <c r="A36" s="45" t="s">
        <v>136</v>
      </c>
      <c r="B36" s="46" t="s">
        <v>137</v>
      </c>
      <c r="C36" s="46" t="s">
        <v>138</v>
      </c>
      <c r="D36" s="46" t="s">
        <v>59</v>
      </c>
    </row>
    <row r="37" spans="1:4" ht="39" x14ac:dyDescent="0.2">
      <c r="A37" s="45" t="s">
        <v>139</v>
      </c>
      <c r="B37" s="46" t="s">
        <v>140</v>
      </c>
      <c r="C37" s="46" t="s">
        <v>141</v>
      </c>
      <c r="D37" s="46" t="s">
        <v>63</v>
      </c>
    </row>
    <row r="38" spans="1:4" ht="39" x14ac:dyDescent="0.2">
      <c r="A38" s="45" t="s">
        <v>142</v>
      </c>
      <c r="B38" s="46" t="s">
        <v>143</v>
      </c>
      <c r="C38" s="46" t="s">
        <v>144</v>
      </c>
      <c r="D38" s="46" t="s">
        <v>59</v>
      </c>
    </row>
    <row r="39" spans="1:4" ht="39" x14ac:dyDescent="0.2">
      <c r="A39" s="45" t="s">
        <v>145</v>
      </c>
      <c r="B39" s="46" t="s">
        <v>146</v>
      </c>
      <c r="C39" s="46" t="s">
        <v>147</v>
      </c>
      <c r="D39" s="46" t="s">
        <v>63</v>
      </c>
    </row>
    <row r="40" spans="1:4" ht="39" x14ac:dyDescent="0.2">
      <c r="A40" s="45" t="s">
        <v>148</v>
      </c>
      <c r="B40" s="46" t="s">
        <v>149</v>
      </c>
      <c r="C40" s="46" t="s">
        <v>150</v>
      </c>
      <c r="D40" s="46" t="s">
        <v>59</v>
      </c>
    </row>
    <row r="41" spans="1:4" ht="39" x14ac:dyDescent="0.2">
      <c r="A41" s="45" t="s">
        <v>151</v>
      </c>
      <c r="B41" s="46" t="s">
        <v>152</v>
      </c>
      <c r="C41" s="46" t="s">
        <v>153</v>
      </c>
      <c r="D41" s="46" t="s">
        <v>63</v>
      </c>
    </row>
    <row r="42" spans="1:4" ht="39" x14ac:dyDescent="0.2">
      <c r="A42" s="45" t="s">
        <v>154</v>
      </c>
      <c r="B42" s="46" t="s">
        <v>155</v>
      </c>
      <c r="C42" s="46" t="s">
        <v>156</v>
      </c>
      <c r="D42" s="46" t="s">
        <v>59</v>
      </c>
    </row>
    <row r="43" spans="1:4" ht="39" x14ac:dyDescent="0.2">
      <c r="A43" s="45" t="s">
        <v>157</v>
      </c>
      <c r="B43" s="46" t="s">
        <v>158</v>
      </c>
      <c r="C43" s="46" t="s">
        <v>159</v>
      </c>
      <c r="D43" s="46" t="s">
        <v>63</v>
      </c>
    </row>
    <row r="44" spans="1:4" ht="39" x14ac:dyDescent="0.2">
      <c r="A44" s="45" t="s">
        <v>160</v>
      </c>
      <c r="B44" s="46" t="s">
        <v>161</v>
      </c>
      <c r="C44" s="46" t="s">
        <v>162</v>
      </c>
      <c r="D44" s="46" t="s">
        <v>59</v>
      </c>
    </row>
    <row r="45" spans="1:4" ht="39" x14ac:dyDescent="0.2">
      <c r="A45" s="45" t="s">
        <v>163</v>
      </c>
      <c r="B45" s="46" t="s">
        <v>164</v>
      </c>
      <c r="C45" s="46" t="s">
        <v>165</v>
      </c>
      <c r="D45" s="46" t="s">
        <v>63</v>
      </c>
    </row>
    <row r="46" spans="1:4" ht="39" x14ac:dyDescent="0.2">
      <c r="A46" s="45" t="s">
        <v>166</v>
      </c>
      <c r="B46" s="46" t="s">
        <v>167</v>
      </c>
      <c r="C46" s="46" t="s">
        <v>168</v>
      </c>
      <c r="D46" s="46" t="s">
        <v>59</v>
      </c>
    </row>
    <row r="47" spans="1:4" ht="39" x14ac:dyDescent="0.2">
      <c r="A47" s="45" t="s">
        <v>169</v>
      </c>
      <c r="B47" s="46" t="s">
        <v>170</v>
      </c>
      <c r="C47" s="46" t="s">
        <v>171</v>
      </c>
      <c r="D47" s="46" t="s">
        <v>63</v>
      </c>
    </row>
    <row r="48" spans="1:4" ht="39" x14ac:dyDescent="0.2">
      <c r="A48" s="45" t="s">
        <v>172</v>
      </c>
      <c r="B48" s="46" t="s">
        <v>173</v>
      </c>
      <c r="C48" s="46" t="s">
        <v>174</v>
      </c>
      <c r="D48" s="46" t="s">
        <v>59</v>
      </c>
    </row>
    <row r="49" spans="1:4" ht="39" x14ac:dyDescent="0.2">
      <c r="A49" s="45" t="s">
        <v>175</v>
      </c>
      <c r="B49" s="46" t="s">
        <v>176</v>
      </c>
      <c r="C49" s="46" t="s">
        <v>177</v>
      </c>
      <c r="D49" s="46" t="s">
        <v>63</v>
      </c>
    </row>
    <row r="50" spans="1:4" ht="39" x14ac:dyDescent="0.2">
      <c r="A50" s="45" t="s">
        <v>178</v>
      </c>
      <c r="B50" s="46" t="s">
        <v>179</v>
      </c>
      <c r="C50" s="46" t="s">
        <v>180</v>
      </c>
      <c r="D50" s="46" t="s">
        <v>59</v>
      </c>
    </row>
    <row r="51" spans="1:4" ht="39" x14ac:dyDescent="0.2">
      <c r="A51" s="45" t="s">
        <v>181</v>
      </c>
      <c r="B51" s="46" t="s">
        <v>182</v>
      </c>
      <c r="C51" s="46" t="s">
        <v>183</v>
      </c>
      <c r="D51" s="46" t="s">
        <v>63</v>
      </c>
    </row>
    <row r="52" spans="1:4" ht="39" x14ac:dyDescent="0.2">
      <c r="A52" s="45" t="s">
        <v>184</v>
      </c>
      <c r="B52" s="46" t="s">
        <v>185</v>
      </c>
      <c r="C52" s="46" t="s">
        <v>186</v>
      </c>
      <c r="D52" s="46" t="s">
        <v>59</v>
      </c>
    </row>
    <row r="53" spans="1:4" ht="39" x14ac:dyDescent="0.2">
      <c r="A53" s="45" t="s">
        <v>187</v>
      </c>
      <c r="B53" s="46" t="s">
        <v>188</v>
      </c>
      <c r="C53" s="46" t="s">
        <v>189</v>
      </c>
      <c r="D53" s="46" t="s">
        <v>63</v>
      </c>
    </row>
    <row r="54" spans="1:4" ht="39" x14ac:dyDescent="0.2">
      <c r="A54" s="45" t="s">
        <v>190</v>
      </c>
      <c r="B54" s="46" t="s">
        <v>191</v>
      </c>
      <c r="C54" s="46" t="s">
        <v>192</v>
      </c>
      <c r="D54" s="46" t="s">
        <v>59</v>
      </c>
    </row>
    <row r="55" spans="1:4" ht="39" x14ac:dyDescent="0.2">
      <c r="A55" s="45" t="s">
        <v>193</v>
      </c>
      <c r="B55" s="46" t="s">
        <v>194</v>
      </c>
      <c r="C55" s="46" t="s">
        <v>195</v>
      </c>
      <c r="D55" s="46" t="s">
        <v>63</v>
      </c>
    </row>
    <row r="56" spans="1:4" ht="39" x14ac:dyDescent="0.2">
      <c r="A56" s="45" t="s">
        <v>196</v>
      </c>
      <c r="B56" s="46" t="s">
        <v>197</v>
      </c>
      <c r="C56" s="46" t="s">
        <v>198</v>
      </c>
      <c r="D56" s="46" t="s">
        <v>59</v>
      </c>
    </row>
    <row r="57" spans="1:4" ht="39" x14ac:dyDescent="0.2">
      <c r="A57" s="45" t="s">
        <v>199</v>
      </c>
      <c r="B57" s="46" t="s">
        <v>200</v>
      </c>
      <c r="C57" s="46" t="s">
        <v>201</v>
      </c>
      <c r="D57" s="46" t="s">
        <v>63</v>
      </c>
    </row>
    <row r="58" spans="1:4" ht="39" x14ac:dyDescent="0.2">
      <c r="A58" s="45" t="s">
        <v>202</v>
      </c>
      <c r="B58" s="46" t="s">
        <v>203</v>
      </c>
      <c r="C58" s="46" t="s">
        <v>204</v>
      </c>
      <c r="D58" s="46" t="s">
        <v>59</v>
      </c>
    </row>
    <row r="59" spans="1:4" ht="39" x14ac:dyDescent="0.2">
      <c r="A59" s="45" t="s">
        <v>205</v>
      </c>
      <c r="B59" s="46" t="s">
        <v>206</v>
      </c>
      <c r="C59" s="46" t="s">
        <v>207</v>
      </c>
      <c r="D59" s="46" t="s">
        <v>63</v>
      </c>
    </row>
    <row r="60" spans="1:4" ht="39" x14ac:dyDescent="0.2">
      <c r="A60" s="45" t="s">
        <v>208</v>
      </c>
      <c r="B60" s="46" t="s">
        <v>209</v>
      </c>
      <c r="C60" s="46" t="s">
        <v>210</v>
      </c>
      <c r="D60" s="46" t="s">
        <v>59</v>
      </c>
    </row>
    <row r="61" spans="1:4" ht="39" x14ac:dyDescent="0.2">
      <c r="A61" s="45" t="s">
        <v>211</v>
      </c>
      <c r="B61" s="46" t="s">
        <v>212</v>
      </c>
      <c r="C61" s="46" t="s">
        <v>213</v>
      </c>
      <c r="D61" s="46" t="s">
        <v>63</v>
      </c>
    </row>
    <row r="62" spans="1:4" ht="39" x14ac:dyDescent="0.2">
      <c r="A62" s="45" t="s">
        <v>214</v>
      </c>
      <c r="B62" s="46" t="s">
        <v>215</v>
      </c>
      <c r="C62" s="46" t="s">
        <v>216</v>
      </c>
      <c r="D62" s="46" t="s">
        <v>59</v>
      </c>
    </row>
    <row r="63" spans="1:4" ht="39" x14ac:dyDescent="0.2">
      <c r="A63" s="45" t="s">
        <v>217</v>
      </c>
      <c r="B63" s="46" t="s">
        <v>218</v>
      </c>
      <c r="C63" s="46" t="s">
        <v>219</v>
      </c>
      <c r="D63" s="46" t="s">
        <v>63</v>
      </c>
    </row>
    <row r="64" spans="1:4" ht="39" x14ac:dyDescent="0.2">
      <c r="A64" s="45" t="s">
        <v>220</v>
      </c>
      <c r="B64" s="46" t="s">
        <v>221</v>
      </c>
      <c r="C64" s="46" t="s">
        <v>222</v>
      </c>
      <c r="D64" s="46" t="s">
        <v>59</v>
      </c>
    </row>
    <row r="65" spans="1:4" ht="39" x14ac:dyDescent="0.2">
      <c r="A65" s="45" t="s">
        <v>223</v>
      </c>
      <c r="B65" s="46" t="s">
        <v>224</v>
      </c>
      <c r="C65" s="46" t="s">
        <v>225</v>
      </c>
      <c r="D65" s="46" t="s">
        <v>63</v>
      </c>
    </row>
    <row r="66" spans="1:4" ht="39" x14ac:dyDescent="0.2">
      <c r="A66" s="45" t="s">
        <v>226</v>
      </c>
      <c r="B66" s="46" t="s">
        <v>227</v>
      </c>
      <c r="C66" s="46" t="s">
        <v>228</v>
      </c>
      <c r="D66" s="46" t="s">
        <v>59</v>
      </c>
    </row>
    <row r="67" spans="1:4" ht="39" x14ac:dyDescent="0.2">
      <c r="A67" s="45" t="s">
        <v>229</v>
      </c>
      <c r="B67" s="46" t="s">
        <v>230</v>
      </c>
      <c r="C67" s="46" t="s">
        <v>231</v>
      </c>
      <c r="D67" s="46" t="s">
        <v>63</v>
      </c>
    </row>
    <row r="68" spans="1:4" ht="39" x14ac:dyDescent="0.2">
      <c r="A68" s="45" t="s">
        <v>232</v>
      </c>
      <c r="B68" s="46" t="s">
        <v>233</v>
      </c>
      <c r="C68" s="46" t="s">
        <v>234</v>
      </c>
      <c r="D68" s="46" t="s">
        <v>59</v>
      </c>
    </row>
    <row r="69" spans="1:4" ht="39" x14ac:dyDescent="0.2">
      <c r="A69" s="45" t="s">
        <v>235</v>
      </c>
      <c r="B69" s="46" t="s">
        <v>236</v>
      </c>
      <c r="C69" s="46" t="s">
        <v>237</v>
      </c>
      <c r="D69" s="46" t="s">
        <v>63</v>
      </c>
    </row>
    <row r="70" spans="1:4" ht="39" x14ac:dyDescent="0.2">
      <c r="A70" s="45" t="s">
        <v>238</v>
      </c>
      <c r="B70" s="46" t="s">
        <v>239</v>
      </c>
      <c r="C70" s="46" t="s">
        <v>240</v>
      </c>
      <c r="D70" s="46" t="s">
        <v>59</v>
      </c>
    </row>
    <row r="71" spans="1:4" ht="39" x14ac:dyDescent="0.2">
      <c r="A71" s="45" t="s">
        <v>241</v>
      </c>
      <c r="B71" s="46" t="s">
        <v>242</v>
      </c>
      <c r="C71" s="46" t="s">
        <v>243</v>
      </c>
      <c r="D71" s="46" t="s">
        <v>63</v>
      </c>
    </row>
    <row r="72" spans="1:4" ht="39" x14ac:dyDescent="0.2">
      <c r="A72" s="45" t="s">
        <v>244</v>
      </c>
      <c r="B72" s="46" t="s">
        <v>245</v>
      </c>
      <c r="C72" s="46" t="s">
        <v>246</v>
      </c>
      <c r="D72" s="46" t="s">
        <v>59</v>
      </c>
    </row>
    <row r="73" spans="1:4" ht="39" x14ac:dyDescent="0.2">
      <c r="A73" s="45" t="s">
        <v>247</v>
      </c>
      <c r="B73" s="46" t="s">
        <v>248</v>
      </c>
      <c r="C73" s="46" t="s">
        <v>249</v>
      </c>
      <c r="D73" s="46" t="s">
        <v>63</v>
      </c>
    </row>
    <row r="74" spans="1:4" ht="39" x14ac:dyDescent="0.2">
      <c r="A74" s="45" t="s">
        <v>250</v>
      </c>
      <c r="B74" s="46" t="s">
        <v>251</v>
      </c>
      <c r="C74" s="46" t="s">
        <v>252</v>
      </c>
      <c r="D74" s="46" t="s">
        <v>59</v>
      </c>
    </row>
    <row r="75" spans="1:4" ht="39" x14ac:dyDescent="0.2">
      <c r="A75" s="45" t="s">
        <v>253</v>
      </c>
      <c r="B75" s="46" t="s">
        <v>254</v>
      </c>
      <c r="C75" s="46" t="s">
        <v>255</v>
      </c>
      <c r="D75" s="46" t="s">
        <v>63</v>
      </c>
    </row>
    <row r="76" spans="1:4" ht="39" x14ac:dyDescent="0.2">
      <c r="A76" s="45" t="s">
        <v>256</v>
      </c>
      <c r="B76" s="46" t="s">
        <v>257</v>
      </c>
      <c r="C76" s="46" t="s">
        <v>258</v>
      </c>
      <c r="D76" s="46" t="s">
        <v>59</v>
      </c>
    </row>
    <row r="77" spans="1:4" ht="39" x14ac:dyDescent="0.2">
      <c r="A77" s="45" t="s">
        <v>259</v>
      </c>
      <c r="B77" s="46" t="s">
        <v>260</v>
      </c>
      <c r="C77" s="46" t="s">
        <v>261</v>
      </c>
      <c r="D77" s="46" t="s">
        <v>63</v>
      </c>
    </row>
    <row r="78" spans="1:4" ht="39" x14ac:dyDescent="0.2">
      <c r="A78" s="45" t="s">
        <v>262</v>
      </c>
      <c r="B78" s="46" t="s">
        <v>263</v>
      </c>
      <c r="C78" s="46" t="s">
        <v>264</v>
      </c>
      <c r="D78" s="46" t="s">
        <v>59</v>
      </c>
    </row>
    <row r="79" spans="1:4" ht="39" x14ac:dyDescent="0.2">
      <c r="A79" s="45" t="s">
        <v>265</v>
      </c>
      <c r="B79" s="46" t="s">
        <v>266</v>
      </c>
      <c r="C79" s="46" t="s">
        <v>267</v>
      </c>
      <c r="D79" s="46" t="s">
        <v>63</v>
      </c>
    </row>
    <row r="80" spans="1:4" ht="39" x14ac:dyDescent="0.2">
      <c r="A80" s="45" t="s">
        <v>268</v>
      </c>
      <c r="B80" s="46" t="s">
        <v>269</v>
      </c>
      <c r="C80" s="46" t="s">
        <v>270</v>
      </c>
      <c r="D80" s="46" t="s">
        <v>59</v>
      </c>
    </row>
    <row r="81" spans="1:4" ht="39" x14ac:dyDescent="0.2">
      <c r="A81" s="45" t="s">
        <v>271</v>
      </c>
      <c r="B81" s="46" t="s">
        <v>272</v>
      </c>
      <c r="C81" s="46" t="s">
        <v>273</v>
      </c>
      <c r="D81" s="46" t="s">
        <v>63</v>
      </c>
    </row>
    <row r="82" spans="1:4" ht="39" x14ac:dyDescent="0.2">
      <c r="A82" s="45" t="s">
        <v>274</v>
      </c>
      <c r="B82" s="46" t="s">
        <v>275</v>
      </c>
      <c r="C82" s="46" t="s">
        <v>276</v>
      </c>
      <c r="D82" s="46" t="s">
        <v>59</v>
      </c>
    </row>
    <row r="83" spans="1:4" ht="39" x14ac:dyDescent="0.2">
      <c r="A83" s="45" t="s">
        <v>277</v>
      </c>
      <c r="B83" s="46" t="s">
        <v>278</v>
      </c>
      <c r="C83" s="46" t="s">
        <v>279</v>
      </c>
      <c r="D83" s="46" t="s">
        <v>63</v>
      </c>
    </row>
    <row r="84" spans="1:4" ht="39" x14ac:dyDescent="0.2">
      <c r="A84" s="45" t="s">
        <v>280</v>
      </c>
      <c r="B84" s="46" t="s">
        <v>281</v>
      </c>
      <c r="C84" s="46" t="s">
        <v>282</v>
      </c>
      <c r="D84" s="46" t="s">
        <v>59</v>
      </c>
    </row>
    <row r="85" spans="1:4" ht="39" x14ac:dyDescent="0.2">
      <c r="A85" s="45" t="s">
        <v>283</v>
      </c>
      <c r="B85" s="46" t="s">
        <v>284</v>
      </c>
      <c r="C85" s="46" t="s">
        <v>285</v>
      </c>
      <c r="D85" s="46" t="s">
        <v>63</v>
      </c>
    </row>
    <row r="86" spans="1:4" ht="39" x14ac:dyDescent="0.2">
      <c r="A86" s="45" t="s">
        <v>286</v>
      </c>
      <c r="B86" s="46" t="s">
        <v>287</v>
      </c>
      <c r="C86" s="46" t="s">
        <v>288</v>
      </c>
      <c r="D86" s="46" t="s">
        <v>59</v>
      </c>
    </row>
    <row r="87" spans="1:4" ht="39" x14ac:dyDescent="0.2">
      <c r="A87" s="45" t="s">
        <v>289</v>
      </c>
      <c r="B87" s="46" t="s">
        <v>290</v>
      </c>
      <c r="C87" s="46" t="s">
        <v>291</v>
      </c>
      <c r="D87" s="46" t="s">
        <v>63</v>
      </c>
    </row>
    <row r="88" spans="1:4" ht="39" x14ac:dyDescent="0.2">
      <c r="A88" s="45" t="s">
        <v>292</v>
      </c>
      <c r="B88" s="46" t="s">
        <v>293</v>
      </c>
      <c r="C88" s="46" t="s">
        <v>294</v>
      </c>
      <c r="D88" s="46" t="s">
        <v>59</v>
      </c>
    </row>
    <row r="89" spans="1:4" ht="39" x14ac:dyDescent="0.2">
      <c r="A89" s="45" t="s">
        <v>295</v>
      </c>
      <c r="B89" s="46" t="s">
        <v>296</v>
      </c>
      <c r="C89" s="46" t="s">
        <v>297</v>
      </c>
      <c r="D89" s="46" t="s">
        <v>63</v>
      </c>
    </row>
    <row r="90" spans="1:4" ht="39" x14ac:dyDescent="0.2">
      <c r="A90" s="45" t="s">
        <v>298</v>
      </c>
      <c r="B90" s="46" t="s">
        <v>299</v>
      </c>
      <c r="C90" s="46" t="s">
        <v>300</v>
      </c>
      <c r="D90" s="46" t="s">
        <v>59</v>
      </c>
    </row>
    <row r="91" spans="1:4" ht="39" x14ac:dyDescent="0.2">
      <c r="A91" s="45" t="s">
        <v>301</v>
      </c>
      <c r="B91" s="46" t="s">
        <v>302</v>
      </c>
      <c r="C91" s="46" t="s">
        <v>303</v>
      </c>
      <c r="D91" s="46" t="s">
        <v>63</v>
      </c>
    </row>
    <row r="92" spans="1:4" ht="39" x14ac:dyDescent="0.2">
      <c r="A92" s="45" t="s">
        <v>304</v>
      </c>
      <c r="B92" s="46" t="s">
        <v>305</v>
      </c>
      <c r="C92" s="46" t="s">
        <v>306</v>
      </c>
      <c r="D92" s="46" t="s">
        <v>59</v>
      </c>
    </row>
    <row r="93" spans="1:4" ht="39" x14ac:dyDescent="0.2">
      <c r="A93" s="45" t="s">
        <v>307</v>
      </c>
      <c r="B93" s="46" t="s">
        <v>308</v>
      </c>
      <c r="C93" s="46" t="s">
        <v>309</v>
      </c>
      <c r="D93" s="46" t="s">
        <v>63</v>
      </c>
    </row>
    <row r="94" spans="1:4" ht="39" x14ac:dyDescent="0.2">
      <c r="A94" s="45" t="s">
        <v>310</v>
      </c>
      <c r="B94" s="46" t="s">
        <v>311</v>
      </c>
      <c r="C94" s="46" t="s">
        <v>312</v>
      </c>
      <c r="D94" s="46" t="s">
        <v>59</v>
      </c>
    </row>
    <row r="95" spans="1:4" ht="39" x14ac:dyDescent="0.2">
      <c r="A95" s="45" t="s">
        <v>313</v>
      </c>
      <c r="B95" s="46" t="s">
        <v>314</v>
      </c>
      <c r="C95" s="46" t="s">
        <v>315</v>
      </c>
      <c r="D95" s="46" t="s">
        <v>63</v>
      </c>
    </row>
    <row r="96" spans="1:4" ht="39" x14ac:dyDescent="0.2">
      <c r="A96" s="45" t="s">
        <v>316</v>
      </c>
      <c r="B96" s="46" t="s">
        <v>317</v>
      </c>
      <c r="C96" s="46" t="s">
        <v>318</v>
      </c>
      <c r="D96" s="46" t="s">
        <v>59</v>
      </c>
    </row>
    <row r="97" spans="1:4" ht="39" x14ac:dyDescent="0.2">
      <c r="A97" s="45" t="s">
        <v>319</v>
      </c>
      <c r="B97" s="46" t="s">
        <v>320</v>
      </c>
      <c r="C97" s="46" t="s">
        <v>321</v>
      </c>
      <c r="D97" s="46" t="s">
        <v>63</v>
      </c>
    </row>
    <row r="98" spans="1:4" ht="39" x14ac:dyDescent="0.2">
      <c r="A98" s="45" t="s">
        <v>322</v>
      </c>
      <c r="B98" s="46" t="s">
        <v>323</v>
      </c>
      <c r="C98" s="46" t="s">
        <v>324</v>
      </c>
      <c r="D98" s="46" t="s">
        <v>59</v>
      </c>
    </row>
    <row r="99" spans="1:4" ht="39" x14ac:dyDescent="0.2">
      <c r="A99" s="45" t="s">
        <v>325</v>
      </c>
      <c r="B99" s="46" t="s">
        <v>326</v>
      </c>
      <c r="C99" s="46" t="s">
        <v>327</v>
      </c>
      <c r="D99" s="46" t="s">
        <v>63</v>
      </c>
    </row>
    <row r="100" spans="1:4" ht="39" x14ac:dyDescent="0.2">
      <c r="A100" s="45" t="s">
        <v>328</v>
      </c>
      <c r="B100" s="46" t="s">
        <v>329</v>
      </c>
      <c r="C100" s="46" t="s">
        <v>330</v>
      </c>
      <c r="D100" s="46" t="s">
        <v>59</v>
      </c>
    </row>
    <row r="101" spans="1:4" ht="39" x14ac:dyDescent="0.2">
      <c r="A101" s="45" t="s">
        <v>331</v>
      </c>
      <c r="B101" s="46" t="s">
        <v>332</v>
      </c>
      <c r="C101" s="46" t="s">
        <v>333</v>
      </c>
      <c r="D101" s="46" t="s">
        <v>63</v>
      </c>
    </row>
    <row r="102" spans="1:4" ht="39" x14ac:dyDescent="0.2">
      <c r="A102" s="45" t="s">
        <v>334</v>
      </c>
      <c r="B102" s="46" t="s">
        <v>335</v>
      </c>
      <c r="C102" s="46" t="s">
        <v>336</v>
      </c>
      <c r="D102" s="46" t="s">
        <v>59</v>
      </c>
    </row>
    <row r="103" spans="1:4" ht="39" x14ac:dyDescent="0.2">
      <c r="A103" s="45" t="s">
        <v>337</v>
      </c>
      <c r="B103" s="46" t="s">
        <v>338</v>
      </c>
      <c r="C103" s="46" t="s">
        <v>339</v>
      </c>
      <c r="D103" s="46" t="s">
        <v>63</v>
      </c>
    </row>
    <row r="104" spans="1:4" ht="39" x14ac:dyDescent="0.2">
      <c r="A104" s="45" t="s">
        <v>340</v>
      </c>
      <c r="B104" s="46" t="s">
        <v>341</v>
      </c>
      <c r="C104" s="46" t="s">
        <v>342</v>
      </c>
      <c r="D104" s="46" t="s">
        <v>59</v>
      </c>
    </row>
    <row r="105" spans="1:4" ht="39" x14ac:dyDescent="0.2">
      <c r="A105" s="45" t="s">
        <v>343</v>
      </c>
      <c r="B105" s="46" t="s">
        <v>344</v>
      </c>
      <c r="C105" s="46" t="s">
        <v>345</v>
      </c>
      <c r="D105" s="46" t="s">
        <v>63</v>
      </c>
    </row>
    <row r="106" spans="1:4" ht="26" x14ac:dyDescent="0.2">
      <c r="A106" s="45" t="s">
        <v>60</v>
      </c>
      <c r="B106" s="46" t="s">
        <v>62</v>
      </c>
      <c r="C106" s="46" t="s">
        <v>346</v>
      </c>
      <c r="D106" s="46" t="s">
        <v>347</v>
      </c>
    </row>
    <row r="107" spans="1:4" ht="26" x14ac:dyDescent="0.2">
      <c r="A107" s="45" t="s">
        <v>67</v>
      </c>
      <c r="B107" s="46" t="s">
        <v>69</v>
      </c>
      <c r="C107" s="46" t="s">
        <v>348</v>
      </c>
      <c r="D107" s="46" t="s">
        <v>347</v>
      </c>
    </row>
    <row r="108" spans="1:4" ht="26" x14ac:dyDescent="0.2">
      <c r="A108" s="45" t="s">
        <v>73</v>
      </c>
      <c r="B108" s="46" t="s">
        <v>75</v>
      </c>
      <c r="C108" s="46" t="s">
        <v>349</v>
      </c>
      <c r="D108" s="46" t="s">
        <v>347</v>
      </c>
    </row>
    <row r="109" spans="1:4" ht="26" x14ac:dyDescent="0.2">
      <c r="A109" s="45" t="s">
        <v>79</v>
      </c>
      <c r="B109" s="46" t="s">
        <v>81</v>
      </c>
      <c r="C109" s="46" t="s">
        <v>350</v>
      </c>
      <c r="D109" s="46" t="s">
        <v>347</v>
      </c>
    </row>
    <row r="110" spans="1:4" ht="26" x14ac:dyDescent="0.2">
      <c r="A110" s="45" t="s">
        <v>85</v>
      </c>
      <c r="B110" s="46" t="s">
        <v>87</v>
      </c>
      <c r="C110" s="46" t="s">
        <v>351</v>
      </c>
      <c r="D110" s="46" t="s">
        <v>347</v>
      </c>
    </row>
    <row r="111" spans="1:4" ht="26" x14ac:dyDescent="0.2">
      <c r="A111" s="45" t="s">
        <v>91</v>
      </c>
      <c r="B111" s="46" t="s">
        <v>93</v>
      </c>
      <c r="C111" s="46" t="s">
        <v>352</v>
      </c>
      <c r="D111" s="46" t="s">
        <v>347</v>
      </c>
    </row>
    <row r="112" spans="1:4" ht="39" x14ac:dyDescent="0.2">
      <c r="A112" s="45" t="s">
        <v>97</v>
      </c>
      <c r="B112" s="46" t="s">
        <v>99</v>
      </c>
      <c r="C112" s="46" t="s">
        <v>353</v>
      </c>
      <c r="D112" s="46" t="s">
        <v>347</v>
      </c>
    </row>
    <row r="113" spans="1:4" ht="39" x14ac:dyDescent="0.2">
      <c r="A113" s="45" t="s">
        <v>103</v>
      </c>
      <c r="B113" s="46" t="s">
        <v>105</v>
      </c>
      <c r="C113" s="46" t="s">
        <v>354</v>
      </c>
      <c r="D113" s="46" t="s">
        <v>347</v>
      </c>
    </row>
    <row r="114" spans="1:4" ht="39" x14ac:dyDescent="0.2">
      <c r="A114" s="45" t="s">
        <v>109</v>
      </c>
      <c r="B114" s="46" t="s">
        <v>111</v>
      </c>
      <c r="C114" s="46" t="s">
        <v>355</v>
      </c>
      <c r="D114" s="46" t="s">
        <v>347</v>
      </c>
    </row>
    <row r="115" spans="1:4" ht="39" x14ac:dyDescent="0.2">
      <c r="A115" s="45" t="s">
        <v>115</v>
      </c>
      <c r="B115" s="46" t="s">
        <v>117</v>
      </c>
      <c r="C115" s="46" t="s">
        <v>356</v>
      </c>
      <c r="D115" s="46" t="s">
        <v>347</v>
      </c>
    </row>
    <row r="116" spans="1:4" ht="39" x14ac:dyDescent="0.2">
      <c r="A116" s="45" t="s">
        <v>121</v>
      </c>
      <c r="B116" s="46" t="s">
        <v>123</v>
      </c>
      <c r="C116" s="46" t="s">
        <v>357</v>
      </c>
      <c r="D116" s="46" t="s">
        <v>347</v>
      </c>
    </row>
    <row r="117" spans="1:4" ht="39" x14ac:dyDescent="0.2">
      <c r="A117" s="45" t="s">
        <v>127</v>
      </c>
      <c r="B117" s="46" t="s">
        <v>129</v>
      </c>
      <c r="C117" s="46" t="s">
        <v>358</v>
      </c>
      <c r="D117" s="46" t="s">
        <v>347</v>
      </c>
    </row>
    <row r="118" spans="1:4" ht="39" x14ac:dyDescent="0.2">
      <c r="A118" s="45" t="s">
        <v>133</v>
      </c>
      <c r="B118" s="46" t="s">
        <v>135</v>
      </c>
      <c r="C118" s="46" t="s">
        <v>359</v>
      </c>
      <c r="D118" s="46" t="s">
        <v>347</v>
      </c>
    </row>
    <row r="119" spans="1:4" ht="39" x14ac:dyDescent="0.2">
      <c r="A119" s="45" t="s">
        <v>139</v>
      </c>
      <c r="B119" s="46" t="s">
        <v>141</v>
      </c>
      <c r="C119" s="46" t="s">
        <v>360</v>
      </c>
      <c r="D119" s="46" t="s">
        <v>347</v>
      </c>
    </row>
    <row r="120" spans="1:4" ht="39" x14ac:dyDescent="0.2">
      <c r="A120" s="45" t="s">
        <v>145</v>
      </c>
      <c r="B120" s="46" t="s">
        <v>147</v>
      </c>
      <c r="C120" s="46" t="s">
        <v>361</v>
      </c>
      <c r="D120" s="46" t="s">
        <v>347</v>
      </c>
    </row>
    <row r="121" spans="1:4" ht="39" x14ac:dyDescent="0.2">
      <c r="A121" s="45" t="s">
        <v>151</v>
      </c>
      <c r="B121" s="46" t="s">
        <v>153</v>
      </c>
      <c r="C121" s="46" t="s">
        <v>362</v>
      </c>
      <c r="D121" s="46" t="s">
        <v>347</v>
      </c>
    </row>
    <row r="122" spans="1:4" ht="39" x14ac:dyDescent="0.2">
      <c r="A122" s="45" t="s">
        <v>157</v>
      </c>
      <c r="B122" s="46" t="s">
        <v>159</v>
      </c>
      <c r="C122" s="46" t="s">
        <v>363</v>
      </c>
      <c r="D122" s="46" t="s">
        <v>347</v>
      </c>
    </row>
    <row r="123" spans="1:4" ht="39" x14ac:dyDescent="0.2">
      <c r="A123" s="45" t="s">
        <v>163</v>
      </c>
      <c r="B123" s="46" t="s">
        <v>165</v>
      </c>
      <c r="C123" s="46" t="s">
        <v>364</v>
      </c>
      <c r="D123" s="46" t="s">
        <v>347</v>
      </c>
    </row>
    <row r="124" spans="1:4" ht="39" x14ac:dyDescent="0.2">
      <c r="A124" s="45" t="s">
        <v>169</v>
      </c>
      <c r="B124" s="46" t="s">
        <v>171</v>
      </c>
      <c r="C124" s="46" t="s">
        <v>365</v>
      </c>
      <c r="D124" s="46" t="s">
        <v>347</v>
      </c>
    </row>
    <row r="125" spans="1:4" ht="39" x14ac:dyDescent="0.2">
      <c r="A125" s="45" t="s">
        <v>175</v>
      </c>
      <c r="B125" s="46" t="s">
        <v>177</v>
      </c>
      <c r="C125" s="46" t="s">
        <v>366</v>
      </c>
      <c r="D125" s="46" t="s">
        <v>347</v>
      </c>
    </row>
    <row r="126" spans="1:4" ht="39" x14ac:dyDescent="0.2">
      <c r="A126" s="45" t="s">
        <v>181</v>
      </c>
      <c r="B126" s="46" t="s">
        <v>183</v>
      </c>
      <c r="C126" s="46" t="s">
        <v>367</v>
      </c>
      <c r="D126" s="46" t="s">
        <v>347</v>
      </c>
    </row>
    <row r="127" spans="1:4" ht="39" x14ac:dyDescent="0.2">
      <c r="A127" s="45" t="s">
        <v>187</v>
      </c>
      <c r="B127" s="46" t="s">
        <v>189</v>
      </c>
      <c r="C127" s="46" t="s">
        <v>368</v>
      </c>
      <c r="D127" s="46" t="s">
        <v>347</v>
      </c>
    </row>
    <row r="128" spans="1:4" ht="39" x14ac:dyDescent="0.2">
      <c r="A128" s="45" t="s">
        <v>193</v>
      </c>
      <c r="B128" s="46" t="s">
        <v>195</v>
      </c>
      <c r="C128" s="46" t="s">
        <v>369</v>
      </c>
      <c r="D128" s="46" t="s">
        <v>347</v>
      </c>
    </row>
    <row r="129" spans="1:4" ht="39" x14ac:dyDescent="0.2">
      <c r="A129" s="45" t="s">
        <v>199</v>
      </c>
      <c r="B129" s="46" t="s">
        <v>201</v>
      </c>
      <c r="C129" s="46" t="s">
        <v>370</v>
      </c>
      <c r="D129" s="46" t="s">
        <v>347</v>
      </c>
    </row>
    <row r="130" spans="1:4" ht="39" x14ac:dyDescent="0.2">
      <c r="A130" s="45" t="s">
        <v>205</v>
      </c>
      <c r="B130" s="46" t="s">
        <v>207</v>
      </c>
      <c r="C130" s="46" t="s">
        <v>371</v>
      </c>
      <c r="D130" s="46" t="s">
        <v>347</v>
      </c>
    </row>
    <row r="131" spans="1:4" ht="39" x14ac:dyDescent="0.2">
      <c r="A131" s="45" t="s">
        <v>211</v>
      </c>
      <c r="B131" s="46" t="s">
        <v>213</v>
      </c>
      <c r="C131" s="46" t="s">
        <v>372</v>
      </c>
      <c r="D131" s="46" t="s">
        <v>347</v>
      </c>
    </row>
    <row r="132" spans="1:4" ht="39" x14ac:dyDescent="0.2">
      <c r="A132" s="45" t="s">
        <v>217</v>
      </c>
      <c r="B132" s="46" t="s">
        <v>219</v>
      </c>
      <c r="C132" s="46" t="s">
        <v>373</v>
      </c>
      <c r="D132" s="46" t="s">
        <v>347</v>
      </c>
    </row>
    <row r="133" spans="1:4" ht="39" x14ac:dyDescent="0.2">
      <c r="A133" s="45" t="s">
        <v>223</v>
      </c>
      <c r="B133" s="46" t="s">
        <v>225</v>
      </c>
      <c r="C133" s="46" t="s">
        <v>374</v>
      </c>
      <c r="D133" s="46" t="s">
        <v>347</v>
      </c>
    </row>
    <row r="134" spans="1:4" ht="39" x14ac:dyDescent="0.2">
      <c r="A134" s="45" t="s">
        <v>229</v>
      </c>
      <c r="B134" s="46" t="s">
        <v>231</v>
      </c>
      <c r="C134" s="46" t="s">
        <v>375</v>
      </c>
      <c r="D134" s="46" t="s">
        <v>347</v>
      </c>
    </row>
    <row r="135" spans="1:4" ht="39" x14ac:dyDescent="0.2">
      <c r="A135" s="45" t="s">
        <v>235</v>
      </c>
      <c r="B135" s="46" t="s">
        <v>237</v>
      </c>
      <c r="C135" s="46" t="s">
        <v>376</v>
      </c>
      <c r="D135" s="46" t="s">
        <v>347</v>
      </c>
    </row>
    <row r="136" spans="1:4" ht="39" x14ac:dyDescent="0.2">
      <c r="A136" s="45" t="s">
        <v>241</v>
      </c>
      <c r="B136" s="46" t="s">
        <v>243</v>
      </c>
      <c r="C136" s="46" t="s">
        <v>377</v>
      </c>
      <c r="D136" s="46" t="s">
        <v>347</v>
      </c>
    </row>
    <row r="137" spans="1:4" ht="39" x14ac:dyDescent="0.2">
      <c r="A137" s="45" t="s">
        <v>247</v>
      </c>
      <c r="B137" s="46" t="s">
        <v>249</v>
      </c>
      <c r="C137" s="46" t="s">
        <v>378</v>
      </c>
      <c r="D137" s="46" t="s">
        <v>347</v>
      </c>
    </row>
    <row r="138" spans="1:4" ht="39" x14ac:dyDescent="0.2">
      <c r="A138" s="45" t="s">
        <v>253</v>
      </c>
      <c r="B138" s="46" t="s">
        <v>255</v>
      </c>
      <c r="C138" s="46" t="s">
        <v>379</v>
      </c>
      <c r="D138" s="46" t="s">
        <v>347</v>
      </c>
    </row>
    <row r="139" spans="1:4" ht="39" x14ac:dyDescent="0.2">
      <c r="A139" s="45" t="s">
        <v>259</v>
      </c>
      <c r="B139" s="46" t="s">
        <v>261</v>
      </c>
      <c r="C139" s="46" t="s">
        <v>380</v>
      </c>
      <c r="D139" s="46" t="s">
        <v>347</v>
      </c>
    </row>
    <row r="140" spans="1:4" ht="39" x14ac:dyDescent="0.2">
      <c r="A140" s="45" t="s">
        <v>265</v>
      </c>
      <c r="B140" s="46" t="s">
        <v>267</v>
      </c>
      <c r="C140" s="46" t="s">
        <v>381</v>
      </c>
      <c r="D140" s="46" t="s">
        <v>347</v>
      </c>
    </row>
    <row r="141" spans="1:4" ht="39" x14ac:dyDescent="0.2">
      <c r="A141" s="45" t="s">
        <v>271</v>
      </c>
      <c r="B141" s="46" t="s">
        <v>273</v>
      </c>
      <c r="C141" s="46" t="s">
        <v>382</v>
      </c>
      <c r="D141" s="46" t="s">
        <v>347</v>
      </c>
    </row>
    <row r="142" spans="1:4" ht="39" x14ac:dyDescent="0.2">
      <c r="A142" s="45" t="s">
        <v>277</v>
      </c>
      <c r="B142" s="46" t="s">
        <v>279</v>
      </c>
      <c r="C142" s="46" t="s">
        <v>383</v>
      </c>
      <c r="D142" s="46" t="s">
        <v>347</v>
      </c>
    </row>
    <row r="143" spans="1:4" ht="39" x14ac:dyDescent="0.2">
      <c r="A143" s="45" t="s">
        <v>283</v>
      </c>
      <c r="B143" s="46" t="s">
        <v>285</v>
      </c>
      <c r="C143" s="46" t="s">
        <v>384</v>
      </c>
      <c r="D143" s="46" t="s">
        <v>347</v>
      </c>
    </row>
    <row r="144" spans="1:4" ht="39" x14ac:dyDescent="0.2">
      <c r="A144" s="45" t="s">
        <v>289</v>
      </c>
      <c r="B144" s="46" t="s">
        <v>291</v>
      </c>
      <c r="C144" s="46" t="s">
        <v>385</v>
      </c>
      <c r="D144" s="46" t="s">
        <v>347</v>
      </c>
    </row>
    <row r="145" spans="1:4" ht="39" x14ac:dyDescent="0.2">
      <c r="A145" s="45" t="s">
        <v>295</v>
      </c>
      <c r="B145" s="46" t="s">
        <v>297</v>
      </c>
      <c r="C145" s="46" t="s">
        <v>386</v>
      </c>
      <c r="D145" s="46" t="s">
        <v>347</v>
      </c>
    </row>
    <row r="146" spans="1:4" ht="39" x14ac:dyDescent="0.2">
      <c r="A146" s="45" t="s">
        <v>301</v>
      </c>
      <c r="B146" s="46" t="s">
        <v>303</v>
      </c>
      <c r="C146" s="46" t="s">
        <v>387</v>
      </c>
      <c r="D146" s="46" t="s">
        <v>347</v>
      </c>
    </row>
    <row r="147" spans="1:4" ht="39" x14ac:dyDescent="0.2">
      <c r="A147" s="45" t="s">
        <v>307</v>
      </c>
      <c r="B147" s="46" t="s">
        <v>309</v>
      </c>
      <c r="C147" s="46" t="s">
        <v>388</v>
      </c>
      <c r="D147" s="46" t="s">
        <v>347</v>
      </c>
    </row>
    <row r="148" spans="1:4" ht="39" x14ac:dyDescent="0.2">
      <c r="A148" s="45" t="s">
        <v>313</v>
      </c>
      <c r="B148" s="46" t="s">
        <v>315</v>
      </c>
      <c r="C148" s="46" t="s">
        <v>389</v>
      </c>
      <c r="D148" s="46" t="s">
        <v>347</v>
      </c>
    </row>
    <row r="149" spans="1:4" ht="39" x14ac:dyDescent="0.2">
      <c r="A149" s="45" t="s">
        <v>319</v>
      </c>
      <c r="B149" s="46" t="s">
        <v>321</v>
      </c>
      <c r="C149" s="46" t="s">
        <v>390</v>
      </c>
      <c r="D149" s="46" t="s">
        <v>347</v>
      </c>
    </row>
    <row r="150" spans="1:4" ht="39" x14ac:dyDescent="0.2">
      <c r="A150" s="45" t="s">
        <v>325</v>
      </c>
      <c r="B150" s="46" t="s">
        <v>327</v>
      </c>
      <c r="C150" s="46" t="s">
        <v>391</v>
      </c>
      <c r="D150" s="46" t="s">
        <v>347</v>
      </c>
    </row>
    <row r="151" spans="1:4" ht="39" x14ac:dyDescent="0.2">
      <c r="A151" s="45" t="s">
        <v>331</v>
      </c>
      <c r="B151" s="46" t="s">
        <v>333</v>
      </c>
      <c r="C151" s="46" t="s">
        <v>392</v>
      </c>
      <c r="D151" s="46" t="s">
        <v>347</v>
      </c>
    </row>
    <row r="152" spans="1:4" ht="39" x14ac:dyDescent="0.2">
      <c r="A152" s="45" t="s">
        <v>337</v>
      </c>
      <c r="B152" s="46" t="s">
        <v>339</v>
      </c>
      <c r="C152" s="46" t="s">
        <v>393</v>
      </c>
      <c r="D152" s="46" t="s">
        <v>347</v>
      </c>
    </row>
    <row r="153" spans="1:4" ht="39" x14ac:dyDescent="0.2">
      <c r="A153" s="45" t="s">
        <v>343</v>
      </c>
      <c r="B153" s="46" t="s">
        <v>345</v>
      </c>
      <c r="C153" s="46" t="s">
        <v>394</v>
      </c>
      <c r="D153" s="46" t="s">
        <v>347</v>
      </c>
    </row>
    <row r="154" spans="1:4" x14ac:dyDescent="0.2">
      <c r="A154" s="45" t="s">
        <v>395</v>
      </c>
      <c r="B154" s="46" t="s">
        <v>396</v>
      </c>
      <c r="C154" s="46" t="s">
        <v>15</v>
      </c>
      <c r="D154" s="46" t="s">
        <v>397</v>
      </c>
    </row>
    <row r="155" spans="1:4" ht="26" x14ac:dyDescent="0.2">
      <c r="A155" s="45" t="s">
        <v>398</v>
      </c>
      <c r="B155" s="46" t="s">
        <v>399</v>
      </c>
      <c r="C155" s="46" t="s">
        <v>400</v>
      </c>
      <c r="D155" s="46" t="s">
        <v>401</v>
      </c>
    </row>
    <row r="156" spans="1:4" ht="26" x14ac:dyDescent="0.2">
      <c r="A156" s="45" t="s">
        <v>402</v>
      </c>
      <c r="B156" s="46" t="s">
        <v>403</v>
      </c>
      <c r="C156" s="46" t="s">
        <v>404</v>
      </c>
      <c r="D156" s="46" t="s">
        <v>401</v>
      </c>
    </row>
    <row r="157" spans="1:4" ht="26" x14ac:dyDescent="0.2">
      <c r="A157" s="45" t="s">
        <v>405</v>
      </c>
      <c r="B157" s="46" t="s">
        <v>406</v>
      </c>
      <c r="C157" s="46" t="s">
        <v>407</v>
      </c>
      <c r="D157" s="46" t="s">
        <v>401</v>
      </c>
    </row>
    <row r="158" spans="1:4" ht="26" x14ac:dyDescent="0.2">
      <c r="A158" s="45" t="s">
        <v>408</v>
      </c>
      <c r="B158" s="46" t="s">
        <v>409</v>
      </c>
      <c r="C158" s="46" t="s">
        <v>410</v>
      </c>
      <c r="D158" s="46" t="s">
        <v>401</v>
      </c>
    </row>
    <row r="159" spans="1:4" ht="26" x14ac:dyDescent="0.2">
      <c r="A159" s="45" t="s">
        <v>411</v>
      </c>
      <c r="B159" s="46" t="s">
        <v>412</v>
      </c>
      <c r="C159" s="46" t="s">
        <v>413</v>
      </c>
      <c r="D159" s="46" t="s">
        <v>401</v>
      </c>
    </row>
    <row r="160" spans="1:4" ht="26" x14ac:dyDescent="0.2">
      <c r="A160" s="45" t="s">
        <v>414</v>
      </c>
      <c r="B160" s="46" t="s">
        <v>415</v>
      </c>
      <c r="C160" s="46" t="s">
        <v>416</v>
      </c>
      <c r="D160" s="46" t="s">
        <v>401</v>
      </c>
    </row>
    <row r="161" spans="1:4" ht="26" x14ac:dyDescent="0.2">
      <c r="A161" s="45" t="s">
        <v>417</v>
      </c>
      <c r="B161" s="46" t="s">
        <v>418</v>
      </c>
      <c r="C161" s="46" t="s">
        <v>419</v>
      </c>
      <c r="D161" s="46" t="s">
        <v>401</v>
      </c>
    </row>
    <row r="162" spans="1:4" ht="26" x14ac:dyDescent="0.2">
      <c r="A162" s="45" t="s">
        <v>420</v>
      </c>
      <c r="B162" s="46" t="s">
        <v>421</v>
      </c>
      <c r="C162" s="46" t="s">
        <v>422</v>
      </c>
      <c r="D162" s="46" t="s">
        <v>401</v>
      </c>
    </row>
    <row r="163" spans="1:4" ht="26" x14ac:dyDescent="0.2">
      <c r="A163" s="45" t="s">
        <v>423</v>
      </c>
      <c r="B163" s="46" t="s">
        <v>424</v>
      </c>
      <c r="C163" s="46" t="s">
        <v>425</v>
      </c>
      <c r="D163" s="46" t="s">
        <v>401</v>
      </c>
    </row>
    <row r="164" spans="1:4" ht="26" x14ac:dyDescent="0.2">
      <c r="A164" s="45" t="s">
        <v>426</v>
      </c>
      <c r="B164" s="46" t="s">
        <v>427</v>
      </c>
      <c r="C164" s="46" t="s">
        <v>428</v>
      </c>
      <c r="D164" s="46" t="s">
        <v>401</v>
      </c>
    </row>
    <row r="165" spans="1:4" ht="26" x14ac:dyDescent="0.2">
      <c r="A165" s="45" t="s">
        <v>429</v>
      </c>
      <c r="B165" s="46" t="s">
        <v>430</v>
      </c>
      <c r="C165" s="46" t="s">
        <v>431</v>
      </c>
      <c r="D165" s="46" t="s">
        <v>401</v>
      </c>
    </row>
    <row r="166" spans="1:4" ht="26" x14ac:dyDescent="0.2">
      <c r="A166" s="45" t="s">
        <v>432</v>
      </c>
      <c r="B166" s="46" t="s">
        <v>433</v>
      </c>
      <c r="C166" s="46" t="s">
        <v>434</v>
      </c>
      <c r="D166" s="46" t="s">
        <v>401</v>
      </c>
    </row>
    <row r="167" spans="1:4" ht="26" x14ac:dyDescent="0.2">
      <c r="A167" s="45" t="s">
        <v>435</v>
      </c>
      <c r="B167" s="46" t="s">
        <v>436</v>
      </c>
      <c r="C167" s="46" t="s">
        <v>437</v>
      </c>
      <c r="D167" s="46" t="s">
        <v>401</v>
      </c>
    </row>
    <row r="168" spans="1:4" ht="26" x14ac:dyDescent="0.2">
      <c r="A168" s="45" t="s">
        <v>438</v>
      </c>
      <c r="B168" s="46" t="s">
        <v>439</v>
      </c>
      <c r="C168" s="46" t="s">
        <v>440</v>
      </c>
      <c r="D168" s="46" t="s">
        <v>401</v>
      </c>
    </row>
    <row r="169" spans="1:4" ht="26" x14ac:dyDescent="0.2">
      <c r="A169" s="45" t="s">
        <v>441</v>
      </c>
      <c r="B169" s="46" t="s">
        <v>442</v>
      </c>
      <c r="C169" s="46" t="s">
        <v>443</v>
      </c>
      <c r="D169" s="46" t="s">
        <v>401</v>
      </c>
    </row>
    <row r="170" spans="1:4" ht="26" x14ac:dyDescent="0.2">
      <c r="A170" s="45" t="s">
        <v>444</v>
      </c>
      <c r="B170" s="46" t="s">
        <v>445</v>
      </c>
      <c r="C170" s="46" t="s">
        <v>446</v>
      </c>
      <c r="D170" s="46" t="s">
        <v>401</v>
      </c>
    </row>
    <row r="171" spans="1:4" ht="26" x14ac:dyDescent="0.2">
      <c r="A171" s="45" t="s">
        <v>447</v>
      </c>
      <c r="B171" s="46" t="s">
        <v>448</v>
      </c>
      <c r="C171" s="46" t="s">
        <v>449</v>
      </c>
      <c r="D171" s="46" t="s">
        <v>401</v>
      </c>
    </row>
    <row r="172" spans="1:4" ht="26" x14ac:dyDescent="0.2">
      <c r="A172" s="45" t="s">
        <v>450</v>
      </c>
      <c r="B172" s="46" t="s">
        <v>451</v>
      </c>
      <c r="C172" s="46" t="s">
        <v>452</v>
      </c>
      <c r="D172" s="46" t="s">
        <v>401</v>
      </c>
    </row>
    <row r="173" spans="1:4" ht="26" x14ac:dyDescent="0.2">
      <c r="A173" s="45" t="s">
        <v>453</v>
      </c>
      <c r="B173" s="46" t="s">
        <v>454</v>
      </c>
      <c r="C173" s="46" t="s">
        <v>455</v>
      </c>
      <c r="D173" s="46" t="s">
        <v>401</v>
      </c>
    </row>
    <row r="174" spans="1:4" ht="26" x14ac:dyDescent="0.2">
      <c r="A174" s="45" t="s">
        <v>456</v>
      </c>
      <c r="B174" s="46" t="s">
        <v>457</v>
      </c>
      <c r="C174" s="46" t="s">
        <v>458</v>
      </c>
      <c r="D174" s="46" t="s">
        <v>401</v>
      </c>
    </row>
    <row r="175" spans="1:4" ht="26" x14ac:dyDescent="0.2">
      <c r="A175" s="45" t="s">
        <v>459</v>
      </c>
      <c r="B175" s="46" t="s">
        <v>460</v>
      </c>
      <c r="C175" s="46" t="s">
        <v>461</v>
      </c>
      <c r="D175" s="46" t="s">
        <v>401</v>
      </c>
    </row>
    <row r="176" spans="1:4" ht="26" x14ac:dyDescent="0.2">
      <c r="A176" s="45" t="s">
        <v>462</v>
      </c>
      <c r="B176" s="46" t="s">
        <v>463</v>
      </c>
      <c r="C176" s="46" t="s">
        <v>464</v>
      </c>
      <c r="D176" s="46" t="s">
        <v>401</v>
      </c>
    </row>
    <row r="177" spans="1:4" ht="26" x14ac:dyDescent="0.2">
      <c r="A177" s="45" t="s">
        <v>465</v>
      </c>
      <c r="B177" s="46" t="s">
        <v>466</v>
      </c>
      <c r="C177" s="46" t="s">
        <v>467</v>
      </c>
      <c r="D177" s="46" t="s">
        <v>401</v>
      </c>
    </row>
    <row r="178" spans="1:4" ht="26" x14ac:dyDescent="0.2">
      <c r="A178" s="45" t="s">
        <v>468</v>
      </c>
      <c r="B178" s="46" t="s">
        <v>469</v>
      </c>
      <c r="C178" s="46" t="s">
        <v>470</v>
      </c>
      <c r="D178" s="46" t="s">
        <v>401</v>
      </c>
    </row>
    <row r="179" spans="1:4" ht="26" x14ac:dyDescent="0.2">
      <c r="A179" s="45" t="s">
        <v>471</v>
      </c>
      <c r="B179" s="46" t="s">
        <v>472</v>
      </c>
      <c r="C179" s="46" t="s">
        <v>473</v>
      </c>
      <c r="D179" s="46" t="s">
        <v>401</v>
      </c>
    </row>
    <row r="180" spans="1:4" ht="26" x14ac:dyDescent="0.2">
      <c r="A180" s="45" t="s">
        <v>474</v>
      </c>
      <c r="B180" s="46" t="s">
        <v>475</v>
      </c>
      <c r="C180" s="46" t="s">
        <v>476</v>
      </c>
      <c r="D180" s="46" t="s">
        <v>401</v>
      </c>
    </row>
    <row r="181" spans="1:4" ht="26" x14ac:dyDescent="0.2">
      <c r="A181" s="45" t="s">
        <v>477</v>
      </c>
      <c r="B181" s="46" t="s">
        <v>478</v>
      </c>
      <c r="C181" s="46" t="s">
        <v>479</v>
      </c>
      <c r="D181" s="46" t="s">
        <v>401</v>
      </c>
    </row>
    <row r="182" spans="1:4" ht="26" x14ac:dyDescent="0.2">
      <c r="A182" s="45" t="s">
        <v>480</v>
      </c>
      <c r="B182" s="46" t="s">
        <v>481</v>
      </c>
      <c r="C182" s="46" t="s">
        <v>482</v>
      </c>
      <c r="D182" s="46" t="s">
        <v>401</v>
      </c>
    </row>
    <row r="183" spans="1:4" ht="26" x14ac:dyDescent="0.2">
      <c r="A183" s="45" t="s">
        <v>483</v>
      </c>
      <c r="B183" s="46" t="s">
        <v>484</v>
      </c>
      <c r="C183" s="46" t="s">
        <v>485</v>
      </c>
      <c r="D183" s="46" t="s">
        <v>401</v>
      </c>
    </row>
    <row r="184" spans="1:4" ht="26" x14ac:dyDescent="0.2">
      <c r="A184" s="45" t="s">
        <v>486</v>
      </c>
      <c r="B184" s="46" t="s">
        <v>487</v>
      </c>
      <c r="C184" s="46" t="s">
        <v>488</v>
      </c>
      <c r="D184" s="46" t="s">
        <v>401</v>
      </c>
    </row>
    <row r="185" spans="1:4" ht="26" x14ac:dyDescent="0.2">
      <c r="A185" s="45" t="s">
        <v>489</v>
      </c>
      <c r="B185" s="46" t="s">
        <v>490</v>
      </c>
      <c r="C185" s="46" t="s">
        <v>491</v>
      </c>
      <c r="D185" s="46" t="s">
        <v>401</v>
      </c>
    </row>
    <row r="186" spans="1:4" ht="26" x14ac:dyDescent="0.2">
      <c r="A186" s="45" t="s">
        <v>492</v>
      </c>
      <c r="B186" s="46" t="s">
        <v>493</v>
      </c>
      <c r="C186" s="46" t="s">
        <v>494</v>
      </c>
      <c r="D186" s="46" t="s">
        <v>401</v>
      </c>
    </row>
    <row r="187" spans="1:4" ht="26" x14ac:dyDescent="0.2">
      <c r="A187" s="45" t="s">
        <v>495</v>
      </c>
      <c r="B187" s="46" t="s">
        <v>496</v>
      </c>
      <c r="C187" s="46" t="s">
        <v>497</v>
      </c>
      <c r="D187" s="46" t="s">
        <v>401</v>
      </c>
    </row>
    <row r="188" spans="1:4" ht="26" x14ac:dyDescent="0.2">
      <c r="A188" s="45" t="s">
        <v>498</v>
      </c>
      <c r="B188" s="46" t="s">
        <v>499</v>
      </c>
      <c r="C188" s="46" t="s">
        <v>500</v>
      </c>
      <c r="D188" s="46" t="s">
        <v>401</v>
      </c>
    </row>
    <row r="189" spans="1:4" ht="26" x14ac:dyDescent="0.2">
      <c r="A189" s="45" t="s">
        <v>501</v>
      </c>
      <c r="B189" s="46" t="s">
        <v>502</v>
      </c>
      <c r="C189" s="46" t="s">
        <v>503</v>
      </c>
      <c r="D189" s="46" t="s">
        <v>401</v>
      </c>
    </row>
    <row r="190" spans="1:4" ht="26" x14ac:dyDescent="0.2">
      <c r="A190" s="45" t="s">
        <v>504</v>
      </c>
      <c r="B190" s="46" t="s">
        <v>505</v>
      </c>
      <c r="C190" s="46" t="s">
        <v>506</v>
      </c>
      <c r="D190" s="46" t="s">
        <v>401</v>
      </c>
    </row>
    <row r="191" spans="1:4" ht="26" x14ac:dyDescent="0.2">
      <c r="A191" s="45" t="s">
        <v>507</v>
      </c>
      <c r="B191" s="46" t="s">
        <v>508</v>
      </c>
      <c r="C191" s="46" t="s">
        <v>509</v>
      </c>
      <c r="D191" s="46" t="s">
        <v>401</v>
      </c>
    </row>
    <row r="192" spans="1:4" ht="26" x14ac:dyDescent="0.2">
      <c r="A192" s="45" t="s">
        <v>510</v>
      </c>
      <c r="B192" s="46" t="s">
        <v>511</v>
      </c>
      <c r="C192" s="46" t="s">
        <v>512</v>
      </c>
      <c r="D192" s="46" t="s">
        <v>401</v>
      </c>
    </row>
    <row r="193" spans="1:4" ht="26" x14ac:dyDescent="0.2">
      <c r="A193" s="45" t="s">
        <v>513</v>
      </c>
      <c r="B193" s="46" t="s">
        <v>514</v>
      </c>
      <c r="C193" s="46" t="s">
        <v>515</v>
      </c>
      <c r="D193" s="46" t="s">
        <v>401</v>
      </c>
    </row>
    <row r="194" spans="1:4" ht="26" x14ac:dyDescent="0.2">
      <c r="A194" s="45" t="s">
        <v>516</v>
      </c>
      <c r="B194" s="46" t="s">
        <v>517</v>
      </c>
      <c r="C194" s="46" t="s">
        <v>518</v>
      </c>
      <c r="D194" s="46" t="s">
        <v>401</v>
      </c>
    </row>
    <row r="195" spans="1:4" ht="26" x14ac:dyDescent="0.2">
      <c r="A195" s="45" t="s">
        <v>519</v>
      </c>
      <c r="B195" s="46" t="s">
        <v>520</v>
      </c>
      <c r="C195" s="46" t="s">
        <v>521</v>
      </c>
      <c r="D195" s="46" t="s">
        <v>401</v>
      </c>
    </row>
    <row r="196" spans="1:4" ht="26" x14ac:dyDescent="0.2">
      <c r="A196" s="45" t="s">
        <v>522</v>
      </c>
      <c r="B196" s="46" t="s">
        <v>523</v>
      </c>
      <c r="C196" s="46" t="s">
        <v>524</v>
      </c>
      <c r="D196" s="46" t="s">
        <v>401</v>
      </c>
    </row>
    <row r="197" spans="1:4" ht="26" x14ac:dyDescent="0.2">
      <c r="A197" s="45" t="s">
        <v>525</v>
      </c>
      <c r="B197" s="46" t="s">
        <v>526</v>
      </c>
      <c r="C197" s="46" t="s">
        <v>527</v>
      </c>
      <c r="D197" s="46" t="s">
        <v>401</v>
      </c>
    </row>
    <row r="198" spans="1:4" ht="26" x14ac:dyDescent="0.2">
      <c r="A198" s="45" t="s">
        <v>528</v>
      </c>
      <c r="B198" s="46" t="s">
        <v>529</v>
      </c>
      <c r="C198" s="46" t="s">
        <v>530</v>
      </c>
      <c r="D198" s="46" t="s">
        <v>401</v>
      </c>
    </row>
    <row r="199" spans="1:4" ht="26" x14ac:dyDescent="0.2">
      <c r="A199" s="45" t="s">
        <v>531</v>
      </c>
      <c r="B199" s="46" t="s">
        <v>532</v>
      </c>
      <c r="C199" s="46" t="s">
        <v>533</v>
      </c>
      <c r="D199" s="46" t="s">
        <v>401</v>
      </c>
    </row>
    <row r="200" spans="1:4" ht="26" x14ac:dyDescent="0.2">
      <c r="A200" s="45" t="s">
        <v>534</v>
      </c>
      <c r="B200" s="46" t="s">
        <v>535</v>
      </c>
      <c r="C200" s="46" t="s">
        <v>536</v>
      </c>
      <c r="D200" s="46" t="s">
        <v>401</v>
      </c>
    </row>
    <row r="201" spans="1:4" ht="26" x14ac:dyDescent="0.2">
      <c r="A201" s="45" t="s">
        <v>537</v>
      </c>
      <c r="B201" s="46" t="s">
        <v>538</v>
      </c>
      <c r="C201" s="46" t="s">
        <v>539</v>
      </c>
      <c r="D201" s="46" t="s">
        <v>401</v>
      </c>
    </row>
    <row r="202" spans="1:4" ht="26" x14ac:dyDescent="0.2">
      <c r="A202" s="45" t="s">
        <v>540</v>
      </c>
      <c r="B202" s="46" t="s">
        <v>541</v>
      </c>
      <c r="C202" s="46" t="s">
        <v>542</v>
      </c>
      <c r="D202" s="46" t="s">
        <v>401</v>
      </c>
    </row>
    <row r="203" spans="1:4" ht="26" x14ac:dyDescent="0.2">
      <c r="A203" s="45" t="s">
        <v>543</v>
      </c>
      <c r="B203" s="46" t="s">
        <v>544</v>
      </c>
      <c r="C203" s="46" t="s">
        <v>545</v>
      </c>
      <c r="D203" s="46" t="s">
        <v>401</v>
      </c>
    </row>
    <row r="204" spans="1:4" ht="26" x14ac:dyDescent="0.2">
      <c r="A204" s="45" t="s">
        <v>546</v>
      </c>
      <c r="B204" s="46" t="s">
        <v>547</v>
      </c>
      <c r="C204" s="46" t="s">
        <v>548</v>
      </c>
      <c r="D204" s="46" t="s">
        <v>401</v>
      </c>
    </row>
    <row r="205" spans="1:4" ht="26" x14ac:dyDescent="0.2">
      <c r="A205" s="45" t="s">
        <v>549</v>
      </c>
      <c r="B205" s="46" t="s">
        <v>550</v>
      </c>
      <c r="C205" s="46" t="s">
        <v>551</v>
      </c>
      <c r="D205" s="46" t="s">
        <v>401</v>
      </c>
    </row>
    <row r="206" spans="1:4" ht="26" x14ac:dyDescent="0.2">
      <c r="A206" s="45" t="s">
        <v>552</v>
      </c>
      <c r="B206" s="46" t="s">
        <v>553</v>
      </c>
      <c r="C206" s="46" t="s">
        <v>554</v>
      </c>
      <c r="D206" s="46" t="s">
        <v>401</v>
      </c>
    </row>
    <row r="207" spans="1:4" ht="26" x14ac:dyDescent="0.2">
      <c r="A207" s="45" t="s">
        <v>555</v>
      </c>
      <c r="B207" s="46" t="s">
        <v>556</v>
      </c>
      <c r="C207" s="46" t="s">
        <v>557</v>
      </c>
      <c r="D207" s="46" t="s">
        <v>401</v>
      </c>
    </row>
    <row r="208" spans="1:4" ht="26" x14ac:dyDescent="0.2">
      <c r="A208" s="45" t="s">
        <v>558</v>
      </c>
      <c r="B208" s="46" t="s">
        <v>559</v>
      </c>
      <c r="C208" s="46" t="s">
        <v>560</v>
      </c>
      <c r="D208" s="46" t="s">
        <v>401</v>
      </c>
    </row>
    <row r="209" spans="1:4" ht="26" x14ac:dyDescent="0.2">
      <c r="A209" s="45" t="s">
        <v>561</v>
      </c>
      <c r="B209" s="46" t="s">
        <v>562</v>
      </c>
      <c r="C209" s="46" t="s">
        <v>563</v>
      </c>
      <c r="D209" s="46" t="s">
        <v>401</v>
      </c>
    </row>
    <row r="210" spans="1:4" ht="26" x14ac:dyDescent="0.2">
      <c r="A210" s="45" t="s">
        <v>564</v>
      </c>
      <c r="B210" s="46" t="s">
        <v>565</v>
      </c>
      <c r="C210" s="46" t="s">
        <v>566</v>
      </c>
      <c r="D210" s="46" t="s">
        <v>401</v>
      </c>
    </row>
    <row r="211" spans="1:4" ht="26" x14ac:dyDescent="0.2">
      <c r="A211" s="45" t="s">
        <v>567</v>
      </c>
      <c r="B211" s="46" t="s">
        <v>568</v>
      </c>
      <c r="C211" s="46" t="s">
        <v>569</v>
      </c>
      <c r="D211" s="46" t="s">
        <v>401</v>
      </c>
    </row>
    <row r="212" spans="1:4" ht="26" x14ac:dyDescent="0.2">
      <c r="A212" s="45" t="s">
        <v>570</v>
      </c>
      <c r="B212" s="46" t="s">
        <v>571</v>
      </c>
      <c r="C212" s="46" t="s">
        <v>572</v>
      </c>
      <c r="D212" s="46" t="s">
        <v>401</v>
      </c>
    </row>
    <row r="213" spans="1:4" ht="26" x14ac:dyDescent="0.2">
      <c r="A213" s="45" t="s">
        <v>573</v>
      </c>
      <c r="B213" s="46" t="s">
        <v>574</v>
      </c>
      <c r="C213" s="46" t="s">
        <v>575</v>
      </c>
      <c r="D213" s="46" t="s">
        <v>401</v>
      </c>
    </row>
    <row r="214" spans="1:4" ht="26" x14ac:dyDescent="0.2">
      <c r="A214" s="45" t="s">
        <v>576</v>
      </c>
      <c r="B214" s="46" t="s">
        <v>577</v>
      </c>
      <c r="C214" s="46" t="s">
        <v>578</v>
      </c>
      <c r="D214" s="46" t="s">
        <v>401</v>
      </c>
    </row>
    <row r="215" spans="1:4" ht="26" x14ac:dyDescent="0.2">
      <c r="A215" s="45" t="s">
        <v>579</v>
      </c>
      <c r="B215" s="46" t="s">
        <v>580</v>
      </c>
      <c r="C215" s="46" t="s">
        <v>581</v>
      </c>
      <c r="D215" s="46" t="s">
        <v>401</v>
      </c>
    </row>
    <row r="216" spans="1:4" ht="26" x14ac:dyDescent="0.2">
      <c r="A216" s="45" t="s">
        <v>582</v>
      </c>
      <c r="B216" s="46" t="s">
        <v>583</v>
      </c>
      <c r="C216" s="46" t="s">
        <v>584</v>
      </c>
      <c r="D216" s="46" t="s">
        <v>401</v>
      </c>
    </row>
    <row r="217" spans="1:4" ht="26" x14ac:dyDescent="0.2">
      <c r="A217" s="45" t="s">
        <v>585</v>
      </c>
      <c r="B217" s="46" t="s">
        <v>586</v>
      </c>
      <c r="C217" s="46" t="s">
        <v>587</v>
      </c>
      <c r="D217" s="46" t="s">
        <v>401</v>
      </c>
    </row>
    <row r="218" spans="1:4" ht="26" x14ac:dyDescent="0.2">
      <c r="A218" s="45" t="s">
        <v>588</v>
      </c>
      <c r="B218" s="46" t="s">
        <v>589</v>
      </c>
      <c r="C218" s="46" t="s">
        <v>590</v>
      </c>
      <c r="D218" s="46" t="s">
        <v>401</v>
      </c>
    </row>
    <row r="219" spans="1:4" ht="26" x14ac:dyDescent="0.2">
      <c r="A219" s="45" t="s">
        <v>591</v>
      </c>
      <c r="B219" s="46" t="s">
        <v>592</v>
      </c>
      <c r="C219" s="46" t="s">
        <v>593</v>
      </c>
      <c r="D219" s="46" t="s">
        <v>401</v>
      </c>
    </row>
    <row r="220" spans="1:4" ht="26" x14ac:dyDescent="0.2">
      <c r="A220" s="45" t="s">
        <v>594</v>
      </c>
      <c r="B220" s="46" t="s">
        <v>595</v>
      </c>
      <c r="C220" s="46" t="s">
        <v>596</v>
      </c>
      <c r="D220" s="46" t="s">
        <v>401</v>
      </c>
    </row>
    <row r="221" spans="1:4" ht="26" x14ac:dyDescent="0.2">
      <c r="A221" s="45" t="s">
        <v>597</v>
      </c>
      <c r="B221" s="46" t="s">
        <v>598</v>
      </c>
      <c r="C221" s="46" t="s">
        <v>599</v>
      </c>
      <c r="D221" s="46" t="s">
        <v>401</v>
      </c>
    </row>
    <row r="222" spans="1:4" ht="26" x14ac:dyDescent="0.2">
      <c r="A222" s="45" t="s">
        <v>600</v>
      </c>
      <c r="B222" s="46" t="s">
        <v>601</v>
      </c>
      <c r="C222" s="46" t="s">
        <v>602</v>
      </c>
      <c r="D222" s="46" t="s">
        <v>401</v>
      </c>
    </row>
    <row r="223" spans="1:4" ht="26" x14ac:dyDescent="0.2">
      <c r="A223" s="45" t="s">
        <v>603</v>
      </c>
      <c r="B223" s="46" t="s">
        <v>604</v>
      </c>
      <c r="C223" s="46" t="s">
        <v>605</v>
      </c>
      <c r="D223" s="46" t="s">
        <v>401</v>
      </c>
    </row>
    <row r="224" spans="1:4" ht="26" x14ac:dyDescent="0.2">
      <c r="A224" s="45" t="s">
        <v>606</v>
      </c>
      <c r="B224" s="46" t="s">
        <v>607</v>
      </c>
      <c r="C224" s="46" t="s">
        <v>608</v>
      </c>
      <c r="D224" s="46" t="s">
        <v>401</v>
      </c>
    </row>
    <row r="225" spans="1:4" ht="26" x14ac:dyDescent="0.2">
      <c r="A225" s="45" t="s">
        <v>609</v>
      </c>
      <c r="B225" s="46" t="s">
        <v>610</v>
      </c>
      <c r="C225" s="46" t="s">
        <v>611</v>
      </c>
      <c r="D225" s="46" t="s">
        <v>401</v>
      </c>
    </row>
    <row r="226" spans="1:4" ht="26" x14ac:dyDescent="0.2">
      <c r="A226" s="45" t="s">
        <v>612</v>
      </c>
      <c r="B226" s="46" t="s">
        <v>613</v>
      </c>
      <c r="C226" s="46" t="s">
        <v>614</v>
      </c>
      <c r="D226" s="46" t="s">
        <v>401</v>
      </c>
    </row>
    <row r="227" spans="1:4" ht="26" x14ac:dyDescent="0.2">
      <c r="A227" s="45" t="s">
        <v>615</v>
      </c>
      <c r="B227" s="46" t="s">
        <v>616</v>
      </c>
      <c r="C227" s="46" t="s">
        <v>617</v>
      </c>
      <c r="D227" s="46" t="s">
        <v>401</v>
      </c>
    </row>
    <row r="228" spans="1:4" ht="26" x14ac:dyDescent="0.2">
      <c r="A228" s="45" t="s">
        <v>618</v>
      </c>
      <c r="B228" s="46" t="s">
        <v>619</v>
      </c>
      <c r="C228" s="46" t="s">
        <v>620</v>
      </c>
      <c r="D228" s="46" t="s">
        <v>401</v>
      </c>
    </row>
    <row r="229" spans="1:4" ht="26" x14ac:dyDescent="0.2">
      <c r="A229" s="45" t="s">
        <v>621</v>
      </c>
      <c r="B229" s="46" t="s">
        <v>622</v>
      </c>
      <c r="C229" s="46" t="s">
        <v>623</v>
      </c>
      <c r="D229" s="46" t="s">
        <v>401</v>
      </c>
    </row>
    <row r="230" spans="1:4" ht="26" x14ac:dyDescent="0.2">
      <c r="A230" s="45" t="s">
        <v>624</v>
      </c>
      <c r="B230" s="46" t="s">
        <v>625</v>
      </c>
      <c r="C230" s="46" t="s">
        <v>626</v>
      </c>
      <c r="D230" s="46" t="s">
        <v>401</v>
      </c>
    </row>
    <row r="231" spans="1:4" ht="26" x14ac:dyDescent="0.2">
      <c r="A231" s="45" t="s">
        <v>627</v>
      </c>
      <c r="B231" s="46" t="s">
        <v>628</v>
      </c>
      <c r="C231" s="46" t="s">
        <v>629</v>
      </c>
      <c r="D231" s="46" t="s">
        <v>401</v>
      </c>
    </row>
    <row r="232" spans="1:4" ht="26" x14ac:dyDescent="0.2">
      <c r="A232" s="45" t="s">
        <v>630</v>
      </c>
      <c r="B232" s="46" t="s">
        <v>631</v>
      </c>
      <c r="C232" s="46" t="s">
        <v>632</v>
      </c>
      <c r="D232" s="46" t="s">
        <v>401</v>
      </c>
    </row>
    <row r="233" spans="1:4" ht="26" x14ac:dyDescent="0.2">
      <c r="A233" s="45" t="s">
        <v>633</v>
      </c>
      <c r="B233" s="46" t="s">
        <v>634</v>
      </c>
      <c r="C233" s="46" t="s">
        <v>635</v>
      </c>
      <c r="D233" s="46" t="s">
        <v>401</v>
      </c>
    </row>
    <row r="234" spans="1:4" ht="26" x14ac:dyDescent="0.2">
      <c r="A234" s="45" t="s">
        <v>636</v>
      </c>
      <c r="B234" s="46" t="s">
        <v>637</v>
      </c>
      <c r="C234" s="46" t="s">
        <v>638</v>
      </c>
      <c r="D234" s="46" t="s">
        <v>401</v>
      </c>
    </row>
    <row r="235" spans="1:4" ht="26" x14ac:dyDescent="0.2">
      <c r="A235" s="45" t="s">
        <v>639</v>
      </c>
      <c r="B235" s="46" t="s">
        <v>640</v>
      </c>
      <c r="C235" s="46" t="s">
        <v>641</v>
      </c>
      <c r="D235" s="46" t="s">
        <v>401</v>
      </c>
    </row>
    <row r="236" spans="1:4" ht="26" x14ac:dyDescent="0.2">
      <c r="A236" s="45" t="s">
        <v>642</v>
      </c>
      <c r="B236" s="46" t="s">
        <v>643</v>
      </c>
      <c r="C236" s="46" t="s">
        <v>644</v>
      </c>
      <c r="D236" s="46" t="s">
        <v>401</v>
      </c>
    </row>
    <row r="237" spans="1:4" ht="26" x14ac:dyDescent="0.2">
      <c r="A237" s="45" t="s">
        <v>645</v>
      </c>
      <c r="B237" s="46" t="s">
        <v>646</v>
      </c>
      <c r="C237" s="46" t="s">
        <v>647</v>
      </c>
      <c r="D237" s="46" t="s">
        <v>401</v>
      </c>
    </row>
    <row r="238" spans="1:4" ht="26" x14ac:dyDescent="0.2">
      <c r="A238" s="45" t="s">
        <v>648</v>
      </c>
      <c r="B238" s="46" t="s">
        <v>649</v>
      </c>
      <c r="C238" s="46" t="s">
        <v>650</v>
      </c>
      <c r="D238" s="46" t="s">
        <v>401</v>
      </c>
    </row>
    <row r="239" spans="1:4" ht="26" x14ac:dyDescent="0.2">
      <c r="A239" s="45" t="s">
        <v>651</v>
      </c>
      <c r="B239" s="46" t="s">
        <v>652</v>
      </c>
      <c r="C239" s="46" t="s">
        <v>653</v>
      </c>
      <c r="D239" s="46" t="s">
        <v>401</v>
      </c>
    </row>
    <row r="240" spans="1:4" ht="26" x14ac:dyDescent="0.2">
      <c r="A240" s="45" t="s">
        <v>654</v>
      </c>
      <c r="B240" s="46" t="s">
        <v>655</v>
      </c>
      <c r="C240" s="46" t="s">
        <v>656</v>
      </c>
      <c r="D240" s="46" t="s">
        <v>401</v>
      </c>
    </row>
    <row r="241" spans="1:4" ht="26" x14ac:dyDescent="0.2">
      <c r="A241" s="45" t="s">
        <v>657</v>
      </c>
      <c r="B241" s="46" t="s">
        <v>658</v>
      </c>
      <c r="C241" s="46" t="s">
        <v>659</v>
      </c>
      <c r="D241" s="46" t="s">
        <v>401</v>
      </c>
    </row>
    <row r="242" spans="1:4" ht="26" x14ac:dyDescent="0.2">
      <c r="A242" s="45" t="s">
        <v>660</v>
      </c>
      <c r="B242" s="46" t="s">
        <v>661</v>
      </c>
      <c r="C242" s="46" t="s">
        <v>662</v>
      </c>
      <c r="D242" s="46" t="s">
        <v>401</v>
      </c>
    </row>
    <row r="243" spans="1:4" ht="26" x14ac:dyDescent="0.2">
      <c r="A243" s="45" t="s">
        <v>663</v>
      </c>
      <c r="B243" s="46" t="s">
        <v>664</v>
      </c>
      <c r="C243" s="46" t="s">
        <v>665</v>
      </c>
      <c r="D243" s="46" t="s">
        <v>401</v>
      </c>
    </row>
    <row r="244" spans="1:4" ht="26" x14ac:dyDescent="0.2">
      <c r="A244" s="45" t="s">
        <v>666</v>
      </c>
      <c r="B244" s="46" t="s">
        <v>667</v>
      </c>
      <c r="C244" s="46" t="s">
        <v>668</v>
      </c>
      <c r="D244" s="46" t="s">
        <v>401</v>
      </c>
    </row>
    <row r="245" spans="1:4" ht="26" x14ac:dyDescent="0.2">
      <c r="A245" s="45" t="s">
        <v>669</v>
      </c>
      <c r="B245" s="46" t="s">
        <v>670</v>
      </c>
      <c r="C245" s="46" t="s">
        <v>671</v>
      </c>
      <c r="D245" s="46" t="s">
        <v>401</v>
      </c>
    </row>
    <row r="246" spans="1:4" ht="26" x14ac:dyDescent="0.2">
      <c r="A246" s="45" t="s">
        <v>672</v>
      </c>
      <c r="B246" s="46" t="s">
        <v>673</v>
      </c>
      <c r="C246" s="46" t="s">
        <v>674</v>
      </c>
      <c r="D246" s="46" t="s">
        <v>401</v>
      </c>
    </row>
    <row r="247" spans="1:4" ht="26" x14ac:dyDescent="0.2">
      <c r="A247" s="45" t="s">
        <v>675</v>
      </c>
      <c r="B247" s="46" t="s">
        <v>676</v>
      </c>
      <c r="C247" s="46" t="s">
        <v>677</v>
      </c>
      <c r="D247" s="46" t="s">
        <v>401</v>
      </c>
    </row>
    <row r="248" spans="1:4" ht="26" x14ac:dyDescent="0.2">
      <c r="A248" s="45" t="s">
        <v>678</v>
      </c>
      <c r="B248" s="46" t="s">
        <v>679</v>
      </c>
      <c r="C248" s="46" t="s">
        <v>680</v>
      </c>
      <c r="D248" s="46" t="s">
        <v>401</v>
      </c>
    </row>
    <row r="249" spans="1:4" ht="26" x14ac:dyDescent="0.2">
      <c r="A249" s="45" t="s">
        <v>681</v>
      </c>
      <c r="B249" s="46" t="s">
        <v>682</v>
      </c>
      <c r="C249" s="46" t="s">
        <v>683</v>
      </c>
      <c r="D249" s="46" t="s">
        <v>401</v>
      </c>
    </row>
    <row r="250" spans="1:4" ht="26" x14ac:dyDescent="0.2">
      <c r="A250" s="45" t="s">
        <v>684</v>
      </c>
      <c r="B250" s="46" t="s">
        <v>685</v>
      </c>
      <c r="C250" s="46" t="s">
        <v>686</v>
      </c>
      <c r="D250" s="46" t="s">
        <v>401</v>
      </c>
    </row>
    <row r="251" spans="1:4" x14ac:dyDescent="0.2">
      <c r="A251" s="45" t="s">
        <v>687</v>
      </c>
      <c r="B251" s="46" t="s">
        <v>688</v>
      </c>
      <c r="C251" s="46" t="s">
        <v>27</v>
      </c>
      <c r="D251" s="46" t="s">
        <v>397</v>
      </c>
    </row>
    <row r="252" spans="1:4" x14ac:dyDescent="0.2">
      <c r="A252" s="45" t="s">
        <v>689</v>
      </c>
      <c r="B252" s="46" t="s">
        <v>690</v>
      </c>
      <c r="C252" s="46" t="s">
        <v>28</v>
      </c>
      <c r="D252" s="46" t="s">
        <v>397</v>
      </c>
    </row>
    <row r="253" spans="1:4" x14ac:dyDescent="0.2">
      <c r="A253" s="45" t="s">
        <v>691</v>
      </c>
      <c r="B253" s="46" t="s">
        <v>692</v>
      </c>
      <c r="C253" s="46" t="s">
        <v>693</v>
      </c>
      <c r="D253" s="46" t="s">
        <v>694</v>
      </c>
    </row>
    <row r="254" spans="1:4" x14ac:dyDescent="0.2">
      <c r="A254" s="45" t="s">
        <v>695</v>
      </c>
      <c r="B254" s="46" t="s">
        <v>696</v>
      </c>
      <c r="C254" s="46" t="s">
        <v>697</v>
      </c>
      <c r="D254" s="46" t="s">
        <v>694</v>
      </c>
    </row>
    <row r="255" spans="1:4" x14ac:dyDescent="0.2">
      <c r="A255" s="45" t="s">
        <v>698</v>
      </c>
      <c r="B255" s="46" t="s">
        <v>699</v>
      </c>
      <c r="C255" s="46" t="s">
        <v>700</v>
      </c>
      <c r="D255" s="46" t="s">
        <v>694</v>
      </c>
    </row>
    <row r="256" spans="1:4" x14ac:dyDescent="0.2">
      <c r="A256" s="45" t="s">
        <v>701</v>
      </c>
      <c r="B256" s="46" t="s">
        <v>702</v>
      </c>
      <c r="C256" s="46" t="s">
        <v>703</v>
      </c>
      <c r="D256" s="46" t="s">
        <v>704</v>
      </c>
    </row>
    <row r="257" spans="1:4" x14ac:dyDescent="0.2">
      <c r="A257" s="45" t="s">
        <v>705</v>
      </c>
      <c r="B257" s="46" t="s">
        <v>706</v>
      </c>
      <c r="C257" s="46" t="s">
        <v>707</v>
      </c>
      <c r="D257" s="46" t="s">
        <v>704</v>
      </c>
    </row>
    <row r="258" spans="1:4" x14ac:dyDescent="0.2">
      <c r="A258" s="45" t="s">
        <v>708</v>
      </c>
      <c r="B258" s="46" t="s">
        <v>709</v>
      </c>
      <c r="C258" s="46" t="s">
        <v>710</v>
      </c>
      <c r="D258" s="46" t="s">
        <v>704</v>
      </c>
    </row>
    <row r="259" spans="1:4" x14ac:dyDescent="0.2">
      <c r="A259" s="45" t="s">
        <v>711</v>
      </c>
      <c r="B259" s="46" t="s">
        <v>712</v>
      </c>
      <c r="C259" s="46" t="s">
        <v>713</v>
      </c>
      <c r="D259" s="46" t="s">
        <v>704</v>
      </c>
    </row>
    <row r="260" spans="1:4" x14ac:dyDescent="0.2">
      <c r="A260" s="45" t="s">
        <v>714</v>
      </c>
      <c r="B260" s="46" t="s">
        <v>715</v>
      </c>
      <c r="C260" s="46" t="s">
        <v>716</v>
      </c>
      <c r="D260" s="46" t="s">
        <v>717</v>
      </c>
    </row>
    <row r="261" spans="1:4" x14ac:dyDescent="0.2">
      <c r="A261" s="45" t="s">
        <v>718</v>
      </c>
      <c r="B261" s="46" t="s">
        <v>719</v>
      </c>
      <c r="C261" s="46" t="s">
        <v>720</v>
      </c>
      <c r="D261" s="46" t="s">
        <v>717</v>
      </c>
    </row>
    <row r="262" spans="1:4" x14ac:dyDescent="0.2">
      <c r="A262" s="45" t="s">
        <v>721</v>
      </c>
      <c r="B262" s="46" t="s">
        <v>722</v>
      </c>
      <c r="C262" s="46" t="s">
        <v>723</v>
      </c>
      <c r="D262" s="46" t="s">
        <v>717</v>
      </c>
    </row>
    <row r="263" spans="1:4" x14ac:dyDescent="0.2">
      <c r="A263" s="45" t="s">
        <v>724</v>
      </c>
      <c r="B263" s="46" t="s">
        <v>725</v>
      </c>
      <c r="C263" s="46" t="s">
        <v>726</v>
      </c>
      <c r="D263" s="46" t="s">
        <v>717</v>
      </c>
    </row>
    <row r="264" spans="1:4" x14ac:dyDescent="0.2">
      <c r="A264" s="45" t="s">
        <v>727</v>
      </c>
      <c r="B264" s="46" t="s">
        <v>728</v>
      </c>
      <c r="C264" s="46" t="s">
        <v>729</v>
      </c>
      <c r="D264" s="46" t="s">
        <v>730</v>
      </c>
    </row>
    <row r="265" spans="1:4" x14ac:dyDescent="0.2">
      <c r="A265" s="45" t="s">
        <v>731</v>
      </c>
      <c r="B265" s="46" t="s">
        <v>732</v>
      </c>
      <c r="C265" s="46" t="s">
        <v>733</v>
      </c>
      <c r="D265" s="46" t="s">
        <v>730</v>
      </c>
    </row>
    <row r="266" spans="1:4" x14ac:dyDescent="0.2">
      <c r="A266" s="45" t="s">
        <v>734</v>
      </c>
      <c r="B266" s="46" t="s">
        <v>735</v>
      </c>
      <c r="C266" s="46" t="s">
        <v>736</v>
      </c>
      <c r="D266" s="46" t="s">
        <v>730</v>
      </c>
    </row>
    <row r="267" spans="1:4" x14ac:dyDescent="0.2">
      <c r="A267" s="45" t="s">
        <v>737</v>
      </c>
      <c r="B267" s="46" t="s">
        <v>738</v>
      </c>
      <c r="C267" s="46" t="s">
        <v>739</v>
      </c>
      <c r="D267" s="46" t="s">
        <v>730</v>
      </c>
    </row>
    <row r="268" spans="1:4" x14ac:dyDescent="0.2">
      <c r="A268" s="45" t="s">
        <v>740</v>
      </c>
      <c r="B268" s="46" t="s">
        <v>741</v>
      </c>
      <c r="C268" s="46" t="s">
        <v>742</v>
      </c>
      <c r="D268" s="46" t="s">
        <v>743</v>
      </c>
    </row>
    <row r="269" spans="1:4" x14ac:dyDescent="0.2">
      <c r="A269" s="45" t="s">
        <v>744</v>
      </c>
      <c r="B269" s="46" t="s">
        <v>745</v>
      </c>
      <c r="C269" s="46" t="s">
        <v>746</v>
      </c>
      <c r="D269" s="46" t="s">
        <v>743</v>
      </c>
    </row>
    <row r="270" spans="1:4" x14ac:dyDescent="0.2">
      <c r="A270" s="45" t="s">
        <v>747</v>
      </c>
      <c r="B270" s="46" t="s">
        <v>748</v>
      </c>
      <c r="C270" s="46" t="s">
        <v>749</v>
      </c>
      <c r="D270" s="46" t="s">
        <v>743</v>
      </c>
    </row>
    <row r="271" spans="1:4" x14ac:dyDescent="0.2">
      <c r="A271" s="45" t="s">
        <v>750</v>
      </c>
      <c r="B271" s="46" t="s">
        <v>751</v>
      </c>
      <c r="C271" s="46" t="s">
        <v>752</v>
      </c>
      <c r="D271" s="46" t="s">
        <v>743</v>
      </c>
    </row>
    <row r="272" spans="1:4" x14ac:dyDescent="0.2">
      <c r="A272" s="45" t="s">
        <v>753</v>
      </c>
      <c r="B272" s="46" t="s">
        <v>754</v>
      </c>
      <c r="C272" s="46" t="s">
        <v>755</v>
      </c>
      <c r="D272" s="46" t="s">
        <v>756</v>
      </c>
    </row>
    <row r="273" spans="1:4" x14ac:dyDescent="0.2">
      <c r="A273" s="45" t="s">
        <v>757</v>
      </c>
      <c r="B273" s="46" t="s">
        <v>758</v>
      </c>
      <c r="C273" s="46" t="s">
        <v>759</v>
      </c>
      <c r="D273" s="46" t="s">
        <v>756</v>
      </c>
    </row>
    <row r="274" spans="1:4" x14ac:dyDescent="0.2">
      <c r="A274" s="45" t="s">
        <v>760</v>
      </c>
      <c r="B274" s="46" t="s">
        <v>761</v>
      </c>
      <c r="C274" s="46" t="s">
        <v>762</v>
      </c>
      <c r="D274" s="46" t="s">
        <v>756</v>
      </c>
    </row>
    <row r="275" spans="1:4" x14ac:dyDescent="0.2">
      <c r="A275" s="45" t="s">
        <v>763</v>
      </c>
      <c r="B275" s="46" t="s">
        <v>764</v>
      </c>
      <c r="C275" s="46" t="s">
        <v>765</v>
      </c>
      <c r="D275" s="46" t="s">
        <v>756</v>
      </c>
    </row>
    <row r="276" spans="1:4" x14ac:dyDescent="0.2">
      <c r="A276" s="45" t="s">
        <v>766</v>
      </c>
      <c r="B276" s="46" t="s">
        <v>767</v>
      </c>
      <c r="C276" s="46" t="s">
        <v>768</v>
      </c>
      <c r="D276" s="46" t="s">
        <v>769</v>
      </c>
    </row>
    <row r="277" spans="1:4" x14ac:dyDescent="0.2">
      <c r="A277" s="45" t="s">
        <v>770</v>
      </c>
      <c r="B277" s="46" t="s">
        <v>771</v>
      </c>
      <c r="C277" s="46" t="s">
        <v>772</v>
      </c>
      <c r="D277" s="46" t="s">
        <v>769</v>
      </c>
    </row>
    <row r="278" spans="1:4" x14ac:dyDescent="0.2">
      <c r="A278" s="45" t="s">
        <v>773</v>
      </c>
      <c r="B278" s="46" t="s">
        <v>774</v>
      </c>
      <c r="C278" s="46" t="s">
        <v>775</v>
      </c>
      <c r="D278" s="46" t="s">
        <v>769</v>
      </c>
    </row>
    <row r="279" spans="1:4" x14ac:dyDescent="0.2">
      <c r="A279" s="45" t="s">
        <v>776</v>
      </c>
      <c r="B279" s="46" t="s">
        <v>777</v>
      </c>
      <c r="C279" s="46" t="s">
        <v>778</v>
      </c>
      <c r="D279" s="46" t="s">
        <v>779</v>
      </c>
    </row>
    <row r="280" spans="1:4" x14ac:dyDescent="0.2">
      <c r="A280" s="45" t="s">
        <v>780</v>
      </c>
      <c r="B280" s="46" t="s">
        <v>781</v>
      </c>
      <c r="C280" s="46" t="s">
        <v>782</v>
      </c>
      <c r="D280" s="46" t="s">
        <v>779</v>
      </c>
    </row>
  </sheetData>
  <mergeCells count="5">
    <mergeCell ref="A3:D3"/>
    <mergeCell ref="A4:D4"/>
    <mergeCell ref="A5:D5"/>
    <mergeCell ref="A6:D6"/>
    <mergeCell ref="A7:D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K2SO4</vt:lpstr>
      <vt:lpstr>Corrections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Filipe Menezes</dc:creator>
  <dc:description/>
  <cp:lastModifiedBy>Dr Filipe Menezes</cp:lastModifiedBy>
  <cp:revision>2</cp:revision>
  <dcterms:created xsi:type="dcterms:W3CDTF">2023-04-12T21:19:53Z</dcterms:created>
  <dcterms:modified xsi:type="dcterms:W3CDTF">2026-10-09T22:06:34Z</dcterms:modified>
  <dc:language>en-US</dc:language>
</cp:coreProperties>
</file>