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sirius/MolPhys/Activities/review/corrections/"/>
    </mc:Choice>
  </mc:AlternateContent>
  <xr:revisionPtr revIDLastSave="0" documentId="11_E35576E1EEB743BB0E8BDF8D771B5A3D3EE3D3FE" xr6:coauthVersionLast="47" xr6:coauthVersionMax="47" xr10:uidLastSave="{00000000-0000-0000-0000-000000000000}"/>
  <bookViews>
    <workbookView xWindow="3560" yWindow="660" windowWidth="32840" windowHeight="19400" tabRatio="500" xr2:uid="{00000000-000D-0000-FFFF-FFFF00000000}"/>
  </bookViews>
  <sheets>
    <sheet name="BSA" sheetId="1" r:id="rId1"/>
    <sheet name="Corrections log" sheetId="2" r:id="rId2"/>
  </sheets>
  <definedNames>
    <definedName name="solver_adj" localSheetId="0" hidden="1">BSA!$AK$33:$AK$35</definedName>
    <definedName name="solver_cvg" localSheetId="0" hidden="1">0.0001</definedName>
    <definedName name="solver_drv" localSheetId="0" hidden="1">2</definedName>
    <definedName name="solver_eng" localSheetId="0" hidden="1">1</definedName>
    <definedName name="solver_itr" localSheetId="0" hidden="1">2147483647</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opt" localSheetId="0" hidden="1">BSA!$AK$37</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37" i="1" l="1"/>
  <c r="AJ37" i="1" s="1"/>
  <c r="I37" i="1"/>
  <c r="AL36" i="1"/>
  <c r="AJ36" i="1"/>
  <c r="AM36" i="1" s="1"/>
  <c r="AN36" i="1" s="1"/>
  <c r="AI36" i="1"/>
  <c r="P36" i="1"/>
  <c r="I36" i="1"/>
  <c r="J36" i="1" s="1"/>
  <c r="AJ35" i="1"/>
  <c r="AI35" i="1"/>
  <c r="AL35" i="1" s="1"/>
  <c r="P35" i="1"/>
  <c r="I35" i="1"/>
  <c r="AJ34" i="1"/>
  <c r="AI34" i="1"/>
  <c r="AL34" i="1" s="1"/>
  <c r="P34" i="1"/>
  <c r="I34" i="1"/>
  <c r="G34" i="1"/>
  <c r="G35" i="1" s="1"/>
  <c r="G36" i="1" s="1"/>
  <c r="G37" i="1" s="1"/>
  <c r="P33" i="1"/>
  <c r="J33" i="1"/>
  <c r="I33" i="1"/>
  <c r="E33" i="1"/>
  <c r="E34" i="1" s="1"/>
  <c r="E35" i="1" s="1"/>
  <c r="P31" i="1"/>
  <c r="AJ31" i="1" s="1"/>
  <c r="I31" i="1"/>
  <c r="AM30" i="1"/>
  <c r="AN30" i="1" s="1"/>
  <c r="AI30" i="1"/>
  <c r="AL30" i="1" s="1"/>
  <c r="P30" i="1"/>
  <c r="AJ30" i="1" s="1"/>
  <c r="I30" i="1"/>
  <c r="J30" i="1" s="1"/>
  <c r="P29" i="1"/>
  <c r="AJ29" i="1" s="1"/>
  <c r="I29" i="1"/>
  <c r="AJ28" i="1"/>
  <c r="AI28" i="1"/>
  <c r="AL28" i="1" s="1"/>
  <c r="P28" i="1"/>
  <c r="J28" i="1"/>
  <c r="I28" i="1"/>
  <c r="G28" i="1"/>
  <c r="G29" i="1" s="1"/>
  <c r="G30" i="1" s="1"/>
  <c r="G31" i="1" s="1"/>
  <c r="F28" i="1"/>
  <c r="AJ27" i="1"/>
  <c r="P27" i="1"/>
  <c r="I27" i="1"/>
  <c r="AI27" i="1" s="1"/>
  <c r="AL27" i="1" s="1"/>
  <c r="F27" i="1"/>
  <c r="E27" i="1"/>
  <c r="E28" i="1" s="1"/>
  <c r="E29" i="1" s="1"/>
  <c r="F29" i="1" s="1"/>
  <c r="P26" i="1"/>
  <c r="I26" i="1"/>
  <c r="P25" i="1"/>
  <c r="AJ25" i="1" s="1"/>
  <c r="J25" i="1"/>
  <c r="I25" i="1"/>
  <c r="AJ24" i="1"/>
  <c r="P24" i="1"/>
  <c r="I24" i="1"/>
  <c r="G24" i="1"/>
  <c r="G25" i="1" s="1"/>
  <c r="G26" i="1" s="1"/>
  <c r="AI23" i="1"/>
  <c r="AL23" i="1" s="1"/>
  <c r="P23" i="1"/>
  <c r="AJ23" i="1" s="1"/>
  <c r="AM23" i="1" s="1"/>
  <c r="AN23" i="1" s="1"/>
  <c r="J23" i="1"/>
  <c r="I23" i="1"/>
  <c r="AJ22" i="1"/>
  <c r="AI22" i="1"/>
  <c r="AL22" i="1" s="1"/>
  <c r="P22" i="1"/>
  <c r="J22" i="1"/>
  <c r="I22" i="1"/>
  <c r="G22" i="1"/>
  <c r="G23" i="1" s="1"/>
  <c r="P21" i="1"/>
  <c r="J21" i="1"/>
  <c r="I21" i="1"/>
  <c r="E21" i="1"/>
  <c r="AI19" i="1"/>
  <c r="AL19" i="1" s="1"/>
  <c r="P19" i="1"/>
  <c r="AJ19" i="1" s="1"/>
  <c r="AM19" i="1" s="1"/>
  <c r="AN19" i="1" s="1"/>
  <c r="J19" i="1"/>
  <c r="I19" i="1"/>
  <c r="AJ18" i="1"/>
  <c r="P18" i="1"/>
  <c r="I18" i="1"/>
  <c r="P17" i="1"/>
  <c r="AJ17" i="1" s="1"/>
  <c r="I17" i="1"/>
  <c r="J17" i="1" s="1"/>
  <c r="AJ16" i="1"/>
  <c r="AI16" i="1"/>
  <c r="AL16" i="1" s="1"/>
  <c r="P16" i="1"/>
  <c r="I16" i="1"/>
  <c r="J16" i="1" s="1"/>
  <c r="G16" i="1"/>
  <c r="G17" i="1" s="1"/>
  <c r="G18" i="1" s="1"/>
  <c r="G19" i="1" s="1"/>
  <c r="E16" i="1"/>
  <c r="P15" i="1"/>
  <c r="AJ15" i="1" s="1"/>
  <c r="I15" i="1"/>
  <c r="E15" i="1"/>
  <c r="F15" i="1" s="1"/>
  <c r="M15" i="1" s="1"/>
  <c r="AJ13" i="1"/>
  <c r="P13" i="1"/>
  <c r="I13" i="1"/>
  <c r="AI13" i="1" s="1"/>
  <c r="AL13" i="1" s="1"/>
  <c r="AJ12" i="1"/>
  <c r="P12" i="1"/>
  <c r="J12" i="1"/>
  <c r="I12" i="1"/>
  <c r="P11" i="1"/>
  <c r="AJ11" i="1" s="1"/>
  <c r="I11" i="1"/>
  <c r="AI11" i="1" s="1"/>
  <c r="AL11" i="1" s="1"/>
  <c r="P10" i="1"/>
  <c r="I10" i="1"/>
  <c r="G10" i="1"/>
  <c r="G11" i="1" s="1"/>
  <c r="G12" i="1" s="1"/>
  <c r="G13" i="1" s="1"/>
  <c r="P9" i="1"/>
  <c r="AJ9" i="1" s="1"/>
  <c r="I9" i="1"/>
  <c r="E9" i="1"/>
  <c r="F9" i="1" s="1"/>
  <c r="P7" i="1"/>
  <c r="AJ7" i="1" s="1"/>
  <c r="I7" i="1"/>
  <c r="J7" i="1" s="1"/>
  <c r="AJ6" i="1"/>
  <c r="AI6" i="1"/>
  <c r="AL6" i="1" s="1"/>
  <c r="P6" i="1"/>
  <c r="I6" i="1"/>
  <c r="J6" i="1" s="1"/>
  <c r="E6" i="1"/>
  <c r="F6" i="1" s="1"/>
  <c r="AJ5" i="1"/>
  <c r="P5" i="1"/>
  <c r="I5" i="1"/>
  <c r="M5" i="1" s="1"/>
  <c r="G5" i="1"/>
  <c r="G6" i="1" s="1"/>
  <c r="G7" i="1" s="1"/>
  <c r="AL4" i="1"/>
  <c r="P4" i="1"/>
  <c r="N4" i="1"/>
  <c r="N5" i="1" s="1"/>
  <c r="N6" i="1" s="1"/>
  <c r="N7" i="1" s="1"/>
  <c r="N9" i="1" s="1"/>
  <c r="N10" i="1" s="1"/>
  <c r="N11" i="1" s="1"/>
  <c r="N12" i="1" s="1"/>
  <c r="N13" i="1" s="1"/>
  <c r="N15" i="1" s="1"/>
  <c r="N16" i="1" s="1"/>
  <c r="N17" i="1" s="1"/>
  <c r="N18" i="1" s="1"/>
  <c r="N19" i="1" s="1"/>
  <c r="N21" i="1" s="1"/>
  <c r="N22" i="1" s="1"/>
  <c r="N23" i="1" s="1"/>
  <c r="N24" i="1" s="1"/>
  <c r="N25" i="1" s="1"/>
  <c r="N26" i="1" s="1"/>
  <c r="N27" i="1" s="1"/>
  <c r="N28" i="1" s="1"/>
  <c r="N29" i="1" s="1"/>
  <c r="N30" i="1" s="1"/>
  <c r="N31" i="1" s="1"/>
  <c r="N33" i="1" s="1"/>
  <c r="N34" i="1" s="1"/>
  <c r="N35" i="1" s="1"/>
  <c r="N36" i="1" s="1"/>
  <c r="N37" i="1" s="1"/>
  <c r="I4" i="1"/>
  <c r="AI4" i="1" s="1"/>
  <c r="G4" i="1"/>
  <c r="AJ3" i="1"/>
  <c r="AI3" i="1"/>
  <c r="AL3" i="1" s="1"/>
  <c r="P3" i="1"/>
  <c r="I3" i="1"/>
  <c r="E3" i="1"/>
  <c r="E4" i="1" s="1"/>
  <c r="E5" i="1" s="1"/>
  <c r="F5" i="1" s="1"/>
  <c r="B2" i="1"/>
  <c r="AM13" i="1" l="1"/>
  <c r="AN13" i="1" s="1"/>
  <c r="AM22" i="1"/>
  <c r="AN22" i="1" s="1"/>
  <c r="AM11" i="1"/>
  <c r="AN11" i="1" s="1"/>
  <c r="AM6" i="1"/>
  <c r="AN6" i="1" s="1"/>
  <c r="AM7" i="1"/>
  <c r="AN7" i="1" s="1"/>
  <c r="M27" i="1"/>
  <c r="AM35" i="1"/>
  <c r="AN35" i="1" s="1"/>
  <c r="AI26" i="1"/>
  <c r="AL26" i="1" s="1"/>
  <c r="J26" i="1"/>
  <c r="F3" i="1"/>
  <c r="M3" i="1" s="1"/>
  <c r="E17" i="1"/>
  <c r="M16" i="1"/>
  <c r="F16" i="1"/>
  <c r="K16" i="1" s="1"/>
  <c r="AJ21" i="1"/>
  <c r="AM21" i="1" s="1"/>
  <c r="AN21" i="1" s="1"/>
  <c r="K27" i="1"/>
  <c r="T27" i="1" s="1"/>
  <c r="J3" i="1"/>
  <c r="K6" i="1"/>
  <c r="E7" i="1"/>
  <c r="K15" i="1"/>
  <c r="AI5" i="1"/>
  <c r="AL5" i="1" s="1"/>
  <c r="AM5" i="1" s="1"/>
  <c r="AN5" i="1" s="1"/>
  <c r="J5" i="1"/>
  <c r="K5" i="1"/>
  <c r="AI24" i="1"/>
  <c r="AL24" i="1" s="1"/>
  <c r="AM24" i="1" s="1"/>
  <c r="AN24" i="1" s="1"/>
  <c r="J24" i="1"/>
  <c r="J27" i="1"/>
  <c r="J13" i="1"/>
  <c r="F4" i="1"/>
  <c r="K4" i="1" s="1"/>
  <c r="AJ4" i="1"/>
  <c r="AM4" i="1" s="1"/>
  <c r="AN4" i="1" s="1"/>
  <c r="M6" i="1"/>
  <c r="J10" i="1"/>
  <c r="AM27" i="1"/>
  <c r="AN27" i="1" s="1"/>
  <c r="AM28" i="1"/>
  <c r="AN28" i="1" s="1"/>
  <c r="AI9" i="1"/>
  <c r="AL9" i="1" s="1"/>
  <c r="AM9" i="1" s="1"/>
  <c r="AN9" i="1" s="1"/>
  <c r="AK13" i="1" s="1"/>
  <c r="K9" i="1"/>
  <c r="M9" i="1"/>
  <c r="J9" i="1"/>
  <c r="J11" i="1"/>
  <c r="E10" i="1"/>
  <c r="AI10" i="1"/>
  <c r="AL10" i="1" s="1"/>
  <c r="AI18" i="1"/>
  <c r="AL18" i="1" s="1"/>
  <c r="AM18" i="1" s="1"/>
  <c r="AN18" i="1" s="1"/>
  <c r="J18" i="1"/>
  <c r="E22" i="1"/>
  <c r="F21" i="1"/>
  <c r="K21" i="1" s="1"/>
  <c r="AM3" i="1"/>
  <c r="AN3" i="1" s="1"/>
  <c r="AM16" i="1"/>
  <c r="AN16" i="1" s="1"/>
  <c r="AI17" i="1"/>
  <c r="AL17" i="1" s="1"/>
  <c r="AM17" i="1" s="1"/>
  <c r="AN17" i="1" s="1"/>
  <c r="AJ10" i="1"/>
  <c r="AM10" i="1" s="1"/>
  <c r="AN10" i="1" s="1"/>
  <c r="M21" i="1"/>
  <c r="M28" i="1"/>
  <c r="K28" i="1"/>
  <c r="AI31" i="1"/>
  <c r="AL31" i="1" s="1"/>
  <c r="J31" i="1"/>
  <c r="F34" i="1"/>
  <c r="K34" i="1" s="1"/>
  <c r="AM34" i="1"/>
  <c r="AN34" i="1" s="1"/>
  <c r="F35" i="1"/>
  <c r="M35" i="1" s="1"/>
  <c r="E36" i="1"/>
  <c r="AI12" i="1"/>
  <c r="AL12" i="1" s="1"/>
  <c r="AM12" i="1" s="1"/>
  <c r="AN12" i="1" s="1"/>
  <c r="AM31" i="1"/>
  <c r="AN31" i="1" s="1"/>
  <c r="F33" i="1"/>
  <c r="M33" i="1" s="1"/>
  <c r="J35" i="1"/>
  <c r="AI21" i="1"/>
  <c r="AL21" i="1" s="1"/>
  <c r="AI33" i="1"/>
  <c r="AL33" i="1" s="1"/>
  <c r="J34" i="1"/>
  <c r="K35" i="1"/>
  <c r="T35" i="1" s="1"/>
  <c r="AI15" i="1"/>
  <c r="AL15" i="1" s="1"/>
  <c r="AM15" i="1" s="1"/>
  <c r="AN15" i="1" s="1"/>
  <c r="AI29" i="1"/>
  <c r="AL29" i="1" s="1"/>
  <c r="AM29" i="1" s="1"/>
  <c r="AN29" i="1" s="1"/>
  <c r="K29" i="1"/>
  <c r="J15" i="1"/>
  <c r="J29" i="1"/>
  <c r="AJ26" i="1"/>
  <c r="J4" i="1"/>
  <c r="AI7" i="1"/>
  <c r="AL7" i="1" s="1"/>
  <c r="AI25" i="1"/>
  <c r="AL25" i="1" s="1"/>
  <c r="AM25" i="1" s="1"/>
  <c r="AN25" i="1" s="1"/>
  <c r="M29" i="1"/>
  <c r="E30" i="1"/>
  <c r="AJ33" i="1"/>
  <c r="J37" i="1"/>
  <c r="AI37" i="1"/>
  <c r="AL37" i="1" s="1"/>
  <c r="AM37" i="1" s="1"/>
  <c r="AN37" i="1" s="1"/>
  <c r="T34" i="1" l="1"/>
  <c r="T4" i="1"/>
  <c r="T21" i="1"/>
  <c r="Q21" i="1"/>
  <c r="R21" i="1" s="1"/>
  <c r="S21" i="1" s="1"/>
  <c r="Q16" i="1"/>
  <c r="R16" i="1" s="1"/>
  <c r="S16" i="1" s="1"/>
  <c r="T16" i="1"/>
  <c r="T5" i="1"/>
  <c r="Q5" i="1"/>
  <c r="R5" i="1" s="1"/>
  <c r="S5" i="1" s="1"/>
  <c r="Q27" i="1"/>
  <c r="R27" i="1" s="1"/>
  <c r="S27" i="1" s="1"/>
  <c r="F36" i="1"/>
  <c r="M36" i="1" s="1"/>
  <c r="E37" i="1"/>
  <c r="T29" i="1"/>
  <c r="Q29" i="1"/>
  <c r="R29" i="1" s="1"/>
  <c r="S29" i="1" s="1"/>
  <c r="AM26" i="1"/>
  <c r="AN26" i="1" s="1"/>
  <c r="AK25" i="1"/>
  <c r="F22" i="1"/>
  <c r="E23" i="1"/>
  <c r="K22" i="1"/>
  <c r="M22" i="1"/>
  <c r="T28" i="1"/>
  <c r="Q28" i="1"/>
  <c r="R28" i="1" s="1"/>
  <c r="S28" i="1" s="1"/>
  <c r="AK19" i="1"/>
  <c r="T6" i="1"/>
  <c r="Q6" i="1"/>
  <c r="R6" i="1" s="1"/>
  <c r="S6" i="1" s="1"/>
  <c r="AK7" i="1"/>
  <c r="K3" i="1"/>
  <c r="M4" i="1"/>
  <c r="Q4" i="1" s="1"/>
  <c r="R4" i="1" s="1"/>
  <c r="S4" i="1" s="1"/>
  <c r="Q15" i="1"/>
  <c r="R15" i="1" s="1"/>
  <c r="S15" i="1" s="1"/>
  <c r="T15" i="1"/>
  <c r="AK31" i="1"/>
  <c r="F17" i="1"/>
  <c r="M17" i="1" s="1"/>
  <c r="E18" i="1"/>
  <c r="F30" i="1"/>
  <c r="M30" i="1" s="1"/>
  <c r="E31" i="1"/>
  <c r="Q9" i="1"/>
  <c r="R9" i="1" s="1"/>
  <c r="S9" i="1" s="1"/>
  <c r="T9" i="1"/>
  <c r="K33" i="1"/>
  <c r="M34" i="1"/>
  <c r="Q34" i="1" s="1"/>
  <c r="R34" i="1" s="1"/>
  <c r="S34" i="1" s="1"/>
  <c r="F7" i="1"/>
  <c r="M7" i="1"/>
  <c r="K7" i="1"/>
  <c r="K17" i="1"/>
  <c r="E11" i="1"/>
  <c r="F10" i="1"/>
  <c r="AM33" i="1"/>
  <c r="AN33" i="1" s="1"/>
  <c r="AK37" i="1" s="1"/>
  <c r="Q35" i="1"/>
  <c r="R35" i="1" s="1"/>
  <c r="S35" i="1" s="1"/>
  <c r="V4" i="1" l="1"/>
  <c r="W4" i="1" s="1"/>
  <c r="X4" i="1"/>
  <c r="Y4" i="1" s="1"/>
  <c r="V34" i="1"/>
  <c r="W34" i="1" s="1"/>
  <c r="X34" i="1"/>
  <c r="Y34" i="1" s="1"/>
  <c r="E19" i="1"/>
  <c r="F18" i="1"/>
  <c r="K18" i="1" s="1"/>
  <c r="T7" i="1"/>
  <c r="Q7" i="1"/>
  <c r="R7" i="1" s="1"/>
  <c r="S7" i="1" s="1"/>
  <c r="X27" i="1"/>
  <c r="Y27" i="1" s="1"/>
  <c r="V27" i="1"/>
  <c r="W27" i="1" s="1"/>
  <c r="X5" i="1"/>
  <c r="Y5" i="1" s="1"/>
  <c r="V5" i="1"/>
  <c r="W5" i="1" s="1"/>
  <c r="X16" i="1"/>
  <c r="Y16" i="1" s="1"/>
  <c r="V16" i="1"/>
  <c r="W16" i="1" s="1"/>
  <c r="X21" i="1"/>
  <c r="Y21" i="1" s="1"/>
  <c r="V21" i="1"/>
  <c r="W21" i="1" s="1"/>
  <c r="V29" i="1"/>
  <c r="W29" i="1" s="1"/>
  <c r="X29" i="1"/>
  <c r="Y29" i="1" s="1"/>
  <c r="K36" i="1"/>
  <c r="T17" i="1"/>
  <c r="Q17" i="1"/>
  <c r="R17" i="1" s="1"/>
  <c r="S17" i="1" s="1"/>
  <c r="T22" i="1"/>
  <c r="Q22" i="1"/>
  <c r="R22" i="1" s="1"/>
  <c r="S22" i="1" s="1"/>
  <c r="F23" i="1"/>
  <c r="K23" i="1" s="1"/>
  <c r="E24" i="1"/>
  <c r="M23" i="1"/>
  <c r="V15" i="1"/>
  <c r="W15" i="1" s="1"/>
  <c r="X15" i="1"/>
  <c r="Y15" i="1" s="1"/>
  <c r="T3" i="1"/>
  <c r="Q3" i="1"/>
  <c r="R3" i="1" s="1"/>
  <c r="S3" i="1" s="1"/>
  <c r="V35" i="1"/>
  <c r="W35" i="1" s="1"/>
  <c r="X35" i="1"/>
  <c r="Y35" i="1" s="1"/>
  <c r="V6" i="1"/>
  <c r="W6" i="1" s="1"/>
  <c r="X6" i="1"/>
  <c r="Y6" i="1" s="1"/>
  <c r="F11" i="1"/>
  <c r="E12" i="1"/>
  <c r="K11" i="1"/>
  <c r="M11" i="1"/>
  <c r="K30" i="1"/>
  <c r="T33" i="1"/>
  <c r="Q33" i="1"/>
  <c r="R33" i="1" s="1"/>
  <c r="S33" i="1" s="1"/>
  <c r="X9" i="1"/>
  <c r="Y9" i="1" s="1"/>
  <c r="V9" i="1"/>
  <c r="W9" i="1" s="1"/>
  <c r="F31" i="1"/>
  <c r="K31" i="1" s="1"/>
  <c r="M31" i="1"/>
  <c r="M10" i="1"/>
  <c r="K10" i="1"/>
  <c r="X28" i="1"/>
  <c r="Y28" i="1" s="1"/>
  <c r="V28" i="1"/>
  <c r="W28" i="1" s="1"/>
  <c r="F37" i="1"/>
  <c r="K37" i="1"/>
  <c r="M37" i="1"/>
  <c r="T31" i="1" l="1"/>
  <c r="Q31" i="1"/>
  <c r="R31" i="1" s="1"/>
  <c r="S31" i="1" s="1"/>
  <c r="T23" i="1"/>
  <c r="Q23" i="1"/>
  <c r="R23" i="1" s="1"/>
  <c r="S23" i="1" s="1"/>
  <c r="T18" i="1"/>
  <c r="V22" i="1"/>
  <c r="W22" i="1" s="1"/>
  <c r="X22" i="1"/>
  <c r="Y22" i="1" s="1"/>
  <c r="T11" i="1"/>
  <c r="Q11" i="1"/>
  <c r="R11" i="1" s="1"/>
  <c r="S11" i="1" s="1"/>
  <c r="E25" i="1"/>
  <c r="F24" i="1"/>
  <c r="K24" i="1"/>
  <c r="M24" i="1"/>
  <c r="Q10" i="1"/>
  <c r="R10" i="1" s="1"/>
  <c r="S10" i="1" s="1"/>
  <c r="T10" i="1"/>
  <c r="E13" i="1"/>
  <c r="F12" i="1"/>
  <c r="K12" i="1" s="1"/>
  <c r="M12" i="1"/>
  <c r="X17" i="1"/>
  <c r="Y17" i="1" s="1"/>
  <c r="V17" i="1"/>
  <c r="W17" i="1" s="1"/>
  <c r="X7" i="1"/>
  <c r="Y7" i="1" s="1"/>
  <c r="V7" i="1"/>
  <c r="W7" i="1" s="1"/>
  <c r="V3" i="1"/>
  <c r="W3" i="1" s="1"/>
  <c r="U8" i="1" s="1"/>
  <c r="X3" i="1"/>
  <c r="Y3" i="1" s="1"/>
  <c r="T36" i="1"/>
  <c r="Q36" i="1"/>
  <c r="R36" i="1" s="1"/>
  <c r="S36" i="1" s="1"/>
  <c r="M18" i="1"/>
  <c r="Q18" i="1" s="1"/>
  <c r="R18" i="1" s="1"/>
  <c r="S18" i="1" s="1"/>
  <c r="X33" i="1"/>
  <c r="Y33" i="1" s="1"/>
  <c r="V33" i="1"/>
  <c r="W33" i="1" s="1"/>
  <c r="T37" i="1"/>
  <c r="Q37" i="1"/>
  <c r="R37" i="1" s="1"/>
  <c r="S37" i="1" s="1"/>
  <c r="T30" i="1"/>
  <c r="Q30" i="1"/>
  <c r="R30" i="1" s="1"/>
  <c r="S30" i="1" s="1"/>
  <c r="F19" i="1"/>
  <c r="K19" i="1"/>
  <c r="M19" i="1"/>
  <c r="T12" i="1" l="1"/>
  <c r="Q12" i="1"/>
  <c r="R12" i="1" s="1"/>
  <c r="S12" i="1" s="1"/>
  <c r="V18" i="1"/>
  <c r="W18" i="1" s="1"/>
  <c r="X18" i="1"/>
  <c r="Y18" i="1" s="1"/>
  <c r="T19" i="1"/>
  <c r="Q19" i="1"/>
  <c r="R19" i="1" s="1"/>
  <c r="S19" i="1" s="1"/>
  <c r="X10" i="1"/>
  <c r="Y10" i="1" s="1"/>
  <c r="V10" i="1"/>
  <c r="W10" i="1" s="1"/>
  <c r="X37" i="1"/>
  <c r="Y37" i="1" s="1"/>
  <c r="V37" i="1"/>
  <c r="W37" i="1" s="1"/>
  <c r="F13" i="1"/>
  <c r="M13" i="1"/>
  <c r="K13" i="1"/>
  <c r="X36" i="1"/>
  <c r="Y36" i="1" s="1"/>
  <c r="V36" i="1"/>
  <c r="W36" i="1" s="1"/>
  <c r="U38" i="1" s="1"/>
  <c r="X23" i="1"/>
  <c r="Y23" i="1" s="1"/>
  <c r="V23" i="1"/>
  <c r="W23" i="1" s="1"/>
  <c r="V31" i="1"/>
  <c r="W31" i="1" s="1"/>
  <c r="X31" i="1"/>
  <c r="Y31" i="1" s="1"/>
  <c r="F25" i="1"/>
  <c r="K25" i="1" s="1"/>
  <c r="E26" i="1"/>
  <c r="X11" i="1"/>
  <c r="Y11" i="1" s="1"/>
  <c r="V11" i="1"/>
  <c r="W11" i="1" s="1"/>
  <c r="Q24" i="1"/>
  <c r="R24" i="1" s="1"/>
  <c r="S24" i="1" s="1"/>
  <c r="T24" i="1"/>
  <c r="X30" i="1"/>
  <c r="Y30" i="1" s="1"/>
  <c r="V30" i="1"/>
  <c r="W30" i="1" s="1"/>
  <c r="T25" i="1" l="1"/>
  <c r="U20" i="1"/>
  <c r="F26" i="1"/>
  <c r="K26" i="1"/>
  <c r="M26" i="1"/>
  <c r="X24" i="1"/>
  <c r="Y24" i="1" s="1"/>
  <c r="V24" i="1"/>
  <c r="W24" i="1" s="1"/>
  <c r="U32" i="1"/>
  <c r="X19" i="1"/>
  <c r="Y19" i="1" s="1"/>
  <c r="V19" i="1"/>
  <c r="W19" i="1" s="1"/>
  <c r="X12" i="1"/>
  <c r="Y12" i="1" s="1"/>
  <c r="V12" i="1"/>
  <c r="W12" i="1" s="1"/>
  <c r="M25" i="1"/>
  <c r="Q25" i="1" s="1"/>
  <c r="R25" i="1" s="1"/>
  <c r="S25" i="1" s="1"/>
  <c r="T13" i="1"/>
  <c r="Q13" i="1"/>
  <c r="R13" i="1" s="1"/>
  <c r="S13" i="1" s="1"/>
  <c r="X25" i="1" l="1"/>
  <c r="Y25" i="1" s="1"/>
  <c r="V25" i="1"/>
  <c r="W25" i="1" s="1"/>
  <c r="T26" i="1"/>
  <c r="Q26" i="1"/>
  <c r="R26" i="1" s="1"/>
  <c r="S26" i="1" s="1"/>
  <c r="V13" i="1"/>
  <c r="W13" i="1" s="1"/>
  <c r="U14" i="1" s="1"/>
  <c r="X13" i="1"/>
  <c r="Y13" i="1" s="1"/>
  <c r="X26" i="1" l="1"/>
  <c r="Y26" i="1" s="1"/>
  <c r="V26" i="1"/>
  <c r="W26" i="1" s="1"/>
  <c r="U26" i="1" s="1"/>
</calcChain>
</file>

<file path=xl/sharedStrings.xml><?xml version="1.0" encoding="utf-8"?>
<sst xmlns="http://schemas.openxmlformats.org/spreadsheetml/2006/main" count="857" uniqueCount="666">
  <si>
    <t>R</t>
  </si>
  <si>
    <t>Virial Fit</t>
  </si>
  <si>
    <t>T</t>
  </si>
  <si>
    <t>pH avg</t>
  </si>
  <si>
    <t>[H3O+]</t>
  </si>
  <si>
    <t>[OH-]</t>
  </si>
  <si>
    <t>Pcharge</t>
  </si>
  <si>
    <t>[P] (g/L)</t>
  </si>
  <si>
    <t>[P] (mol/L)</t>
  </si>
  <si>
    <t>[P] (uM)</t>
  </si>
  <si>
    <t>mP (mol/g)</t>
  </si>
  <si>
    <t>[Buffer] (mol/L)</t>
  </si>
  <si>
    <t>mBuffer (mol/g)</t>
  </si>
  <si>
    <t>[NaN3] (M)</t>
  </si>
  <si>
    <t>𝝥 (mmH2O)</t>
  </si>
  <si>
    <t>𝝥 (Pa)</t>
  </si>
  <si>
    <t>𝝥0 (Pa)</t>
  </si>
  <si>
    <t>𝝫</t>
  </si>
  <si>
    <t>𝝫-1</t>
  </si>
  <si>
    <t>𝝫-1 fit</t>
  </si>
  <si>
    <t>polynomial</t>
  </si>
  <si>
    <t>res</t>
  </si>
  <si>
    <t>res2</t>
  </si>
  <si>
    <t>𝜸 (m)</t>
  </si>
  <si>
    <t>𝜸 (m) [plotted]</t>
  </si>
  <si>
    <t>[P] (mol/m3)</t>
  </si>
  <si>
    <t>𝝥/RT</t>
  </si>
  <si>
    <t>Param</t>
  </si>
  <si>
    <t>𝝥/RT fit</t>
  </si>
  <si>
    <t>Partial</t>
  </si>
  <si>
    <t>mL/g</t>
  </si>
  <si>
    <t>Specific</t>
  </si>
  <si>
    <t>From Sigma Aldrich</t>
  </si>
  <si>
    <t>Volume</t>
  </si>
  <si>
    <t>Rho(H2O)</t>
  </si>
  <si>
    <t>g/L</t>
  </si>
  <si>
    <t>MW(Na)</t>
  </si>
  <si>
    <t>MW(Cl)</t>
  </si>
  <si>
    <t>MW(H3O+)</t>
  </si>
  <si>
    <t>MW(OH-)</t>
  </si>
  <si>
    <t>MW(protein)</t>
  </si>
  <si>
    <t>Corrections applied to this workbook</t>
  </si>
  <si>
    <t>Molality: the original water mass per litre, rho_w - c*M - (salt masses), assumes that the solution density equals the density of water, which overestimates the volume of water displaced by the protein by a factor of about 1/(nu*rho_w) = 1.36. The protein term is now rho_w*c*M*nu (nu = protein partial specific volume, cell B5). The salt terms were kept as in the original; note that subtracting salt masses (instead of salt volumes) underestimates the water mass at high salt (by about 20% at 5 M NaCl).</t>
  </si>
  <si>
    <t>Molal versus molar scale: the original conversion in the "(c)" columns, gamma_m*rho*18.015/(rho*18.015 + sum c), differs from gamma_m by less than 1e-4, so all plotted activity coefficients are in fact on the molality scale (per kg of water), like the virial (Agena) values. These columns now equal the molal values explicitly and are labelled accordingly. A molar-scale conversion (gamma_c = gamma_m*m*rho_w/c) would require the solution density, which is not available; with the salt-mass approximation used here it would be unreliable at high salt.</t>
  </si>
  <si>
    <t>E30:E31: [H3O+] evaluated to 1 mol/L because the pH cell of that row is empty; now taken from the row above (pH 7.4).</t>
  </si>
  <si>
    <t>Virial fit (AI:AN, not used in the paper): concentration converted to mol/m3 to match Pi/RT, consecutive virial terms, parameters refitted.</t>
  </si>
  <si>
    <t>Polynomial fits of phi-1 versus molality were recomputed by linear least squares with the same terms and the same data points as the original Solver fits (points whose residual was set to 0 in the original remain excluded).</t>
  </si>
  <si>
    <t>Cell</t>
  </si>
  <si>
    <t>Original</t>
  </si>
  <si>
    <t>Corrected</t>
  </si>
  <si>
    <t>Reason</t>
  </si>
  <si>
    <t>K3</t>
  </si>
  <si>
    <t>=I3/($B$10 - I3*$B$17 - L3*($B$12+$B$13) - E3*$B$14 - F3*$B$15 - N3*65.0099)</t>
  </si>
  <si>
    <t>=I3/($B$10*(1-I3*$B$17*$B$5/1000) - L3*($B$12+$B$13) - E3*$B$14 - F3*$B$15 - N3*65.0099)</t>
  </si>
  <si>
    <t>molality: protein term of the water mass uses the partial specific volume, rho_w*(1 - c*M*nu), instead of subtracting the protein mass from rho_w</t>
  </si>
  <si>
    <t>M3</t>
  </si>
  <si>
    <t>=L3/($B$10 - I3*$B$17 - L3*($B$12+$B$13) - E3*$B$14 - F3*$B$15 - N3*65.0099)</t>
  </si>
  <si>
    <t>=L3/($B$10*(1-I3*$B$17*$B$5/1000) - L3*($B$12+$B$13) - E3*$B$14 - F3*$B$15 - N3*65.0099)</t>
  </si>
  <si>
    <t>buffer molality: same correction</t>
  </si>
  <si>
    <t>K4</t>
  </si>
  <si>
    <t>=I4/($B$10 - I4*$B$17 - L4*($B$12+$B$13) - E4*$B$14 - F4*$B$15 - N4*65.0099)</t>
  </si>
  <si>
    <t>=I4/($B$10*(1-I4*$B$17*$B$5/1000) - L4*($B$12+$B$13) - E4*$B$14 - F4*$B$15 - N4*65.0099)</t>
  </si>
  <si>
    <t>M4</t>
  </si>
  <si>
    <t>=L4/($B$10 - I4*$B$17 - L4*($B$12+$B$13) - E4*$B$14 - F4*$B$15 - N4*65.0099)</t>
  </si>
  <si>
    <t>=L4/($B$10*(1-I4*$B$17*$B$5/1000) - L4*($B$12+$B$13) - E4*$B$14 - F4*$B$15 - N4*65.0099)</t>
  </si>
  <si>
    <t>K5</t>
  </si>
  <si>
    <t>=I5/($B$10 - I5*$B$17 - L5*($B$12+$B$13) - E5*$B$14 - F5*$B$15 - N5*65.0099)</t>
  </si>
  <si>
    <t>=I5/($B$10*(1-I5*$B$17*$B$5/1000) - L5*($B$12+$B$13) - E5*$B$14 - F5*$B$15 - N5*65.0099)</t>
  </si>
  <si>
    <t>M5</t>
  </si>
  <si>
    <t>=L5/($B$10 - I5*$B$17 - L5*($B$12+$B$13) - E5*$B$14 - F5*$B$15 - N5*65.0099)</t>
  </si>
  <si>
    <t>=L5/($B$10*(1-I5*$B$17*$B$5/1000) - L5*($B$12+$B$13) - E5*$B$14 - F5*$B$15 - N5*65.0099)</t>
  </si>
  <si>
    <t>K6</t>
  </si>
  <si>
    <t>=I6/($B$10 - I6*$B$17 - L6*($B$12+$B$13) - E6*$B$14 - F6*$B$15 - N6*65.0099)</t>
  </si>
  <si>
    <t>=I6/($B$10*(1-I6*$B$17*$B$5/1000) - L6*($B$12+$B$13) - E6*$B$14 - F6*$B$15 - N6*65.0099)</t>
  </si>
  <si>
    <t>M6</t>
  </si>
  <si>
    <t>=L6/($B$10 - I6*$B$17 - L6*($B$12+$B$13) - E6*$B$14 - F6*$B$15 - N6*65.0099)</t>
  </si>
  <si>
    <t>=L6/($B$10*(1-I6*$B$17*$B$5/1000) - L6*($B$12+$B$13) - E6*$B$14 - F6*$B$15 - N6*65.0099)</t>
  </si>
  <si>
    <t>K7</t>
  </si>
  <si>
    <t>=I7/($B$10 - I7*$B$17 - L7*($B$12+$B$13) - E7*$B$14 - F7*$B$15 - N7*65.0099)</t>
  </si>
  <si>
    <t>=I7/($B$10*(1-I7*$B$17*$B$5/1000) - L7*($B$12+$B$13) - E7*$B$14 - F7*$B$15 - N7*65.0099)</t>
  </si>
  <si>
    <t>M7</t>
  </si>
  <si>
    <t>=L7/($B$10 - I7*$B$17 - L7*($B$12+$B$13) - E7*$B$14 - F7*$B$15 - N7*65.0099)</t>
  </si>
  <si>
    <t>=L7/($B$10*(1-I7*$B$17*$B$5/1000) - L7*($B$12+$B$13) - E7*$B$14 - F7*$B$15 - N7*65.0099)</t>
  </si>
  <si>
    <t>K9</t>
  </si>
  <si>
    <t>=I9/($B$10 - I9*$B$17 - L9*($B$12+$B$13) - E9*$B$14 - F9*$B$15 - N9*65.0099)</t>
  </si>
  <si>
    <t>=I9/($B$10*(1-I9*$B$17*$B$5/1000) - L9*($B$12+$B$13) - E9*$B$14 - F9*$B$15 - N9*65.0099)</t>
  </si>
  <si>
    <t>M9</t>
  </si>
  <si>
    <t>=L9/($B$10 - I9*$B$17 - L9*($B$12+$B$13) - E9*$B$14 - F9*$B$15 - N9*65.0099)</t>
  </si>
  <si>
    <t>=L9/($B$10*(1-I9*$B$17*$B$5/1000) - L9*($B$12+$B$13) - E9*$B$14 - F9*$B$15 - N9*65.0099)</t>
  </si>
  <si>
    <t>K10</t>
  </si>
  <si>
    <t>=I10/($B$10 - I10*$B$17 - L10*($B$12+$B$13) - E10*$B$14 - F10*$B$15 - N10*65.0099)</t>
  </si>
  <si>
    <t>=I10/($B$10*(1-I10*$B$17*$B$5/1000) - L10*($B$12+$B$13) - E10*$B$14 - F10*$B$15 - N10*65.0099)</t>
  </si>
  <si>
    <t>M10</t>
  </si>
  <si>
    <t>=L10/($B$10 - I10*$B$17 - L10*($B$12+$B$13) - E10*$B$14 - F10*$B$15 - N10*65.0099)</t>
  </si>
  <si>
    <t>=L10/($B$10*(1-I10*$B$17*$B$5/1000) - L10*($B$12+$B$13) - E10*$B$14 - F10*$B$15 - N10*65.0099)</t>
  </si>
  <si>
    <t>K11</t>
  </si>
  <si>
    <t>=I11/($B$10 - I11*$B$17 - L11*($B$12+$B$13) - E11*$B$14 - F11*$B$15 - N11*65.0099)</t>
  </si>
  <si>
    <t>=I11/($B$10*(1-I11*$B$17*$B$5/1000) - L11*($B$12+$B$13) - E11*$B$14 - F11*$B$15 - N11*65.0099)</t>
  </si>
  <si>
    <t>M11</t>
  </si>
  <si>
    <t>=L11/($B$10 - I11*$B$17 - L11*($B$12+$B$13) - E11*$B$14 - F11*$B$15 - N11*65.0099)</t>
  </si>
  <si>
    <t>=L11/($B$10*(1-I11*$B$17*$B$5/1000) - L11*($B$12+$B$13) - E11*$B$14 - F11*$B$15 - N11*65.0099)</t>
  </si>
  <si>
    <t>K12</t>
  </si>
  <si>
    <t>=I12/($B$10 - I12*$B$17 - L12*($B$12+$B$13) - E12*$B$14 - F12*$B$15 - N12*65.0099)</t>
  </si>
  <si>
    <t>=I12/($B$10*(1-I12*$B$17*$B$5/1000) - L12*($B$12+$B$13) - E12*$B$14 - F12*$B$15 - N12*65.0099)</t>
  </si>
  <si>
    <t>M12</t>
  </si>
  <si>
    <t>=L12/($B$10 - I12*$B$17 - L12*($B$12+$B$13) - E12*$B$14 - F12*$B$15 - N12*65.0099)</t>
  </si>
  <si>
    <t>=L12/($B$10*(1-I12*$B$17*$B$5/1000) - L12*($B$12+$B$13) - E12*$B$14 - F12*$B$15 - N12*65.0099)</t>
  </si>
  <si>
    <t>K13</t>
  </si>
  <si>
    <t>=I13/($B$10 - I13*$B$17 - L13*($B$12+$B$13) - E13*$B$14 - F13*$B$15 - N13*65.0099)</t>
  </si>
  <si>
    <t>=I13/($B$10*(1-I13*$B$17*$B$5/1000) - L13*($B$12+$B$13) - E13*$B$14 - F13*$B$15 - N13*65.0099)</t>
  </si>
  <si>
    <t>M13</t>
  </si>
  <si>
    <t>=L13/($B$10 - I13*$B$17 - L13*($B$12+$B$13) - E13*$B$14 - F13*$B$15 - N13*65.0099)</t>
  </si>
  <si>
    <t>=L13/($B$10*(1-I13*$B$17*$B$5/1000) - L13*($B$12+$B$13) - E13*$B$14 - F13*$B$15 - N13*65.0099)</t>
  </si>
  <si>
    <t>K15</t>
  </si>
  <si>
    <t>=I15/($B$10 - I15*$B$17 - L15*($B$12+$B$13) - E15*$B$14 - F15*$B$15 - N15*65.0099)</t>
  </si>
  <si>
    <t>=I15/($B$10*(1-I15*$B$17*$B$5/1000) - L15*($B$12+$B$13) - E15*$B$14 - F15*$B$15 - N15*65.0099)</t>
  </si>
  <si>
    <t>M15</t>
  </si>
  <si>
    <t>=L15/($B$10 - I15*$B$17 - L15*($B$12+$B$13) - E15*$B$14 - F15*$B$15 - N15*65.0099)</t>
  </si>
  <si>
    <t>=L15/($B$10*(1-I15*$B$17*$B$5/1000) - L15*($B$12+$B$13) - E15*$B$14 - F15*$B$15 - N15*65.0099)</t>
  </si>
  <si>
    <t>K16</t>
  </si>
  <si>
    <t>=I16/($B$10 - I16*$B$17 - L16*($B$12+$B$13) - E16*$B$14 - F16*$B$15 - N16*65.0099)</t>
  </si>
  <si>
    <t>=I16/($B$10*(1-I16*$B$17*$B$5/1000) - L16*($B$12+$B$13) - E16*$B$14 - F16*$B$15 - N16*65.0099)</t>
  </si>
  <si>
    <t>M16</t>
  </si>
  <si>
    <t>=L16/($B$10 - I16*$B$17 - L16*($B$12+$B$13) - E16*$B$14 - F16*$B$15 - N16*65.0099)</t>
  </si>
  <si>
    <t>=L16/($B$10*(1-I16*$B$17*$B$5/1000) - L16*($B$12+$B$13) - E16*$B$14 - F16*$B$15 - N16*65.0099)</t>
  </si>
  <si>
    <t>K17</t>
  </si>
  <si>
    <t>=I17/($B$10 - I17*$B$17 - L17*($B$12+$B$13) - E17*$B$14 - F17*$B$15 - N17*65.0099)</t>
  </si>
  <si>
    <t>=I17/($B$10*(1-I17*$B$17*$B$5/1000) - L17*($B$12+$B$13) - E17*$B$14 - F17*$B$15 - N17*65.0099)</t>
  </si>
  <si>
    <t>M17</t>
  </si>
  <si>
    <t>=L17/($B$10 - I17*$B$17 - L17*($B$12+$B$13) - E17*$B$14 - F17*$B$15 - N17*65.0099)</t>
  </si>
  <si>
    <t>=L17/($B$10*(1-I17*$B$17*$B$5/1000) - L17*($B$12+$B$13) - E17*$B$14 - F17*$B$15 - N17*65.0099)</t>
  </si>
  <si>
    <t>K18</t>
  </si>
  <si>
    <t>=I18/($B$10 - I18*$B$17 - L18*($B$12+$B$13) - E18*$B$14 - F18*$B$15 - N18*65.0099)</t>
  </si>
  <si>
    <t>=I18/($B$10*(1-I18*$B$17*$B$5/1000) - L18*($B$12+$B$13) - E18*$B$14 - F18*$B$15 - N18*65.0099)</t>
  </si>
  <si>
    <t>M18</t>
  </si>
  <si>
    <t>=L18/($B$10 - I18*$B$17 - L18*($B$12+$B$13) - E18*$B$14 - F18*$B$15 - N18*65.0099)</t>
  </si>
  <si>
    <t>=L18/($B$10*(1-I18*$B$17*$B$5/1000) - L18*($B$12+$B$13) - E18*$B$14 - F18*$B$15 - N18*65.0099)</t>
  </si>
  <si>
    <t>K19</t>
  </si>
  <si>
    <t>=I19/($B$10 - I19*$B$17 - L19*($B$12+$B$13) - E19*$B$14 - F19*$B$15 - N19*65.0099)</t>
  </si>
  <si>
    <t>=I19/($B$10*(1-I19*$B$17*$B$5/1000) - L19*($B$12+$B$13) - E19*$B$14 - F19*$B$15 - N19*65.0099)</t>
  </si>
  <si>
    <t>M19</t>
  </si>
  <si>
    <t>=L19/($B$10 - I19*$B$17 - L19*($B$12+$B$13) - E19*$B$14 - F19*$B$15 - N19*65.0099)</t>
  </si>
  <si>
    <t>=L19/($B$10*(1-I19*$B$17*$B$5/1000) - L19*($B$12+$B$13) - E19*$B$14 - F19*$B$15 - N19*65.0099)</t>
  </si>
  <si>
    <t>K21</t>
  </si>
  <si>
    <t>=I21/($B$10 - I21*$B$17 - L21*($B$12+$B$13) - E21*$B$14 - F21*$B$15 - N21*65.0099)</t>
  </si>
  <si>
    <t>=I21/($B$10*(1-I21*$B$17*$B$5/1000) - L21*($B$12+$B$13) - E21*$B$14 - F21*$B$15 - N21*65.0099)</t>
  </si>
  <si>
    <t>M21</t>
  </si>
  <si>
    <t>=L21/($B$10 - I21*$B$17 - L21*($B$12+$B$13) - E21*$B$14 - F21*$B$15 - N21*65.0099)</t>
  </si>
  <si>
    <t>=L21/($B$10*(1-I21*$B$17*$B$5/1000) - L21*($B$12+$B$13) - E21*$B$14 - F21*$B$15 - N21*65.0099)</t>
  </si>
  <si>
    <t>K22</t>
  </si>
  <si>
    <t>=I22/($B$10 - I22*$B$17 - L22*($B$12+$B$13) - E22*$B$14 - F22*$B$15 - N22*65.0099)</t>
  </si>
  <si>
    <t>=I22/($B$10*(1-I22*$B$17*$B$5/1000) - L22*($B$12+$B$13) - E22*$B$14 - F22*$B$15 - N22*65.0099)</t>
  </si>
  <si>
    <t>M22</t>
  </si>
  <si>
    <t>=L22/($B$10 - I22*$B$17 - L22*($B$12+$B$13) - E22*$B$14 - F22*$B$15 - N22*65.0099)</t>
  </si>
  <si>
    <t>=L22/($B$10*(1-I22*$B$17*$B$5/1000) - L22*($B$12+$B$13) - E22*$B$14 - F22*$B$15 - N22*65.0099)</t>
  </si>
  <si>
    <t>K23</t>
  </si>
  <si>
    <t>=I23/($B$10 - I23*$B$17 - L23*($B$12+$B$13) - E23*$B$14 - F23*$B$15 - N23*65.0099)</t>
  </si>
  <si>
    <t>=I23/($B$10*(1-I23*$B$17*$B$5/1000) - L23*($B$12+$B$13) - E23*$B$14 - F23*$B$15 - N23*65.0099)</t>
  </si>
  <si>
    <t>M23</t>
  </si>
  <si>
    <t>=L23/($B$10 - I23*$B$17 - L23*($B$12+$B$13) - E23*$B$14 - F23*$B$15 - N23*65.0099)</t>
  </si>
  <si>
    <t>=L23/($B$10*(1-I23*$B$17*$B$5/1000) - L23*($B$12+$B$13) - E23*$B$14 - F23*$B$15 - N23*65.0099)</t>
  </si>
  <si>
    <t>K24</t>
  </si>
  <si>
    <t>=I24/($B$10 - I24*$B$17 - L24*($B$12+$B$13) - E24*$B$14 - F24*$B$15 - N24*65.0099)</t>
  </si>
  <si>
    <t>=I24/($B$10*(1-I24*$B$17*$B$5/1000) - L24*($B$12+$B$13) - E24*$B$14 - F24*$B$15 - N24*65.0099)</t>
  </si>
  <si>
    <t>M24</t>
  </si>
  <si>
    <t>=L24/($B$10 - I24*$B$17 - L24*($B$12+$B$13) - E24*$B$14 - F24*$B$15 - N24*65.0099)</t>
  </si>
  <si>
    <t>=L24/($B$10*(1-I24*$B$17*$B$5/1000) - L24*($B$12+$B$13) - E24*$B$14 - F24*$B$15 - N24*65.0099)</t>
  </si>
  <si>
    <t>K25</t>
  </si>
  <si>
    <t>=I25/($B$10 - I25*$B$17 - L25*($B$12+$B$13) - E25*$B$14 - F25*$B$15 - N25*65.0099)</t>
  </si>
  <si>
    <t>=I25/($B$10*(1-I25*$B$17*$B$5/1000) - L25*($B$12+$B$13) - E25*$B$14 - F25*$B$15 - N25*65.0099)</t>
  </si>
  <si>
    <t>M25</t>
  </si>
  <si>
    <t>=L25/($B$10 - I25*$B$17 - L25*($B$12+$B$13) - E25*$B$14 - F25*$B$15 - N25*65.0099)</t>
  </si>
  <si>
    <t>=L25/($B$10*(1-I25*$B$17*$B$5/1000) - L25*($B$12+$B$13) - E25*$B$14 - F25*$B$15 - N25*65.0099)</t>
  </si>
  <si>
    <t>K26</t>
  </si>
  <si>
    <t>=I26/($B$10 - I26*$B$17 - L26*($B$12+$B$13) - E26*$B$14 - F26*$B$15 - N26*65.0099)</t>
  </si>
  <si>
    <t>=I26/($B$10*(1-I26*$B$17*$B$5/1000) - L26*($B$12+$B$13) - E26*$B$14 - F26*$B$15 - N26*65.0099)</t>
  </si>
  <si>
    <t>M26</t>
  </si>
  <si>
    <t>=L26/($B$10 - I26*$B$17 - L26*($B$12+$B$13) - E26*$B$14 - F26*$B$15 - N26*65.0099)</t>
  </si>
  <si>
    <t>=L26/($B$10*(1-I26*$B$17*$B$5/1000) - L26*($B$12+$B$13) - E26*$B$14 - F26*$B$15 - N26*65.0099)</t>
  </si>
  <si>
    <t>K27</t>
  </si>
  <si>
    <t>=I27/($B$10 - I27*$B$17 - L27*($B$12+$B$13) - E27*$B$14 - F27*$B$15 - N27*65.0099)</t>
  </si>
  <si>
    <t>=I27/($B$10*(1-I27*$B$17*$B$5/1000) - L27*($B$12+$B$13) - E27*$B$14 - F27*$B$15 - N27*65.0099)</t>
  </si>
  <si>
    <t>M27</t>
  </si>
  <si>
    <t>=L27/($B$10 - I27*$B$17 - L27*($B$12+$B$13) - E27*$B$14 - F27*$B$15 - N27*65.0099)</t>
  </si>
  <si>
    <t>=L27/($B$10*(1-I27*$B$17*$B$5/1000) - L27*($B$12+$B$13) - E27*$B$14 - F27*$B$15 - N27*65.0099)</t>
  </si>
  <si>
    <t>K28</t>
  </si>
  <si>
    <t>=I28/($B$10 - I28*$B$17 - L28*($B$12+$B$13) - E28*$B$14 - F28*$B$15 - N28*65.0099)</t>
  </si>
  <si>
    <t>=I28/($B$10*(1-I28*$B$17*$B$5/1000) - L28*($B$12+$B$13) - E28*$B$14 - F28*$B$15 - N28*65.0099)</t>
  </si>
  <si>
    <t>M28</t>
  </si>
  <si>
    <t>=L28/($B$10 - I28*$B$17 - L28*($B$12+$B$13) - E28*$B$14 - F28*$B$15 - N28*65.0099)</t>
  </si>
  <si>
    <t>=L28/($B$10*(1-I28*$B$17*$B$5/1000) - L28*($B$12+$B$13) - E28*$B$14 - F28*$B$15 - N28*65.0099)</t>
  </si>
  <si>
    <t>K29</t>
  </si>
  <si>
    <t>=I29/($B$10 - I29*$B$17 - L29*($B$12+$B$13) - E29*$B$14 - F29*$B$15 - N29*65.0099)</t>
  </si>
  <si>
    <t>=I29/($B$10*(1-I29*$B$17*$B$5/1000) - L29*($B$12+$B$13) - E29*$B$14 - F29*$B$15 - N29*65.0099)</t>
  </si>
  <si>
    <t>M29</t>
  </si>
  <si>
    <t>=L29/($B$10 - I29*$B$17 - L29*($B$12+$B$13) - E29*$B$14 - F29*$B$15 - N29*65.0099)</t>
  </si>
  <si>
    <t>=L29/($B$10*(1-I29*$B$17*$B$5/1000) - L29*($B$12+$B$13) - E29*$B$14 - F29*$B$15 - N29*65.0099)</t>
  </si>
  <si>
    <t>K30</t>
  </si>
  <si>
    <t>=I30/($B$10 - I30*$B$17 - L30*($B$12+$B$13) - E30*$B$14 - F30*$B$15 - N30*65.0099)</t>
  </si>
  <si>
    <t>=I30/($B$10*(1-I30*$B$17*$B$5/1000) - L30*($B$12+$B$13) - E30*$B$14 - F30*$B$15 - N30*65.0099)</t>
  </si>
  <si>
    <t>M30</t>
  </si>
  <si>
    <t>=L30/($B$10 - I30*$B$17 - L30*($B$12+$B$13) - E30*$B$14 - F30*$B$15 - N30*65.0099)</t>
  </si>
  <si>
    <t>=L30/($B$10*(1-I30*$B$17*$B$5/1000) - L30*($B$12+$B$13) - E30*$B$14 - F30*$B$15 - N30*65.0099)</t>
  </si>
  <si>
    <t>K31</t>
  </si>
  <si>
    <t>=I31/($B$10 - I31*$B$17 - L31*($B$12+$B$13) - E31*$B$14 - F31*$B$15 - N31*65.0099)</t>
  </si>
  <si>
    <t>=I31/($B$10*(1-I31*$B$17*$B$5/1000) - L31*($B$12+$B$13) - E31*$B$14 - F31*$B$15 - N31*65.0099)</t>
  </si>
  <si>
    <t>M31</t>
  </si>
  <si>
    <t>=L31/($B$10 - I31*$B$17 - L31*($B$12+$B$13) - E31*$B$14 - F31*$B$15 - N31*65.0099)</t>
  </si>
  <si>
    <t>=L31/($B$10*(1-I31*$B$17*$B$5/1000) - L31*($B$12+$B$13) - E31*$B$14 - F31*$B$15 - N31*65.0099)</t>
  </si>
  <si>
    <t>K33</t>
  </si>
  <si>
    <t>=I33/($B$10 - I33*$B$17 - L33*($B$12+$B$13) - E33*$B$14 - F33*$B$15 - N33*65.0099)</t>
  </si>
  <si>
    <t>=I33/($B$10*(1-I33*$B$17*$B$5/1000) - L33*($B$12+$B$13) - E33*$B$14 - F33*$B$15 - N33*65.0099)</t>
  </si>
  <si>
    <t>M33</t>
  </si>
  <si>
    <t>=L33/($B$10 - I33*$B$17 - L33*($B$12+$B$13) - E33*$B$14 - F33*$B$15 - N33*65.0099)</t>
  </si>
  <si>
    <t>=L33/($B$10*(1-I33*$B$17*$B$5/1000) - L33*($B$12+$B$13) - E33*$B$14 - F33*$B$15 - N33*65.0099)</t>
  </si>
  <si>
    <t>K34</t>
  </si>
  <si>
    <t>=I34/($B$10 - I34*$B$17 - L34*($B$12+$B$13) - E34*$B$14 - F34*$B$15 - N34*65.0099)</t>
  </si>
  <si>
    <t>=I34/($B$10*(1-I34*$B$17*$B$5/1000) - L34*($B$12+$B$13) - E34*$B$14 - F34*$B$15 - N34*65.0099)</t>
  </si>
  <si>
    <t>M34</t>
  </si>
  <si>
    <t>=L34/($B$10 - I34*$B$17 - L34*($B$12+$B$13) - E34*$B$14 - F34*$B$15 - N34*65.0099)</t>
  </si>
  <si>
    <t>=L34/($B$10*(1-I34*$B$17*$B$5/1000) - L34*($B$12+$B$13) - E34*$B$14 - F34*$B$15 - N34*65.0099)</t>
  </si>
  <si>
    <t>K35</t>
  </si>
  <si>
    <t>=I35/($B$10 - I35*$B$17 - L35*($B$12+$B$13) - E35*$B$14 - F35*$B$15 - N35*65.0099)</t>
  </si>
  <si>
    <t>=I35/($B$10*(1-I35*$B$17*$B$5/1000) - L35*($B$12+$B$13) - E35*$B$14 - F35*$B$15 - N35*65.0099)</t>
  </si>
  <si>
    <t>M35</t>
  </si>
  <si>
    <t>=L35/($B$10 - I35*$B$17 - L35*($B$12+$B$13) - E35*$B$14 - F35*$B$15 - N35*65.0099)</t>
  </si>
  <si>
    <t>=L35/($B$10*(1-I35*$B$17*$B$5/1000) - L35*($B$12+$B$13) - E35*$B$14 - F35*$B$15 - N35*65.0099)</t>
  </si>
  <si>
    <t>K36</t>
  </si>
  <si>
    <t>=I36/($B$10 - I36*$B$17 - L36*($B$12+$B$13) - E36*$B$14 - F36*$B$15 - N36*65.0099)</t>
  </si>
  <si>
    <t>=I36/($B$10*(1-I36*$B$17*$B$5/1000) - L36*($B$12+$B$13) - E36*$B$14 - F36*$B$15 - N36*65.0099)</t>
  </si>
  <si>
    <t>M36</t>
  </si>
  <si>
    <t>=L36/($B$10 - I36*$B$17 - L36*($B$12+$B$13) - E36*$B$14 - F36*$B$15 - N36*65.0099)</t>
  </si>
  <si>
    <t>=L36/($B$10*(1-I36*$B$17*$B$5/1000) - L36*($B$12+$B$13) - E36*$B$14 - F36*$B$15 - N36*65.0099)</t>
  </si>
  <si>
    <t>K37</t>
  </si>
  <si>
    <t>=I37/($B$10 - I37*$B$17 - L37*($B$12+$B$13) - E37*$B$14 - F37*$B$15 - N37*65.0099)</t>
  </si>
  <si>
    <t>=I37/($B$10*(1-I37*$B$17*$B$5/1000) - L37*($B$12+$B$13) - E37*$B$14 - F37*$B$15 - N37*65.0099)</t>
  </si>
  <si>
    <t>M37</t>
  </si>
  <si>
    <t>=L37/($B$10 - I37*$B$17 - L37*($B$12+$B$13) - E37*$B$14 - F37*$B$15 - N37*65.0099)</t>
  </si>
  <si>
    <t>=L37/($B$10*(1-I37*$B$17*$B$5/1000) - L37*($B$12+$B$13) - E37*$B$14 - F37*$B$15 - N37*65.0099)</t>
  </si>
  <si>
    <t>Y3</t>
  </si>
  <si>
    <t>=X3*$B$10*18.01528/($B$10*18.01528 + I3+E3+F3+L3+N3)</t>
  </si>
  <si>
    <t>=X3</t>
  </si>
  <si>
    <t>the original "molar" conversion equals gamma_m to within 1e-4; the column now states that it holds the molal value</t>
  </si>
  <si>
    <t>Y4</t>
  </si>
  <si>
    <t>=X4*$B$10*18.01528/($B$10*18.01528 + I4+E4+F4+L4+N4)</t>
  </si>
  <si>
    <t>=X4</t>
  </si>
  <si>
    <t>Y5</t>
  </si>
  <si>
    <t>=X5*$B$10*18.01528/($B$10*18.01528 + I5+E5+F5+L5+N5)</t>
  </si>
  <si>
    <t>=X5</t>
  </si>
  <si>
    <t>Y6</t>
  </si>
  <si>
    <t>=X6*$B$10*18.01528/($B$10*18.01528 + I6+E6+F6+L6+N6)</t>
  </si>
  <si>
    <t>=X6</t>
  </si>
  <si>
    <t>Y7</t>
  </si>
  <si>
    <t>=X7*$B$10*18.01528/($B$10*18.01528 + I7+E7+F7+L7+N7)</t>
  </si>
  <si>
    <t>=X7</t>
  </si>
  <si>
    <t>Y9</t>
  </si>
  <si>
    <t>=X9*$B$10*18.01528/($B$10*18.01528 + I9+E9+F9+L9+N9)</t>
  </si>
  <si>
    <t>=X9</t>
  </si>
  <si>
    <t>Y10</t>
  </si>
  <si>
    <t>=X10*$B$10*18.01528/($B$10*18.01528 + I10+E10+F10+L10+N10)</t>
  </si>
  <si>
    <t>=X10</t>
  </si>
  <si>
    <t>Y11</t>
  </si>
  <si>
    <t>=X11*$B$10*18.01528/($B$10*18.01528 + I11+E11+F11+L11+N11)</t>
  </si>
  <si>
    <t>=X11</t>
  </si>
  <si>
    <t>Y12</t>
  </si>
  <si>
    <t>=X12*$B$10*18.01528/($B$10*18.01528 + I12+E12+F12+L12+N12)</t>
  </si>
  <si>
    <t>=X12</t>
  </si>
  <si>
    <t>Y13</t>
  </si>
  <si>
    <t>=X13*$B$10*18.01528/($B$10*18.01528 + I13+E13+F13+L13+N13)</t>
  </si>
  <si>
    <t>=X13</t>
  </si>
  <si>
    <t>Y15</t>
  </si>
  <si>
    <t>=X15*$B$10*18.01528/($B$10*18.01528 + I15+E15+F15+L15+N15)</t>
  </si>
  <si>
    <t>=X15</t>
  </si>
  <si>
    <t>Y16</t>
  </si>
  <si>
    <t>=X16*$B$10*18.01528/($B$10*18.01528 + I16+E16+F16+L16+N16)</t>
  </si>
  <si>
    <t>=X16</t>
  </si>
  <si>
    <t>Y17</t>
  </si>
  <si>
    <t>=X17*$B$10*18.01528/($B$10*18.01528 + I17+E17+F17+L17+N17)</t>
  </si>
  <si>
    <t>=X17</t>
  </si>
  <si>
    <t>Y18</t>
  </si>
  <si>
    <t>=X18*$B$10*18.01528/($B$10*18.01528 + I18+E18+F18+L18+N18)</t>
  </si>
  <si>
    <t>=X18</t>
  </si>
  <si>
    <t>Y19</t>
  </si>
  <si>
    <t>=X19*$B$10*18.01528/($B$10*18.01528 + I19+E19+F19+L19+N19)</t>
  </si>
  <si>
    <t>=X19</t>
  </si>
  <si>
    <t>Y21</t>
  </si>
  <si>
    <t>=X21*$B$10*18.01528/($B$10*18.01528 + I21+E21+F21+L21+N21)</t>
  </si>
  <si>
    <t>=X21</t>
  </si>
  <si>
    <t>Y22</t>
  </si>
  <si>
    <t>=X22*$B$10*18.01528/($B$10*18.01528 + I22+E22+F22+L22+N22)</t>
  </si>
  <si>
    <t>=X22</t>
  </si>
  <si>
    <t>Y23</t>
  </si>
  <si>
    <t>=X23*$B$10*18.01528/($B$10*18.01528 + I23+E23+F23+L23+N23)</t>
  </si>
  <si>
    <t>=X23</t>
  </si>
  <si>
    <t>Y24</t>
  </si>
  <si>
    <t>=X24*$B$10*18.01528/($B$10*18.01528 + I24+E24+F24+L24+N24)</t>
  </si>
  <si>
    <t>=X24</t>
  </si>
  <si>
    <t>Y25</t>
  </si>
  <si>
    <t>=X25*$B$10*18.01528/($B$10*18.01528 + I25+E25+F25+L25+N25)</t>
  </si>
  <si>
    <t>=X25</t>
  </si>
  <si>
    <t>Y26</t>
  </si>
  <si>
    <t>=X26*$B$10*18.01528/($B$10*18.01528 + I26+E26+F26+L26+N26)</t>
  </si>
  <si>
    <t>=X26</t>
  </si>
  <si>
    <t>Y27</t>
  </si>
  <si>
    <t>=X27*$B$10*18.01528/($B$10*18.01528 + I27+E27+F27+L27+N27)</t>
  </si>
  <si>
    <t>=X27</t>
  </si>
  <si>
    <t>Y28</t>
  </si>
  <si>
    <t>=X28*$B$10*18.01528/($B$10*18.01528 + I28+E28+F28+L28+N28)</t>
  </si>
  <si>
    <t>=X28</t>
  </si>
  <si>
    <t>Y29</t>
  </si>
  <si>
    <t>=X29*$B$10*18.01528/($B$10*18.01528 + I29+E29+F29+L29+N29)</t>
  </si>
  <si>
    <t>=X29</t>
  </si>
  <si>
    <t>Y30</t>
  </si>
  <si>
    <t>=X30*$B$10*18.01528/($B$10*18.01528 + I30+E30+F30+L30+N30)</t>
  </si>
  <si>
    <t>=X30</t>
  </si>
  <si>
    <t>Y31</t>
  </si>
  <si>
    <t>=X31*$B$10*18.01528/($B$10*18.01528 + I31+E31+F31+L31+N31)</t>
  </si>
  <si>
    <t>=X31</t>
  </si>
  <si>
    <t>Y33</t>
  </si>
  <si>
    <t>=X33*$B$10*18.01528/($B$10*18.01528 + I33+E33+F33+L33+N33)</t>
  </si>
  <si>
    <t>=X33</t>
  </si>
  <si>
    <t>Y34</t>
  </si>
  <si>
    <t>=X34*$B$10*18.01528/($B$10*18.01528 + I34+E34+F34+L34+N34)</t>
  </si>
  <si>
    <t>=X34</t>
  </si>
  <si>
    <t>Y35</t>
  </si>
  <si>
    <t>=X35*$B$10*18.01528/($B$10*18.01528 + I35+E35+F35+L35+N35)</t>
  </si>
  <si>
    <t>=X35</t>
  </si>
  <si>
    <t>Y36</t>
  </si>
  <si>
    <t>=X36*$B$10*18.01528/($B$10*18.01528 + I36+E36+F36+L36+N36)</t>
  </si>
  <si>
    <t>=X36</t>
  </si>
  <si>
    <t>Y37</t>
  </si>
  <si>
    <t>=X37*$B$10*18.01528/($B$10*18.01528 + I37+E37+F37+L37+N37)</t>
  </si>
  <si>
    <t>=X37</t>
  </si>
  <si>
    <t>Y2</t>
  </si>
  <si>
    <t>𝜸 (c)</t>
  </si>
  <si>
    <t>header</t>
  </si>
  <si>
    <t>E30</t>
  </si>
  <si>
    <t>=10^-D30</t>
  </si>
  <si>
    <t>=E29</t>
  </si>
  <si>
    <t>[H3O+] was 10^-D30 with D30 empty, i.e. 1 M</t>
  </si>
  <si>
    <t>E31</t>
  </si>
  <si>
    <t>=E30</t>
  </si>
  <si>
    <t>AI3</t>
  </si>
  <si>
    <t>=I3/1000</t>
  </si>
  <si>
    <t>=I3*1000</t>
  </si>
  <si>
    <t>virial fit: concentration in mol/m3 (was mol/mL)</t>
  </si>
  <si>
    <t>AL3</t>
  </si>
  <si>
    <t>=AI3*(1 + $AK$3*AI3 + $AK$4*AI3*AI3 + $AK$5*AI3*AI3*AI3*AI3 + $AK$6*AI3*AI3*AI3*AI3*AI3)</t>
  </si>
  <si>
    <t>=AI3*(1 + $AK$3*AI3^1 + $AK$4*AI3^2 + $AK$5*AI3^3 + $AK$6*AI3^4)</t>
  </si>
  <si>
    <t>virial fit: consecutive powers of c (the cubic term was skipped)</t>
  </si>
  <si>
    <t>AI4</t>
  </si>
  <si>
    <t>=I4/1000</t>
  </si>
  <si>
    <t>=I4*1000</t>
  </si>
  <si>
    <t>AL4</t>
  </si>
  <si>
    <t>=AI4*(1 + $AK$3*AI4 + $AK$4*AI4*AI4 + $AK$5*AI4*AI4*AI4*AI4 + $AK$6*AI4*AI4*AI4*AI4*AI4)</t>
  </si>
  <si>
    <t>=AI4*(1 + $AK$3*AI4^1 + $AK$4*AI4^2 + $AK$5*AI4^3 + $AK$6*AI4^4)</t>
  </si>
  <si>
    <t>AI5</t>
  </si>
  <si>
    <t>=I5/1000</t>
  </si>
  <si>
    <t>=I5*1000</t>
  </si>
  <si>
    <t>AL5</t>
  </si>
  <si>
    <t>=AI5*(1 + $AK$3*AI5 + $AK$4*AI5*AI5 + $AK$5*AI5*AI5*AI5*AI5 + $AK$6*AI5*AI5*AI5*AI5*AI5)</t>
  </si>
  <si>
    <t>=AI5*(1 + $AK$3*AI5^1 + $AK$4*AI5^2 + $AK$5*AI5^3 + $AK$6*AI5^4)</t>
  </si>
  <si>
    <t>AI6</t>
  </si>
  <si>
    <t>=I6/1000</t>
  </si>
  <si>
    <t>=I6*1000</t>
  </si>
  <si>
    <t>AL6</t>
  </si>
  <si>
    <t>=AI6*(1 + $AK$3*AI6 + $AK$4*AI6*AI6 + $AK$5*AI6*AI6*AI6*AI6 + $AK$6*AI6*AI6*AI6*AI6*AI6)</t>
  </si>
  <si>
    <t>=AI6*(1 + $AK$3*AI6^1 + $AK$4*AI6^2 + $AK$5*AI6^3 + $AK$6*AI6^4)</t>
  </si>
  <si>
    <t>AI7</t>
  </si>
  <si>
    <t>=I7/1000</t>
  </si>
  <si>
    <t>=I7*1000</t>
  </si>
  <si>
    <t>AL7</t>
  </si>
  <si>
    <t>=AI7*(1 + $AK$3*AI7 + $AK$4*AI7*AI7 + $AK$5*AI7*AI7*AI7*AI7 + $AK$6*AI7*AI7*AI7*AI7*AI7)</t>
  </si>
  <si>
    <t>=AI7*(1 + $AK$3*AI7^1 + $AK$4*AI7^2 + $AK$5*AI7^3 + $AK$6*AI7^4)</t>
  </si>
  <si>
    <t>AI9</t>
  </si>
  <si>
    <t>=I9/1000</t>
  </si>
  <si>
    <t>=I9*1000</t>
  </si>
  <si>
    <t>AL9</t>
  </si>
  <si>
    <t>=AI9*(1 + $AK$9*AI9 + $AK$10*AI9*AI9 + $AK$11*AI9*AI9*AI9*AI9)</t>
  </si>
  <si>
    <t>=AI9*(1 + $AK$9*AI9^1 + $AK$10*AI9^2 + $AK$11*AI9^3)</t>
  </si>
  <si>
    <t>AI10</t>
  </si>
  <si>
    <t>=I10/1000</t>
  </si>
  <si>
    <t>=I10*1000</t>
  </si>
  <si>
    <t>AL10</t>
  </si>
  <si>
    <t>=AI10*(1 + $AK$9*AI10 + $AK$10*AI10*AI10 + $AK$11*AI10*AI10*AI10*AI10)</t>
  </si>
  <si>
    <t>=AI10*(1 + $AK$9*AI10^1 + $AK$10*AI10^2 + $AK$11*AI10^3)</t>
  </si>
  <si>
    <t>AI11</t>
  </si>
  <si>
    <t>=I11/1000</t>
  </si>
  <si>
    <t>=I11*1000</t>
  </si>
  <si>
    <t>AL11</t>
  </si>
  <si>
    <t>=AI11*(1 + $AK$9*AI11 + $AK$10*AI11*AI11 + $AK$11*AI11*AI11*AI11*AI11)</t>
  </si>
  <si>
    <t>=AI11*(1 + $AK$9*AI11^1 + $AK$10*AI11^2 + $AK$11*AI11^3)</t>
  </si>
  <si>
    <t>AI12</t>
  </si>
  <si>
    <t>=I12/1000</t>
  </si>
  <si>
    <t>=I12*1000</t>
  </si>
  <si>
    <t>AL12</t>
  </si>
  <si>
    <t>=AI12*(1 + $AK$9*AI12 + $AK$10*AI12*AI12 + $AK$11*AI12*AI12*AI12*AI12)</t>
  </si>
  <si>
    <t>=AI12*(1 + $AK$9*AI12^1 + $AK$10*AI12^2 + $AK$11*AI12^3)</t>
  </si>
  <si>
    <t>AI13</t>
  </si>
  <si>
    <t>=I13/1000</t>
  </si>
  <si>
    <t>=I13*1000</t>
  </si>
  <si>
    <t>AL13</t>
  </si>
  <si>
    <t>=AI13*(1 + $AK$9*AI13 + $AK$10*AI13*AI13 + $AK$11*AI13*AI13*AI13*AI13)</t>
  </si>
  <si>
    <t>=AI13*(1 + $AK$9*AI13^1 + $AK$10*AI13^2 + $AK$11*AI13^3)</t>
  </si>
  <si>
    <t>AI15</t>
  </si>
  <si>
    <t>=I15/1000</t>
  </si>
  <si>
    <t>=I15*1000</t>
  </si>
  <si>
    <t>AL15</t>
  </si>
  <si>
    <t>=AI15*(1 + $AK$15*AI15 + $AK$16*AI15*AI15 + $AK$17*AI15*AI15*AI15*AI15)</t>
  </si>
  <si>
    <t>=AI15*(1 + $AK$15*AI15^1 + $AK$16*AI15^2 + $AK$17*AI15^3)</t>
  </si>
  <si>
    <t>AI16</t>
  </si>
  <si>
    <t>=I16/1000</t>
  </si>
  <si>
    <t>=I16*1000</t>
  </si>
  <si>
    <t>AL16</t>
  </si>
  <si>
    <t>=AI16*(1 + $AK$15*AI16 + $AK$16*AI16*AI16 + $AK$17*AI16*AI16*AI16*AI16)</t>
  </si>
  <si>
    <t>=AI16*(1 + $AK$15*AI16^1 + $AK$16*AI16^2 + $AK$17*AI16^3)</t>
  </si>
  <si>
    <t>AI17</t>
  </si>
  <si>
    <t>=I17/1000</t>
  </si>
  <si>
    <t>=I17*1000</t>
  </si>
  <si>
    <t>AL17</t>
  </si>
  <si>
    <t>=AI17*(1 + $AK$15*AI17 + $AK$16*AI17*AI17 + $AK$17*AI17*AI17*AI17*AI17)</t>
  </si>
  <si>
    <t>=AI17*(1 + $AK$15*AI17^1 + $AK$16*AI17^2 + $AK$17*AI17^3)</t>
  </si>
  <si>
    <t>AI18</t>
  </si>
  <si>
    <t>=I18/1000</t>
  </si>
  <si>
    <t>=I18*1000</t>
  </si>
  <si>
    <t>AL18</t>
  </si>
  <si>
    <t>=AI18*(1 + $AK$15*AI18 + $AK$16*AI18*AI18 + $AK$17*AI18*AI18*AI18*AI18)</t>
  </si>
  <si>
    <t>=AI18*(1 + $AK$15*AI18^1 + $AK$16*AI18^2 + $AK$17*AI18^3)</t>
  </si>
  <si>
    <t>AI19</t>
  </si>
  <si>
    <t>=I19/1000</t>
  </si>
  <si>
    <t>=I19*1000</t>
  </si>
  <si>
    <t>AL19</t>
  </si>
  <si>
    <t>=AI19*(1 + $AK$15*AI19 + $AK$16*AI19*AI19 + $AK$17*AI19*AI19*AI19*AI19)</t>
  </si>
  <si>
    <t>=AI19*(1 + $AK$15*AI19^1 + $AK$16*AI19^2 + $AK$17*AI19^3)</t>
  </si>
  <si>
    <t>AI21</t>
  </si>
  <si>
    <t>=I21/1000</t>
  </si>
  <si>
    <t>=I21*1000</t>
  </si>
  <si>
    <t>AL21</t>
  </si>
  <si>
    <t>=AI21*(1 + $AK$21*AI21 + $AK$22*AI21*AI21 + $AK$23*AI21*AI21*AI21*AI21)</t>
  </si>
  <si>
    <t>=AI21*(1 + $AK$21*AI21^1 + $AK$22*AI21^2 + $AK$23*AI21^3)</t>
  </si>
  <si>
    <t>AI22</t>
  </si>
  <si>
    <t>=I22/1000</t>
  </si>
  <si>
    <t>=I22*1000</t>
  </si>
  <si>
    <t>AL22</t>
  </si>
  <si>
    <t>=AI22*(1 + $AK$21*AI22 + $AK$22*AI22*AI22 + $AK$23*AI22*AI22*AI22*AI22)</t>
  </si>
  <si>
    <t>=AI22*(1 + $AK$21*AI22^1 + $AK$22*AI22^2 + $AK$23*AI22^3)</t>
  </si>
  <si>
    <t>AI23</t>
  </si>
  <si>
    <t>=I23/1000</t>
  </si>
  <si>
    <t>=I23*1000</t>
  </si>
  <si>
    <t>AL23</t>
  </si>
  <si>
    <t>=AI23*(1 + $AK$21*AI23 + $AK$22*AI23*AI23 + $AK$23*AI23*AI23*AI23*AI23)</t>
  </si>
  <si>
    <t>=AI23*(1 + $AK$21*AI23^1 + $AK$22*AI23^2 + $AK$23*AI23^3)</t>
  </si>
  <si>
    <t>AI24</t>
  </si>
  <si>
    <t>=I24/1000</t>
  </si>
  <si>
    <t>=I24*1000</t>
  </si>
  <si>
    <t>AL24</t>
  </si>
  <si>
    <t>=AI24*(1 + $AK$21*AI24 + $AK$22*AI24*AI24 + $AK$23*AI24*AI24*AI24*AI24)</t>
  </si>
  <si>
    <t>=AI24*(1 + $AK$21*AI24^1 + $AK$22*AI24^2 + $AK$23*AI24^3)</t>
  </si>
  <si>
    <t>AI25</t>
  </si>
  <si>
    <t>=I25/1000</t>
  </si>
  <si>
    <t>=I25*1000</t>
  </si>
  <si>
    <t>AL25</t>
  </si>
  <si>
    <t>=AI25*(1 + $AK$21*AI25 + $AK$22*AI25*AI25 + $AK$23*AI25*AI25*AI25*AI25)</t>
  </si>
  <si>
    <t>=AI25*(1 + $AK$21*AI25^1 + $AK$22*AI25^2 + $AK$23*AI25^3)</t>
  </si>
  <si>
    <t>AI26</t>
  </si>
  <si>
    <t>=I26/1000</t>
  </si>
  <si>
    <t>=I26*1000</t>
  </si>
  <si>
    <t>AL26</t>
  </si>
  <si>
    <t>=AI26*(1 + $AK$21*AI26 + $AK$22*AI26*AI26 + $AK$23*AI26*AI26*AI26*AI26)</t>
  </si>
  <si>
    <t>=AI26*(1 + $AK$21*AI26^1 + $AK$22*AI26^2 + $AK$23*AI26^3)</t>
  </si>
  <si>
    <t>AI27</t>
  </si>
  <si>
    <t>=I27/1000</t>
  </si>
  <si>
    <t>=I27*1000</t>
  </si>
  <si>
    <t>AL27</t>
  </si>
  <si>
    <t>=AI27*(1 + $AK$27*AI27 + $AK$28*AI27*AI27 + $AK$29*AI27*AI27*AI27*AI27)</t>
  </si>
  <si>
    <t>=AI27*(1 + $AK$27*AI27^1 + $AK$28*AI27^2 + $AK$29*AI27^3)</t>
  </si>
  <si>
    <t>AI28</t>
  </si>
  <si>
    <t>=I28/1000</t>
  </si>
  <si>
    <t>=I28*1000</t>
  </si>
  <si>
    <t>AL28</t>
  </si>
  <si>
    <t>=AI28*(1 + $AK$27*AI28 + $AK$28*AI28*AI28 + $AK$29*AI28*AI28*AI28*AI28)</t>
  </si>
  <si>
    <t>=AI28*(1 + $AK$27*AI28^1 + $AK$28*AI28^2 + $AK$29*AI28^3)</t>
  </si>
  <si>
    <t>AI29</t>
  </si>
  <si>
    <t>=I29/1000</t>
  </si>
  <si>
    <t>=I29*1000</t>
  </si>
  <si>
    <t>AL29</t>
  </si>
  <si>
    <t>=AI29*(1 + $AK$27*AI29 + $AK$28*AI29*AI29 + $AK$29*AI29*AI29*AI29*AI29)</t>
  </si>
  <si>
    <t>=AI29*(1 + $AK$27*AI29^1 + $AK$28*AI29^2 + $AK$29*AI29^3)</t>
  </si>
  <si>
    <t>AI30</t>
  </si>
  <si>
    <t>=I30/1000</t>
  </si>
  <si>
    <t>=I30*1000</t>
  </si>
  <si>
    <t>AL30</t>
  </si>
  <si>
    <t>=AI30*(1 + $AK$27*AI30 + $AK$28*AI30*AI30 + $AK$29*AI30*AI30*AI30*AI30)</t>
  </si>
  <si>
    <t>=AI30*(1 + $AK$27*AI30^1 + $AK$28*AI30^2 + $AK$29*AI30^3)</t>
  </si>
  <si>
    <t>AI31</t>
  </si>
  <si>
    <t>=I31/1000</t>
  </si>
  <si>
    <t>=I31*1000</t>
  </si>
  <si>
    <t>AL31</t>
  </si>
  <si>
    <t>=AI31*(1 + $AK$27*AI31 + $AK$28*AI31*AI31 + $AK$29*AI31*AI31*AI31*AI31)</t>
  </si>
  <si>
    <t>=AI31*(1 + $AK$27*AI31^1 + $AK$28*AI31^2 + $AK$29*AI31^3)</t>
  </si>
  <si>
    <t>AI33</t>
  </si>
  <si>
    <t>=I33/1000</t>
  </si>
  <si>
    <t>=I33*1000</t>
  </si>
  <si>
    <t>AL33</t>
  </si>
  <si>
    <t>=AI33*(1 + $AK$33*AI33 + $AK$34*AI33*AI33 + $AK$35*AI33*AI33*AI33*AI33)</t>
  </si>
  <si>
    <t>=AI33*(1 + $AK$33*AI33^1 + $AK$34*AI33^2 + $AK$35*AI33^3)</t>
  </si>
  <si>
    <t>AI34</t>
  </si>
  <si>
    <t>=I34/1000</t>
  </si>
  <si>
    <t>=I34*1000</t>
  </si>
  <si>
    <t>AL34</t>
  </si>
  <si>
    <t>=AI34*(1 + $AK$33*AI34 + $AK$34*AI34*AI34 + $AK$35*AI34*AI34*AI34*AI34)</t>
  </si>
  <si>
    <t>=AI34*(1 + $AK$33*AI34^1 + $AK$34*AI34^2 + $AK$35*AI34^3)</t>
  </si>
  <si>
    <t>AI35</t>
  </si>
  <si>
    <t>=I35/1000</t>
  </si>
  <si>
    <t>=I35*1000</t>
  </si>
  <si>
    <t>AL35</t>
  </si>
  <si>
    <t>=AI35*(1 + $AK$33*AI35 + $AK$34*AI35*AI35 + $AK$35*AI35*AI35*AI35*AI35)</t>
  </si>
  <si>
    <t>=AI35*(1 + $AK$33*AI35^1 + $AK$34*AI35^2 + $AK$35*AI35^3)</t>
  </si>
  <si>
    <t>AI36</t>
  </si>
  <si>
    <t>=I36/1000</t>
  </si>
  <si>
    <t>=I36*1000</t>
  </si>
  <si>
    <t>AL36</t>
  </si>
  <si>
    <t>=AI36*(1 + $AK$33*AI36 + $AK$34*AI36*AI36 + $AK$35*AI36*AI36*AI36*AI36)</t>
  </si>
  <si>
    <t>=AI36*(1 + $AK$33*AI36^1 + $AK$34*AI36^2 + $AK$35*AI36^3)</t>
  </si>
  <si>
    <t>AI37</t>
  </si>
  <si>
    <t>=I37/1000</t>
  </si>
  <si>
    <t>=I37*1000</t>
  </si>
  <si>
    <t>AL37</t>
  </si>
  <si>
    <t>=AI37*(1 + $AK$33*AI37 + $AK$34*AI37*AI37 + $AK$35*AI37*AI37*AI37*AI37)</t>
  </si>
  <si>
    <t>=AI37*(1 + $AK$33*AI37^1 + $AK$34*AI37^2 + $AK$35*AI37^3)</t>
  </si>
  <si>
    <t>U4</t>
  </si>
  <si>
    <t>31139.9868274733</t>
  </si>
  <si>
    <t>38470.5</t>
  </si>
  <si>
    <t>phi-1 fit: polynomial refitted (least squares, rows 3-7)</t>
  </si>
  <si>
    <t>U5</t>
  </si>
  <si>
    <t>226394198438.353</t>
  </si>
  <si>
    <t>2.77322e+11</t>
  </si>
  <si>
    <t>U6</t>
  </si>
  <si>
    <t>-2.58547703652407e+17</t>
  </si>
  <si>
    <t>-3.21808e+17</t>
  </si>
  <si>
    <t>U7</t>
  </si>
  <si>
    <t>1.01575912185959e+23</t>
  </si>
  <si>
    <t>1.28376e+23</t>
  </si>
  <si>
    <t>U10</t>
  </si>
  <si>
    <t>-3085902.50635941</t>
  </si>
  <si>
    <t>-3.07232e+06</t>
  </si>
  <si>
    <t>phi-1 fit: polynomial refitted (least squares, rows 9-13)</t>
  </si>
  <si>
    <t>U11</t>
  </si>
  <si>
    <t>6158305412990.72</t>
  </si>
  <si>
    <t>6.0724e+12</t>
  </si>
  <si>
    <t>U12</t>
  </si>
  <si>
    <t>-3.23764753482614e+18</t>
  </si>
  <si>
    <t>-2.9486e+18</t>
  </si>
  <si>
    <t>U13</t>
  </si>
  <si>
    <t>8.01799395760223e+22</t>
  </si>
  <si>
    <t>-1.24223e+23</t>
  </si>
  <si>
    <t>U16</t>
  </si>
  <si>
    <t>-2079723.02353382</t>
  </si>
  <si>
    <t>-2.09667e+06</t>
  </si>
  <si>
    <t>phi-1 fit: polynomial refitted (least squares, rows 15-19)</t>
  </si>
  <si>
    <t>U17</t>
  </si>
  <si>
    <t>4853344334974.35</t>
  </si>
  <si>
    <t>4.99695e+12</t>
  </si>
  <si>
    <t>U18</t>
  </si>
  <si>
    <t>-4.32446781957493e+18</t>
  </si>
  <si>
    <t>-4.52306e+18</t>
  </si>
  <si>
    <t>U19</t>
  </si>
  <si>
    <t>1.33299622928804e+24</t>
  </si>
  <si>
    <t>1.41905e+24</t>
  </si>
  <si>
    <t>U22</t>
  </si>
  <si>
    <t>-1824555.47846</t>
  </si>
  <si>
    <t>-1.87762e+06</t>
  </si>
  <si>
    <t>phi-1 fit: polynomial refitted (least squares, rows 21-26)</t>
  </si>
  <si>
    <t>U23</t>
  </si>
  <si>
    <t>2377330797721.5</t>
  </si>
  <si>
    <t>2.53631e+12</t>
  </si>
  <si>
    <t>U24</t>
  </si>
  <si>
    <t>-1.11093229434345e+18</t>
  </si>
  <si>
    <t>-1.22389e+18</t>
  </si>
  <si>
    <t>U25</t>
  </si>
  <si>
    <t>1.78911436492476e+23</t>
  </si>
  <si>
    <t>2.04833e+23</t>
  </si>
  <si>
    <t>U28</t>
  </si>
  <si>
    <t>-852346.761934488</t>
  </si>
  <si>
    <t>-914044</t>
  </si>
  <si>
    <t>phi-1 fit: polynomial refitted (least squares, rows 27-31)</t>
  </si>
  <si>
    <t>U29</t>
  </si>
  <si>
    <t>698981106952.048</t>
  </si>
  <si>
    <t>8.37718e+11</t>
  </si>
  <si>
    <t>U30</t>
  </si>
  <si>
    <t>-2.2733389700928e+17</t>
  </si>
  <si>
    <t>-3.02807e+17</t>
  </si>
  <si>
    <t>U31</t>
  </si>
  <si>
    <t>2.52887378514881e+22</t>
  </si>
  <si>
    <t>3.77222e+22</t>
  </si>
  <si>
    <t>U34</t>
  </si>
  <si>
    <t>-1815353.03162349</t>
  </si>
  <si>
    <t>-1.82819e+06</t>
  </si>
  <si>
    <t>phi-1 fit: polynomial refitted (least squares, rows 33-37)</t>
  </si>
  <si>
    <t>U35</t>
  </si>
  <si>
    <t>1752390265012.9</t>
  </si>
  <si>
    <t>1.78954e+12</t>
  </si>
  <si>
    <t>U36</t>
  </si>
  <si>
    <t>-6.75519580761643e+17</t>
  </si>
  <si>
    <t>-6.97144e+17</t>
  </si>
  <si>
    <t>U37</t>
  </si>
  <si>
    <t>9.8112481740688e+22</t>
  </si>
  <si>
    <t>1.03733e+23</t>
  </si>
  <si>
    <t>AK3</t>
  </si>
  <si>
    <t>3353438277864</t>
  </si>
  <si>
    <t>1.31074</t>
  </si>
  <si>
    <t>virial parameter refitted</t>
  </si>
  <si>
    <t>AK4</t>
  </si>
  <si>
    <t>-2.31088062089668e+18</t>
  </si>
  <si>
    <t>-1.60038</t>
  </si>
  <si>
    <t>AK5</t>
  </si>
  <si>
    <t>3.95719042463122e+29</t>
  </si>
  <si>
    <t>0.961364</t>
  </si>
  <si>
    <t>AK6</t>
  </si>
  <si>
    <t>4.95644071294983e+31</t>
  </si>
  <si>
    <t>-0.06311</t>
  </si>
  <si>
    <t>AK9</t>
  </si>
  <si>
    <t>2258294922515.56</t>
  </si>
  <si>
    <t>-3.13431</t>
  </si>
  <si>
    <t>AK10</t>
  </si>
  <si>
    <t>-1.56547300753037e+18</t>
  </si>
  <si>
    <t>7.26383</t>
  </si>
  <si>
    <t>AK11</t>
  </si>
  <si>
    <t>3.59817489166084e+29</t>
  </si>
  <si>
    <t>-4.16451</t>
  </si>
  <si>
    <t>AK15</t>
  </si>
  <si>
    <t>3994052272266.94</t>
  </si>
  <si>
    <t>-0.79867</t>
  </si>
  <si>
    <t>AK16</t>
  </si>
  <si>
    <t>-4.31317761557687e+18</t>
  </si>
  <si>
    <t>1.87185</t>
  </si>
  <si>
    <t>AK17</t>
  </si>
  <si>
    <t>1.43310762722057e+30</t>
  </si>
  <si>
    <t>-0.974323</t>
  </si>
  <si>
    <t>AK21</t>
  </si>
  <si>
    <t>1628738962060.52</t>
  </si>
  <si>
    <t>-1.63998</t>
  </si>
  <si>
    <t>AK22</t>
  </si>
  <si>
    <t>-7.46630470610533e+17</t>
  </si>
  <si>
    <t>1.90754</t>
  </si>
  <si>
    <t>AK23</t>
  </si>
  <si>
    <t>8.55063323477896e+28</t>
  </si>
  <si>
    <t>-0.41652</t>
  </si>
  <si>
    <t>AK27</t>
  </si>
  <si>
    <t>2419853840414.72</t>
  </si>
  <si>
    <t>1.65001</t>
  </si>
  <si>
    <t>AK28</t>
  </si>
  <si>
    <t>-1.40445071180661e+18</t>
  </si>
  <si>
    <t>-2.1098</t>
  </si>
  <si>
    <t>AK29</t>
  </si>
  <si>
    <t>1.23750723561606e+29</t>
  </si>
  <si>
    <t>0.711412</t>
  </si>
  <si>
    <t>AK33</t>
  </si>
  <si>
    <t>1362990640424.75</t>
  </si>
  <si>
    <t>-2.42743</t>
  </si>
  <si>
    <t>AK34</t>
  </si>
  <si>
    <t>-8.50259920168332e+17</t>
  </si>
  <si>
    <t>2.50171</t>
  </si>
  <si>
    <t>AK35</t>
  </si>
  <si>
    <t>1.97699810238843e+29</t>
  </si>
  <si>
    <t>-0.531185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</si>
</sst>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E+00"/>
    <numFmt numFmtId="165" formatCode="0.0"/>
    <numFmt numFmtId="166" formatCode="0.0000"/>
    <numFmt numFmtId="167" formatCode="0.00000"/>
  </numFmts>
  <fonts count="5" x14ac:knownFonts="1">
    <font>
      <sz val="12"/>
      <color theme="1"/>
      <name val="Calibri"/>
      <family val="2"/>
      <charset val="1"/>
    </font>
    <font>
      <b/>
      <sz val="12"/>
      <name val="Arial"/>
      <family val="2"/>
    </font>
    <font>
      <sz val="11"/>
      <name val="Arial"/>
      <family val="2"/>
    </font>
    <font>
      <b/>
      <sz val="11"/>
      <name val="Arial"/>
      <family val="2"/>
    </font>
    <font>
      <sz val="9"/>
      <name val="Arial"/>
      <family val="2"/>
    </font>
  </fonts>
  <fills count="5">
    <fill>
      <patternFill patternType="none"/>
    </fill>
    <fill>
      <patternFill patternType="gray125"/>
    </fill>
    <fill>
      <patternFill patternType="solid">
        <fgColor theme="8" tint="0.79989013336588644"/>
        <bgColor rgb="FFD9D9D9"/>
      </patternFill>
    </fill>
    <fill>
      <patternFill patternType="solid">
        <fgColor theme="5" tint="0.79989013336588644"/>
        <bgColor rgb="FFFFF2CC"/>
      </patternFill>
    </fill>
    <fill>
      <patternFill patternType="solid">
        <fgColor theme="7" tint="0.79989013336588644"/>
        <bgColor rgb="FFFBE5D6"/>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52">
    <xf numFmtId="0" fontId="0" fillId="0" borderId="0" xfId="0"/>
    <xf numFmtId="0" fontId="2" fillId="0" borderId="0" xfId="0" applyFont="1" applyAlignment="1">
      <alignment vertical="top" wrapText="1"/>
    </xf>
    <xf numFmtId="0" fontId="0" fillId="2" borderId="1" xfId="0" applyFill="1" applyBorder="1" applyAlignment="1">
      <alignment horizontal="center" vertical="center"/>
    </xf>
    <xf numFmtId="2"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0" borderId="2" xfId="0"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0" xfId="0" applyAlignment="1">
      <alignment horizontal="center" vertical="center"/>
    </xf>
    <xf numFmtId="164" fontId="0" fillId="0" borderId="4" xfId="0" applyNumberFormat="1" applyBorder="1" applyAlignment="1">
      <alignment horizontal="center" vertical="center"/>
    </xf>
    <xf numFmtId="165" fontId="0" fillId="0" borderId="4" xfId="0" applyNumberFormat="1" applyBorder="1" applyAlignment="1">
      <alignment horizontal="center" vertical="center"/>
    </xf>
    <xf numFmtId="11" fontId="0" fillId="2" borderId="4" xfId="0" applyNumberFormat="1" applyFill="1" applyBorder="1" applyAlignment="1">
      <alignment horizontal="center" vertical="center"/>
    </xf>
    <xf numFmtId="165" fontId="0" fillId="2" borderId="4" xfId="0" applyNumberFormat="1" applyFill="1" applyBorder="1" applyAlignment="1">
      <alignment horizontal="center" vertical="center"/>
    </xf>
    <xf numFmtId="11" fontId="0" fillId="0" borderId="4" xfId="0" applyNumberFormat="1" applyBorder="1" applyAlignment="1">
      <alignment horizontal="center" vertical="center"/>
    </xf>
    <xf numFmtId="0" fontId="0" fillId="0" borderId="4" xfId="0" applyBorder="1" applyAlignment="1">
      <alignment horizontal="center" vertical="center"/>
    </xf>
    <xf numFmtId="166" fontId="0" fillId="0" borderId="4" xfId="0" applyNumberFormat="1" applyBorder="1" applyAlignment="1">
      <alignment horizontal="center" vertical="center"/>
    </xf>
    <xf numFmtId="166" fontId="0" fillId="0" borderId="4" xfId="0" applyNumberFormat="1" applyBorder="1"/>
    <xf numFmtId="0" fontId="0" fillId="3" borderId="4" xfId="0" applyFill="1" applyBorder="1"/>
    <xf numFmtId="11" fontId="0" fillId="0" borderId="4" xfId="0" applyNumberFormat="1" applyBorder="1"/>
    <xf numFmtId="166" fontId="0" fillId="2" borderId="4" xfId="0" applyNumberFormat="1" applyFill="1" applyBorder="1" applyAlignment="1">
      <alignment horizontal="center" vertical="center"/>
    </xf>
    <xf numFmtId="166" fontId="0" fillId="2" borderId="5" xfId="0" applyNumberFormat="1" applyFill="1" applyBorder="1" applyAlignment="1">
      <alignment horizontal="center" vertical="center"/>
    </xf>
    <xf numFmtId="11" fontId="0" fillId="0" borderId="0" xfId="0" applyNumberFormat="1"/>
    <xf numFmtId="166"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1" fontId="0" fillId="2" borderId="0" xfId="0" applyNumberFormat="1" applyFill="1" applyAlignment="1">
      <alignment horizontal="center" vertical="center"/>
    </xf>
    <xf numFmtId="165" fontId="0" fillId="2" borderId="0" xfId="0" applyNumberFormat="1" applyFill="1" applyAlignment="1">
      <alignment horizontal="center" vertical="center"/>
    </xf>
    <xf numFmtId="11" fontId="0" fillId="0" borderId="0" xfId="0" applyNumberFormat="1" applyAlignment="1">
      <alignment horizontal="center" vertical="center"/>
    </xf>
    <xf numFmtId="166" fontId="0" fillId="0" borderId="0" xfId="0" applyNumberFormat="1"/>
    <xf numFmtId="11" fontId="0" fillId="3" borderId="0" xfId="0" applyNumberFormat="1" applyFill="1"/>
    <xf numFmtId="166" fontId="0" fillId="2" borderId="0" xfId="0" applyNumberFormat="1" applyFill="1" applyAlignment="1">
      <alignment horizontal="center" vertical="center"/>
    </xf>
    <xf numFmtId="166" fontId="0" fillId="2" borderId="6" xfId="0" applyNumberFormat="1" applyFill="1" applyBorder="1" applyAlignment="1">
      <alignment horizontal="center" vertical="center"/>
    </xf>
    <xf numFmtId="164" fontId="0" fillId="0" borderId="7" xfId="0" applyNumberFormat="1" applyBorder="1" applyAlignment="1">
      <alignment horizontal="center" vertical="center"/>
    </xf>
    <xf numFmtId="165" fontId="0" fillId="0" borderId="7" xfId="0" applyNumberFormat="1" applyBorder="1" applyAlignment="1">
      <alignment horizontal="center" vertical="center"/>
    </xf>
    <xf numFmtId="11" fontId="0" fillId="2" borderId="7" xfId="0" applyNumberFormat="1" applyFill="1" applyBorder="1" applyAlignment="1">
      <alignment horizontal="center" vertical="center"/>
    </xf>
    <xf numFmtId="165" fontId="0" fillId="2" borderId="7" xfId="0" applyNumberFormat="1" applyFill="1" applyBorder="1" applyAlignment="1">
      <alignment horizontal="center" vertical="center"/>
    </xf>
    <xf numFmtId="11" fontId="0" fillId="0" borderId="7" xfId="0" applyNumberFormat="1" applyBorder="1" applyAlignment="1">
      <alignment horizontal="center" vertical="center"/>
    </xf>
    <xf numFmtId="0" fontId="0" fillId="0" borderId="7" xfId="0" applyBorder="1" applyAlignment="1">
      <alignment horizontal="center" vertical="center"/>
    </xf>
    <xf numFmtId="166" fontId="0" fillId="0" borderId="7" xfId="0" applyNumberFormat="1" applyBorder="1" applyAlignment="1">
      <alignment horizontal="center" vertical="center"/>
    </xf>
    <xf numFmtId="166" fontId="0" fillId="0" borderId="7" xfId="0" applyNumberFormat="1" applyBorder="1"/>
    <xf numFmtId="11" fontId="0" fillId="4" borderId="7" xfId="0" applyNumberFormat="1" applyFill="1" applyBorder="1"/>
    <xf numFmtId="11" fontId="0" fillId="0" borderId="7" xfId="0" applyNumberFormat="1" applyBorder="1"/>
    <xf numFmtId="166" fontId="0" fillId="2" borderId="7" xfId="0" applyNumberFormat="1" applyFill="1" applyBorder="1" applyAlignment="1">
      <alignment horizontal="center" vertical="center"/>
    </xf>
    <xf numFmtId="166" fontId="0" fillId="2" borderId="8" xfId="0" applyNumberFormat="1" applyFill="1" applyBorder="1" applyAlignment="1">
      <alignment horizontal="center" vertical="center"/>
    </xf>
    <xf numFmtId="0" fontId="0" fillId="0" borderId="7" xfId="0" applyBorder="1"/>
    <xf numFmtId="0" fontId="0" fillId="2" borderId="7" xfId="0" applyFill="1" applyBorder="1"/>
    <xf numFmtId="0" fontId="0" fillId="2" borderId="8" xfId="0" applyFill="1" applyBorder="1"/>
    <xf numFmtId="167" fontId="0" fillId="0" borderId="0" xfId="0" applyNumberFormat="1" applyAlignment="1">
      <alignment horizontal="center" vertical="center"/>
    </xf>
    <xf numFmtId="0" fontId="1" fillId="0" borderId="0" xfId="0" applyFont="1"/>
    <xf numFmtId="0" fontId="3" fillId="0" borderId="0" xfId="0" applyFont="1"/>
    <xf numFmtId="0" fontId="4"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595959"/>
      <rgbColor rgb="FFA5A5A5"/>
      <rgbColor rgb="FF003366"/>
      <rgbColor rgb="FF70AD47"/>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BSA!$K$3:$K$7</c:f>
              <c:numCache>
                <c:formatCode>0.00E+00</c:formatCode>
                <c:ptCount val="5"/>
                <c:pt idx="0">
                  <c:v>3.196568503601808E-7</c:v>
                </c:pt>
                <c:pt idx="1">
                  <c:v>7.4591580461154442E-7</c:v>
                </c:pt>
                <c:pt idx="2">
                  <c:v>9.4173936202391394E-7</c:v>
                </c:pt>
                <c:pt idx="3">
                  <c:v>1.4602253686582775E-6</c:v>
                </c:pt>
                <c:pt idx="4">
                  <c:v>1.7715982573420281E-6</c:v>
                </c:pt>
              </c:numCache>
            </c:numRef>
          </c:xVal>
          <c:yVal>
            <c:numRef>
              <c:f>BSA!$S$3:$S$7</c:f>
              <c:numCache>
                <c:formatCode>0.0000</c:formatCode>
                <c:ptCount val="5"/>
                <c:pt idx="0">
                  <c:v>2.3629235808126481E-2</c:v>
                </c:pt>
                <c:pt idx="1">
                  <c:v>0.11328624031663437</c:v>
                </c:pt>
                <c:pt idx="2">
                  <c:v>9.2097819375389633E-2</c:v>
                </c:pt>
                <c:pt idx="3">
                  <c:v>0.23491267239364721</c:v>
                </c:pt>
                <c:pt idx="4">
                  <c:v>0.41216829411936162</c:v>
                </c:pt>
              </c:numCache>
            </c:numRef>
          </c:yVal>
          <c:smooth val="0"/>
          <c:extLst>
            <c:ext xmlns:c16="http://schemas.microsoft.com/office/drawing/2014/chart" uri="{C3380CC4-5D6E-409C-BE32-E72D297353CC}">
              <c16:uniqueId val="{00000000-8181-9542-A73F-68052005FCF5}"/>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BSA!$K$3:$K$7</c:f>
              <c:numCache>
                <c:formatCode>0.00E+00</c:formatCode>
                <c:ptCount val="5"/>
                <c:pt idx="0">
                  <c:v>3.196568503601808E-7</c:v>
                </c:pt>
                <c:pt idx="1">
                  <c:v>7.4591580461154442E-7</c:v>
                </c:pt>
                <c:pt idx="2">
                  <c:v>9.4173936202391394E-7</c:v>
                </c:pt>
                <c:pt idx="3">
                  <c:v>1.4602253686582775E-6</c:v>
                </c:pt>
                <c:pt idx="4">
                  <c:v>1.7715982573420281E-6</c:v>
                </c:pt>
              </c:numCache>
            </c:numRef>
          </c:xVal>
          <c:yVal>
            <c:numRef>
              <c:f>BSA!$T$3:$T$7</c:f>
              <c:numCache>
                <c:formatCode>0.0000</c:formatCode>
                <c:ptCount val="5"/>
                <c:pt idx="0">
                  <c:v>3.146344012510234E-2</c:v>
                </c:pt>
                <c:pt idx="1">
                  <c:v>8.9179236465162376E-2</c:v>
                </c:pt>
                <c:pt idx="2">
                  <c:v>0.11437631921477441</c:v>
                </c:pt>
                <c:pt idx="3">
                  <c:v>0.22918701551724918</c:v>
                </c:pt>
                <c:pt idx="4">
                  <c:v>0.41378138404158882</c:v>
                </c:pt>
              </c:numCache>
            </c:numRef>
          </c:yVal>
          <c:smooth val="0"/>
          <c:extLst>
            <c:ext xmlns:c16="http://schemas.microsoft.com/office/drawing/2014/chart" uri="{C3380CC4-5D6E-409C-BE32-E72D297353CC}">
              <c16:uniqueId val="{00000001-8181-9542-A73F-68052005FCF5}"/>
            </c:ext>
          </c:extLst>
        </c:ser>
        <c:dLbls>
          <c:showLegendKey val="0"/>
          <c:showVal val="0"/>
          <c:showCatName val="0"/>
          <c:showSerName val="0"/>
          <c:showPercent val="0"/>
          <c:showBubbleSize val="0"/>
        </c:dLbls>
        <c:axId val="5311226"/>
        <c:axId val="84797253"/>
      </c:scatterChart>
      <c:valAx>
        <c:axId val="5311226"/>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4797253"/>
        <c:crosses val="autoZero"/>
        <c:crossBetween val="midCat"/>
      </c:valAx>
      <c:valAx>
        <c:axId val="84797253"/>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5311226"/>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BSA!$K$15:$K$19</c:f>
              <c:numCache>
                <c:formatCode>0.00E+00</c:formatCode>
                <c:ptCount val="5"/>
                <c:pt idx="0">
                  <c:v>2.8034491476854229E-7</c:v>
                </c:pt>
                <c:pt idx="1">
                  <c:v>4.7149181546811293E-7</c:v>
                </c:pt>
                <c:pt idx="2">
                  <c:v>7.3314805705880099E-7</c:v>
                </c:pt>
                <c:pt idx="3">
                  <c:v>9.7098814357594638E-7</c:v>
                </c:pt>
                <c:pt idx="4">
                  <c:v>1.2784017290801089E-6</c:v>
                </c:pt>
              </c:numCache>
            </c:numRef>
          </c:xVal>
          <c:yVal>
            <c:numRef>
              <c:f>BSA!$S$15:$S$19</c:f>
              <c:numCache>
                <c:formatCode>0.0000</c:formatCode>
                <c:ptCount val="5"/>
                <c:pt idx="0">
                  <c:v>-0.29785916832720016</c:v>
                </c:pt>
                <c:pt idx="1">
                  <c:v>-0.26072764950955729</c:v>
                </c:pt>
                <c:pt idx="2">
                  <c:v>-0.24137850070860056</c:v>
                </c:pt>
                <c:pt idx="3">
                  <c:v>-0.1957992564713118</c:v>
                </c:pt>
                <c:pt idx="4">
                  <c:v>-0.17477909115158941</c:v>
                </c:pt>
              </c:numCache>
            </c:numRef>
          </c:yVal>
          <c:smooth val="0"/>
          <c:extLst>
            <c:ext xmlns:c16="http://schemas.microsoft.com/office/drawing/2014/chart" uri="{C3380CC4-5D6E-409C-BE32-E72D297353CC}">
              <c16:uniqueId val="{00000000-07BE-5C46-A067-A8EE7DE4AFBA}"/>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BSA!$K$15:$K$19</c:f>
              <c:numCache>
                <c:formatCode>0.00E+00</c:formatCode>
                <c:ptCount val="5"/>
                <c:pt idx="0">
                  <c:v>2.8034491476854229E-7</c:v>
                </c:pt>
                <c:pt idx="1">
                  <c:v>4.7149181546811293E-7</c:v>
                </c:pt>
                <c:pt idx="2">
                  <c:v>7.3314805705880099E-7</c:v>
                </c:pt>
                <c:pt idx="3">
                  <c:v>9.7098814357594638E-7</c:v>
                </c:pt>
                <c:pt idx="4">
                  <c:v>1.2784017290801089E-6</c:v>
                </c:pt>
              </c:numCache>
            </c:numRef>
          </c:xVal>
          <c:yVal>
            <c:numRef>
              <c:f>BSA!$T$15:$T$19</c:f>
              <c:numCache>
                <c:formatCode>0.0000</c:formatCode>
                <c:ptCount val="5"/>
                <c:pt idx="0">
                  <c:v>-0.28595652495167784</c:v>
                </c:pt>
                <c:pt idx="1">
                  <c:v>-0.28167320826600784</c:v>
                </c:pt>
                <c:pt idx="2">
                  <c:v>-0.22370567691717419</c:v>
                </c:pt>
                <c:pt idx="3">
                  <c:v>-0.20392781849261965</c:v>
                </c:pt>
                <c:pt idx="4">
                  <c:v>-0.17362549845101238</c:v>
                </c:pt>
              </c:numCache>
            </c:numRef>
          </c:yVal>
          <c:smooth val="0"/>
          <c:extLst>
            <c:ext xmlns:c16="http://schemas.microsoft.com/office/drawing/2014/chart" uri="{C3380CC4-5D6E-409C-BE32-E72D297353CC}">
              <c16:uniqueId val="{00000001-07BE-5C46-A067-A8EE7DE4AFBA}"/>
            </c:ext>
          </c:extLst>
        </c:ser>
        <c:dLbls>
          <c:showLegendKey val="0"/>
          <c:showVal val="0"/>
          <c:showCatName val="0"/>
          <c:showSerName val="0"/>
          <c:showPercent val="0"/>
          <c:showBubbleSize val="0"/>
        </c:dLbls>
        <c:axId val="64008348"/>
        <c:axId val="85812684"/>
      </c:scatterChart>
      <c:valAx>
        <c:axId val="6400834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5812684"/>
        <c:crosses val="autoZero"/>
        <c:crossBetween val="midCat"/>
      </c:valAx>
      <c:valAx>
        <c:axId val="85812684"/>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4008348"/>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BSA!$K$27:$K$31</c:f>
              <c:numCache>
                <c:formatCode>0.00E+00</c:formatCode>
                <c:ptCount val="5"/>
                <c:pt idx="0">
                  <c:v>7.4381583651669469E-7</c:v>
                </c:pt>
                <c:pt idx="1">
                  <c:v>1.5952278772159379E-6</c:v>
                </c:pt>
                <c:pt idx="2">
                  <c:v>2.4012595355301004E-6</c:v>
                </c:pt>
                <c:pt idx="3">
                  <c:v>3.3312141415682222E-6</c:v>
                </c:pt>
                <c:pt idx="4">
                  <c:v>3.8187726588751412E-6</c:v>
                </c:pt>
              </c:numCache>
            </c:numRef>
          </c:xVal>
          <c:yVal>
            <c:numRef>
              <c:f>BSA!$S$27:$S$31</c:f>
              <c:numCache>
                <c:formatCode>0.0000</c:formatCode>
                <c:ptCount val="5"/>
                <c:pt idx="0">
                  <c:v>-0.32958216252647743</c:v>
                </c:pt>
                <c:pt idx="1">
                  <c:v>-0.31105055429032369</c:v>
                </c:pt>
                <c:pt idx="2">
                  <c:v>-0.30319271144709181</c:v>
                </c:pt>
                <c:pt idx="3">
                  <c:v>-0.29705020427081574</c:v>
                </c:pt>
                <c:pt idx="4">
                  <c:v>-0.11502656420599411</c:v>
                </c:pt>
              </c:numCache>
            </c:numRef>
          </c:yVal>
          <c:smooth val="0"/>
          <c:extLst>
            <c:ext xmlns:c16="http://schemas.microsoft.com/office/drawing/2014/chart" uri="{C3380CC4-5D6E-409C-BE32-E72D297353CC}">
              <c16:uniqueId val="{00000000-0305-0348-8EAB-EAAA54E2E62F}"/>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BSA!$K$27:$K$31</c:f>
              <c:numCache>
                <c:formatCode>0.00E+00</c:formatCode>
                <c:ptCount val="5"/>
                <c:pt idx="0">
                  <c:v>7.4381583651669469E-7</c:v>
                </c:pt>
                <c:pt idx="1">
                  <c:v>1.5952278772159379E-6</c:v>
                </c:pt>
                <c:pt idx="2">
                  <c:v>2.4012595355301004E-6</c:v>
                </c:pt>
                <c:pt idx="3">
                  <c:v>3.3312141415682222E-6</c:v>
                </c:pt>
                <c:pt idx="4">
                  <c:v>3.8187726588751412E-6</c:v>
                </c:pt>
              </c:numCache>
            </c:numRef>
          </c:xVal>
          <c:yVal>
            <c:numRef>
              <c:f>BSA!$T$27:$T$31</c:f>
              <c:numCache>
                <c:formatCode>0.0000</c:formatCode>
                <c:ptCount val="5"/>
                <c:pt idx="0">
                  <c:v>-0.32946848696231418</c:v>
                </c:pt>
                <c:pt idx="1">
                  <c:v>-0.31127520440245526</c:v>
                </c:pt>
                <c:pt idx="2">
                  <c:v>-0.3029682226889705</c:v>
                </c:pt>
                <c:pt idx="3">
                  <c:v>-0.29719013490416657</c:v>
                </c:pt>
                <c:pt idx="4">
                  <c:v>-0.11497395631637453</c:v>
                </c:pt>
              </c:numCache>
            </c:numRef>
          </c:yVal>
          <c:smooth val="0"/>
          <c:extLst>
            <c:ext xmlns:c16="http://schemas.microsoft.com/office/drawing/2014/chart" uri="{C3380CC4-5D6E-409C-BE32-E72D297353CC}">
              <c16:uniqueId val="{00000001-0305-0348-8EAB-EAAA54E2E62F}"/>
            </c:ext>
          </c:extLst>
        </c:ser>
        <c:dLbls>
          <c:showLegendKey val="0"/>
          <c:showVal val="0"/>
          <c:showCatName val="0"/>
          <c:showSerName val="0"/>
          <c:showPercent val="0"/>
          <c:showBubbleSize val="0"/>
        </c:dLbls>
        <c:axId val="99674805"/>
        <c:axId val="83030969"/>
      </c:scatterChart>
      <c:valAx>
        <c:axId val="99674805"/>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3030969"/>
        <c:crosses val="autoZero"/>
        <c:crossBetween val="midCat"/>
      </c:valAx>
      <c:valAx>
        <c:axId val="83030969"/>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9674805"/>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0.15712336082596601"/>
          <c:y val="5.0967091392428297E-2"/>
          <c:w val="0.79125378270931002"/>
          <c:h val="0.74342286185718198"/>
        </c:manualLayout>
      </c:layout>
      <c:scatterChart>
        <c:scatterStyle val="lineMarker"/>
        <c:varyColors val="0"/>
        <c:ser>
          <c:idx val="0"/>
          <c:order val="0"/>
          <c:tx>
            <c:v>I=1,pH=7.4</c:v>
          </c:tx>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BSA!$J$3:$J$7</c:f>
              <c:numCache>
                <c:formatCode>0.0</c:formatCode>
                <c:ptCount val="5"/>
                <c:pt idx="0">
                  <c:v>295.4545454545455</c:v>
                </c:pt>
                <c:pt idx="1">
                  <c:v>675.75757575757575</c:v>
                </c:pt>
                <c:pt idx="2">
                  <c:v>845.45454545454538</c:v>
                </c:pt>
                <c:pt idx="3">
                  <c:v>1280.3030303030303</c:v>
                </c:pt>
                <c:pt idx="4">
                  <c:v>1531.8181818181818</c:v>
                </c:pt>
              </c:numCache>
            </c:numRef>
          </c:xVal>
          <c:yVal>
            <c:numRef>
              <c:f>BSA!$Y$3:$Y$7</c:f>
              <c:numCache>
                <c:formatCode>0.0000</c:formatCode>
                <c:ptCount val="5"/>
                <c:pt idx="0">
                  <c:v>1.0480448656613361</c:v>
                </c:pt>
                <c:pt idx="1">
                  <c:v>1.2026745486758612</c:v>
                </c:pt>
                <c:pt idx="2">
                  <c:v>1.2055707246544221</c:v>
                </c:pt>
                <c:pt idx="3">
                  <c:v>1.4898470797993801</c:v>
                </c:pt>
                <c:pt idx="4">
                  <c:v>1.8874283647964865</c:v>
                </c:pt>
              </c:numCache>
            </c:numRef>
          </c:yVal>
          <c:smooth val="0"/>
          <c:extLst>
            <c:ext xmlns:c16="http://schemas.microsoft.com/office/drawing/2014/chart" uri="{C3380CC4-5D6E-409C-BE32-E72D297353CC}">
              <c16:uniqueId val="{00000000-F740-7F48-881D-2EEC3B1E966D}"/>
            </c:ext>
          </c:extLst>
        </c:ser>
        <c:ser>
          <c:idx val="1"/>
          <c:order val="1"/>
          <c:tx>
            <c:v>I=1,pH=4.5</c:v>
          </c:tx>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BSA!$J$9:$J$13</c:f>
              <c:numCache>
                <c:formatCode>0.0</c:formatCode>
                <c:ptCount val="5"/>
                <c:pt idx="0">
                  <c:v>184.84848484848484</c:v>
                </c:pt>
                <c:pt idx="1">
                  <c:v>386.36363636363637</c:v>
                </c:pt>
                <c:pt idx="2">
                  <c:v>584.84848484848487</c:v>
                </c:pt>
                <c:pt idx="3">
                  <c:v>671.21212121212125</c:v>
                </c:pt>
                <c:pt idx="4">
                  <c:v>934.84848484848487</c:v>
                </c:pt>
              </c:numCache>
            </c:numRef>
          </c:xVal>
          <c:yVal>
            <c:numRef>
              <c:f>BSA!$Y$9:$Y$13</c:f>
              <c:numCache>
                <c:formatCode>0.0000</c:formatCode>
                <c:ptCount val="5"/>
                <c:pt idx="0">
                  <c:v>0.40634403389104429</c:v>
                </c:pt>
                <c:pt idx="1">
                  <c:v>0.28552433272427907</c:v>
                </c:pt>
                <c:pt idx="2">
                  <c:v>0.27676916649800054</c:v>
                </c:pt>
                <c:pt idx="3">
                  <c:v>0.30712536863031092</c:v>
                </c:pt>
                <c:pt idx="4">
                  <c:v>0.31729868387595972</c:v>
                </c:pt>
              </c:numCache>
            </c:numRef>
          </c:yVal>
          <c:smooth val="0"/>
          <c:extLst>
            <c:ext xmlns:c16="http://schemas.microsoft.com/office/drawing/2014/chart" uri="{C3380CC4-5D6E-409C-BE32-E72D297353CC}">
              <c16:uniqueId val="{00000001-F740-7F48-881D-2EEC3B1E966D}"/>
            </c:ext>
          </c:extLst>
        </c:ser>
        <c:ser>
          <c:idx val="2"/>
          <c:order val="2"/>
          <c:tx>
            <c:v>I=3,pH=7.4</c:v>
          </c:tx>
          <c:spPr>
            <a:ln w="19080" cap="rnd">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BSA!$J$15:$J$19</c:f>
              <c:numCache>
                <c:formatCode>0.0</c:formatCode>
                <c:ptCount val="5"/>
                <c:pt idx="0">
                  <c:v>227.27272727272728</c:v>
                </c:pt>
                <c:pt idx="1">
                  <c:v>378.78787878787881</c:v>
                </c:pt>
                <c:pt idx="2">
                  <c:v>581.81818181818187</c:v>
                </c:pt>
                <c:pt idx="3">
                  <c:v>762.12121212121201</c:v>
                </c:pt>
                <c:pt idx="4">
                  <c:v>989.39393939393949</c:v>
                </c:pt>
              </c:numCache>
            </c:numRef>
          </c:xVal>
          <c:yVal>
            <c:numRef>
              <c:f>BSA!$Y$15:$Y$19</c:f>
              <c:numCache>
                <c:formatCode>0.0000</c:formatCode>
                <c:ptCount val="5"/>
                <c:pt idx="0">
                  <c:v>0.48659912056751392</c:v>
                </c:pt>
                <c:pt idx="1">
                  <c:v>0.43415050075971301</c:v>
                </c:pt>
                <c:pt idx="2">
                  <c:v>0.39564270942010915</c:v>
                </c:pt>
                <c:pt idx="3">
                  <c:v>0.3902694577641645</c:v>
                </c:pt>
                <c:pt idx="4">
                  <c:v>0.3774422302828962</c:v>
                </c:pt>
              </c:numCache>
            </c:numRef>
          </c:yVal>
          <c:smooth val="0"/>
          <c:extLst>
            <c:ext xmlns:c16="http://schemas.microsoft.com/office/drawing/2014/chart" uri="{C3380CC4-5D6E-409C-BE32-E72D297353CC}">
              <c16:uniqueId val="{00000002-F740-7F48-881D-2EEC3B1E966D}"/>
            </c:ext>
          </c:extLst>
        </c:ser>
        <c:ser>
          <c:idx val="3"/>
          <c:order val="3"/>
          <c:tx>
            <c:v>I=3,pH=5.4</c:v>
          </c:tx>
          <c:spPr>
            <a:ln w="19080" cap="rnd">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BSA!$J$21:$J$26</c:f>
              <c:numCache>
                <c:formatCode>0.0</c:formatCode>
                <c:ptCount val="6"/>
                <c:pt idx="0">
                  <c:v>522.72727272727263</c:v>
                </c:pt>
                <c:pt idx="1">
                  <c:v>836.36363636363637</c:v>
                </c:pt>
                <c:pt idx="2">
                  <c:v>1113.6363636363637</c:v>
                </c:pt>
                <c:pt idx="3">
                  <c:v>1360.6060606060607</c:v>
                </c:pt>
                <c:pt idx="4">
                  <c:v>1416.6666666666667</c:v>
                </c:pt>
                <c:pt idx="5">
                  <c:v>1860.6060606060607</c:v>
                </c:pt>
              </c:numCache>
            </c:numRef>
          </c:xVal>
          <c:yVal>
            <c:numRef>
              <c:f>BSA!$Y$21:$Y$26</c:f>
              <c:numCache>
                <c:formatCode>0.0000</c:formatCode>
                <c:ptCount val="6"/>
                <c:pt idx="0">
                  <c:v>0.29180091846255063</c:v>
                </c:pt>
                <c:pt idx="1">
                  <c:v>0.26054262851250692</c:v>
                </c:pt>
                <c:pt idx="2">
                  <c:v>0.28009374620449301</c:v>
                </c:pt>
                <c:pt idx="3">
                  <c:v>0.28563393672190485</c:v>
                </c:pt>
                <c:pt idx="4">
                  <c:v>0.28009146465224805</c:v>
                </c:pt>
                <c:pt idx="5">
                  <c:v>0.34131927956157632</c:v>
                </c:pt>
              </c:numCache>
            </c:numRef>
          </c:yVal>
          <c:smooth val="0"/>
          <c:extLst>
            <c:ext xmlns:c16="http://schemas.microsoft.com/office/drawing/2014/chart" uri="{C3380CC4-5D6E-409C-BE32-E72D297353CC}">
              <c16:uniqueId val="{00000003-F740-7F48-881D-2EEC3B1E966D}"/>
            </c:ext>
          </c:extLst>
        </c:ser>
        <c:ser>
          <c:idx val="4"/>
          <c:order val="4"/>
          <c:tx>
            <c:v>I=5,pH=7.4</c:v>
          </c:tx>
          <c:spPr>
            <a:ln w="19080" cap="rnd">
              <a:solidFill>
                <a:srgbClr val="5B9BD5"/>
              </a:solidFill>
              <a:round/>
            </a:ln>
          </c:spPr>
          <c:marker>
            <c:symbol val="circle"/>
            <c:size val="5"/>
            <c:spPr>
              <a:solidFill>
                <a:srgbClr val="5B9BD5"/>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BSA!$J$27:$J$31</c:f>
              <c:numCache>
                <c:formatCode>0.0</c:formatCode>
                <c:ptCount val="5"/>
                <c:pt idx="0">
                  <c:v>506.06060606060601</c:v>
                </c:pt>
                <c:pt idx="1">
                  <c:v>1043.939393939394</c:v>
                </c:pt>
                <c:pt idx="2">
                  <c:v>1516.6666666666665</c:v>
                </c:pt>
                <c:pt idx="3">
                  <c:v>2022.7272727272727</c:v>
                </c:pt>
                <c:pt idx="4">
                  <c:v>2272.7272727272725</c:v>
                </c:pt>
              </c:numCache>
            </c:numRef>
          </c:xVal>
          <c:yVal>
            <c:numRef>
              <c:f>BSA!$Y$27:$Y$31</c:f>
              <c:numCache>
                <c:formatCode>0.0000</c:formatCode>
                <c:ptCount val="5"/>
                <c:pt idx="0">
                  <c:v>0.44203137678293108</c:v>
                </c:pt>
                <c:pt idx="1">
                  <c:v>0.34925946409071773</c:v>
                </c:pt>
                <c:pt idx="2">
                  <c:v>0.31133701195747898</c:v>
                </c:pt>
                <c:pt idx="3">
                  <c:v>0.28258528488773987</c:v>
                </c:pt>
                <c:pt idx="4">
                  <c:v>0.32863584116286276</c:v>
                </c:pt>
              </c:numCache>
            </c:numRef>
          </c:yVal>
          <c:smooth val="0"/>
          <c:extLst>
            <c:ext xmlns:c16="http://schemas.microsoft.com/office/drawing/2014/chart" uri="{C3380CC4-5D6E-409C-BE32-E72D297353CC}">
              <c16:uniqueId val="{00000004-F740-7F48-881D-2EEC3B1E966D}"/>
            </c:ext>
          </c:extLst>
        </c:ser>
        <c:ser>
          <c:idx val="5"/>
          <c:order val="5"/>
          <c:tx>
            <c:v>I=5,pH=5.4</c:v>
          </c:tx>
          <c:spPr>
            <a:ln w="19080" cap="rnd">
              <a:solidFill>
                <a:srgbClr val="70AD47"/>
              </a:solidFill>
              <a:round/>
            </a:ln>
          </c:spPr>
          <c:marker>
            <c:symbol val="circle"/>
            <c:size val="5"/>
            <c:spPr>
              <a:solidFill>
                <a:srgbClr val="70AD47"/>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BSA!$J$33:$J$37</c:f>
              <c:numCache>
                <c:formatCode>0.0</c:formatCode>
                <c:ptCount val="5"/>
                <c:pt idx="0">
                  <c:v>456.06060606060612</c:v>
                </c:pt>
                <c:pt idx="1">
                  <c:v>750</c:v>
                </c:pt>
                <c:pt idx="2">
                  <c:v>892.42424242424238</c:v>
                </c:pt>
                <c:pt idx="3">
                  <c:v>1171.212121212121</c:v>
                </c:pt>
                <c:pt idx="4">
                  <c:v>1501.5151515151515</c:v>
                </c:pt>
              </c:numCache>
            </c:numRef>
          </c:xVal>
          <c:yVal>
            <c:numRef>
              <c:f>BSA!$Y$33:$Y$37</c:f>
              <c:numCache>
                <c:formatCode>0.0000</c:formatCode>
                <c:ptCount val="5"/>
                <c:pt idx="0">
                  <c:v>0.22564844916812116</c:v>
                </c:pt>
                <c:pt idx="1">
                  <c:v>0.1557983858867111</c:v>
                </c:pt>
                <c:pt idx="2">
                  <c:v>0.1539788543653445</c:v>
                </c:pt>
                <c:pt idx="3">
                  <c:v>0.14200876893992045</c:v>
                </c:pt>
                <c:pt idx="4">
                  <c:v>0.15432285171764301</c:v>
                </c:pt>
              </c:numCache>
            </c:numRef>
          </c:yVal>
          <c:smooth val="0"/>
          <c:extLst>
            <c:ext xmlns:c16="http://schemas.microsoft.com/office/drawing/2014/chart" uri="{C3380CC4-5D6E-409C-BE32-E72D297353CC}">
              <c16:uniqueId val="{00000005-F740-7F48-881D-2EEC3B1E966D}"/>
            </c:ext>
          </c:extLst>
        </c:ser>
        <c:dLbls>
          <c:showLegendKey val="0"/>
          <c:showVal val="0"/>
          <c:showCatName val="0"/>
          <c:showSerName val="0"/>
          <c:showPercent val="0"/>
          <c:showBubbleSize val="0"/>
        </c:dLbls>
        <c:axId val="15666521"/>
        <c:axId val="45351988"/>
      </c:scatterChart>
      <c:valAx>
        <c:axId val="15666521"/>
        <c:scaling>
          <c:orientation val="minMax"/>
        </c:scaling>
        <c:delete val="0"/>
        <c:axPos val="b"/>
        <c:title>
          <c:tx>
            <c:rich>
              <a:bodyPr rot="0"/>
              <a:lstStyle/>
              <a:p>
                <a:pPr>
                  <a:defRPr lang="en-GB" sz="1000" b="0" strike="noStrike" spc="-1">
                    <a:solidFill>
                      <a:srgbClr val="595959"/>
                    </a:solidFill>
                    <a:latin typeface="Calibri"/>
                  </a:defRPr>
                </a:pPr>
                <a:r>
                  <a:rPr lang="en-GB" sz="1000" b="0" strike="noStrike" spc="-1">
                    <a:solidFill>
                      <a:srgbClr val="595959"/>
                    </a:solidFill>
                    <a:latin typeface="Calibri"/>
                  </a:rPr>
                  <a:t>Protein Concentration (𝝁M)</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45351988"/>
        <c:crosses val="autoZero"/>
        <c:crossBetween val="midCat"/>
      </c:valAx>
      <c:valAx>
        <c:axId val="45351988"/>
        <c:scaling>
          <c:orientation val="minMax"/>
          <c:max val="1.8"/>
        </c:scaling>
        <c:delete val="0"/>
        <c:axPos val="l"/>
        <c:majorGridlines>
          <c:spPr>
            <a:ln w="9360">
              <a:solidFill>
                <a:srgbClr val="D9D9D9"/>
              </a:solidFill>
              <a:round/>
            </a:ln>
          </c:spPr>
        </c:majorGridlines>
        <c:title>
          <c:tx>
            <c:rich>
              <a:bodyPr rot="-5400000"/>
              <a:lstStyle/>
              <a:p>
                <a:pPr>
                  <a:defRPr lang="en-GB" sz="1000" b="0" strike="noStrike" spc="-1">
                    <a:solidFill>
                      <a:srgbClr val="595959"/>
                    </a:solidFill>
                    <a:latin typeface="Calibri"/>
                  </a:defRPr>
                </a:pPr>
                <a:r>
                  <a:rPr lang="en-GB" sz="1000" b="0" strike="noStrike" spc="-1">
                    <a:solidFill>
                      <a:srgbClr val="595959"/>
                    </a:solidFill>
                    <a:latin typeface="Calibri"/>
                  </a:rPr>
                  <a:t>𝜸</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5666521"/>
        <c:crosses val="autoZero"/>
        <c:crossBetween val="midCat"/>
      </c:valAx>
      <c:spPr>
        <a:noFill/>
        <a:ln w="0">
          <a:noFill/>
        </a:ln>
      </c:spPr>
    </c:plotArea>
    <c:legend>
      <c:legendPos val="r"/>
      <c:layout>
        <c:manualLayout>
          <c:xMode val="edge"/>
          <c:yMode val="edge"/>
          <c:x val="0.163319335083115"/>
          <c:y val="7.7256124234470702E-2"/>
          <c:w val="0.144430804845047"/>
          <c:h val="0.32245448618285799"/>
        </c:manualLayout>
      </c:layout>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BSA!$K$9:$K$13</c:f>
              <c:numCache>
                <c:formatCode>0.00E+00</c:formatCode>
                <c:ptCount val="5"/>
                <c:pt idx="0">
                  <c:v>1.9884287600820616E-7</c:v>
                </c:pt>
                <c:pt idx="1">
                  <c:v>4.2000557746172916E-7</c:v>
                </c:pt>
                <c:pt idx="2">
                  <c:v>6.4245927910548819E-7</c:v>
                </c:pt>
                <c:pt idx="3">
                  <c:v>7.4071966570298857E-7</c:v>
                </c:pt>
                <c:pt idx="4">
                  <c:v>1.0463399774514443E-6</c:v>
                </c:pt>
              </c:numCache>
            </c:numRef>
          </c:xVal>
          <c:yVal>
            <c:numRef>
              <c:f>BSA!$S$9:$S$13</c:f>
              <c:numCache>
                <c:formatCode>0.0000</c:formatCode>
                <c:ptCount val="5"/>
                <c:pt idx="0">
                  <c:v>-0.40191691969336485</c:v>
                </c:pt>
                <c:pt idx="1">
                  <c:v>-0.42484796550988713</c:v>
                </c:pt>
                <c:pt idx="2">
                  <c:v>-0.29800857604182751</c:v>
                </c:pt>
                <c:pt idx="3">
                  <c:v>-0.16183589120284647</c:v>
                </c:pt>
                <c:pt idx="4">
                  <c:v>-9.4174760959746862E-2</c:v>
                </c:pt>
              </c:numCache>
            </c:numRef>
          </c:yVal>
          <c:smooth val="0"/>
          <c:extLst>
            <c:ext xmlns:c16="http://schemas.microsoft.com/office/drawing/2014/chart" uri="{C3380CC4-5D6E-409C-BE32-E72D297353CC}">
              <c16:uniqueId val="{00000000-1C63-A642-9023-DC32B6B8670D}"/>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BSA!$K$9:$K$13</c:f>
              <c:numCache>
                <c:formatCode>0.00E+00</c:formatCode>
                <c:ptCount val="5"/>
                <c:pt idx="0">
                  <c:v>1.9884287600820616E-7</c:v>
                </c:pt>
                <c:pt idx="1">
                  <c:v>4.2000557746172916E-7</c:v>
                </c:pt>
                <c:pt idx="2">
                  <c:v>6.4245927910548819E-7</c:v>
                </c:pt>
                <c:pt idx="3">
                  <c:v>7.4071966570298857E-7</c:v>
                </c:pt>
                <c:pt idx="4">
                  <c:v>1.0463399774514443E-6</c:v>
                </c:pt>
              </c:numCache>
            </c:numRef>
          </c:xVal>
          <c:yVal>
            <c:numRef>
              <c:f>BSA!$T$9:$T$13</c:f>
              <c:numCache>
                <c:formatCode>0.0000</c:formatCode>
                <c:ptCount val="5"/>
                <c:pt idx="0">
                  <c:v>-0.39419158910981489</c:v>
                </c:pt>
                <c:pt idx="1">
                  <c:v>-0.44152252918241064</c:v>
                </c:pt>
                <c:pt idx="2">
                  <c:v>-0.27050045315167137</c:v>
                </c:pt>
                <c:pt idx="3">
                  <c:v>-0.1797399797417509</c:v>
                </c:pt>
                <c:pt idx="4">
                  <c:v>-9.3165199544443411E-2</c:v>
                </c:pt>
              </c:numCache>
            </c:numRef>
          </c:yVal>
          <c:smooth val="0"/>
          <c:extLst>
            <c:ext xmlns:c16="http://schemas.microsoft.com/office/drawing/2014/chart" uri="{C3380CC4-5D6E-409C-BE32-E72D297353CC}">
              <c16:uniqueId val="{00000001-1C63-A642-9023-DC32B6B8670D}"/>
            </c:ext>
          </c:extLst>
        </c:ser>
        <c:dLbls>
          <c:showLegendKey val="0"/>
          <c:showVal val="0"/>
          <c:showCatName val="0"/>
          <c:showSerName val="0"/>
          <c:showPercent val="0"/>
          <c:showBubbleSize val="0"/>
        </c:dLbls>
        <c:axId val="85953578"/>
        <c:axId val="51628467"/>
      </c:scatterChart>
      <c:valAx>
        <c:axId val="8595357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51628467"/>
        <c:crosses val="autoZero"/>
        <c:crossBetween val="midCat"/>
      </c:valAx>
      <c:valAx>
        <c:axId val="51628467"/>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5953578"/>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BSA!$K$21:$K$26</c:f>
              <c:numCache>
                <c:formatCode>0.00E+00</c:formatCode>
                <c:ptCount val="6"/>
                <c:pt idx="0">
                  <c:v>6.5633059665038387E-7</c:v>
                </c:pt>
                <c:pt idx="1">
                  <c:v>1.070461322075119E-6</c:v>
                </c:pt>
                <c:pt idx="2">
                  <c:v>1.4501649029972856E-6</c:v>
                </c:pt>
                <c:pt idx="3">
                  <c:v>1.7996823166695985E-6</c:v>
                </c:pt>
                <c:pt idx="4">
                  <c:v>1.8805599547326221E-6</c:v>
                </c:pt>
                <c:pt idx="5">
                  <c:v>2.5421267040389547E-6</c:v>
                </c:pt>
              </c:numCache>
            </c:numRef>
          </c:xVal>
          <c:yVal>
            <c:numRef>
              <c:f>BSA!$S$21:$S$26</c:f>
              <c:numCache>
                <c:formatCode>0.0000</c:formatCode>
                <c:ptCount val="6"/>
                <c:pt idx="0">
                  <c:v>-0.43978720342432343</c:v>
                </c:pt>
                <c:pt idx="1">
                  <c:v>-0.35505271875904709</c:v>
                </c:pt>
                <c:pt idx="2">
                  <c:v>-0.19899294287520752</c:v>
                </c:pt>
                <c:pt idx="3">
                  <c:v>-0.14049837443859259</c:v>
                </c:pt>
                <c:pt idx="4">
                  <c:v>-0.15374892010076913</c:v>
                </c:pt>
                <c:pt idx="5">
                  <c:v>6.641118237177901E-2</c:v>
                </c:pt>
              </c:numCache>
            </c:numRef>
          </c:yVal>
          <c:smooth val="0"/>
          <c:extLst>
            <c:ext xmlns:c16="http://schemas.microsoft.com/office/drawing/2014/chart" uri="{C3380CC4-5D6E-409C-BE32-E72D297353CC}">
              <c16:uniqueId val="{00000000-F07E-A140-8C6A-BF77DDB9B090}"/>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BSA!$K$21:$K$26</c:f>
              <c:numCache>
                <c:formatCode>0.00E+00</c:formatCode>
                <c:ptCount val="6"/>
                <c:pt idx="0">
                  <c:v>6.5633059665038387E-7</c:v>
                </c:pt>
                <c:pt idx="1">
                  <c:v>1.070461322075119E-6</c:v>
                </c:pt>
                <c:pt idx="2">
                  <c:v>1.4501649029972856E-6</c:v>
                </c:pt>
                <c:pt idx="3">
                  <c:v>1.7996823166695985E-6</c:v>
                </c:pt>
                <c:pt idx="4">
                  <c:v>1.8805599547326221E-6</c:v>
                </c:pt>
                <c:pt idx="5">
                  <c:v>2.5421267040389547E-6</c:v>
                </c:pt>
              </c:numCache>
            </c:numRef>
          </c:xVal>
          <c:yVal>
            <c:numRef>
              <c:f>BSA!$T$21:$T$26</c:f>
              <c:numCache>
                <c:formatCode>0.0000</c:formatCode>
                <c:ptCount val="6"/>
                <c:pt idx="0">
                  <c:v>-0.44779101350504535</c:v>
                </c:pt>
                <c:pt idx="1">
                  <c:v>-0.33589384409489625</c:v>
                </c:pt>
                <c:pt idx="2">
                  <c:v>-0.21563220606054323</c:v>
                </c:pt>
                <c:pt idx="3">
                  <c:v>-0.14959015176241497</c:v>
                </c:pt>
                <c:pt idx="4">
                  <c:v>-0.13910317125168081</c:v>
                </c:pt>
                <c:pt idx="5">
                  <c:v>6.5504102765583383E-2</c:v>
                </c:pt>
              </c:numCache>
            </c:numRef>
          </c:yVal>
          <c:smooth val="0"/>
          <c:extLst>
            <c:ext xmlns:c16="http://schemas.microsoft.com/office/drawing/2014/chart" uri="{C3380CC4-5D6E-409C-BE32-E72D297353CC}">
              <c16:uniqueId val="{00000001-F07E-A140-8C6A-BF77DDB9B090}"/>
            </c:ext>
          </c:extLst>
        </c:ser>
        <c:dLbls>
          <c:showLegendKey val="0"/>
          <c:showVal val="0"/>
          <c:showCatName val="0"/>
          <c:showSerName val="0"/>
          <c:showPercent val="0"/>
          <c:showBubbleSize val="0"/>
        </c:dLbls>
        <c:axId val="78195583"/>
        <c:axId val="18282773"/>
      </c:scatterChart>
      <c:valAx>
        <c:axId val="78195583"/>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8282773"/>
        <c:crosses val="autoZero"/>
        <c:crossBetween val="midCat"/>
      </c:valAx>
      <c:valAx>
        <c:axId val="18282773"/>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78195583"/>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BSA!$K$33:$K$37</c:f>
              <c:numCache>
                <c:formatCode>0.00E+00</c:formatCode>
                <c:ptCount val="5"/>
                <c:pt idx="0">
                  <c:v>6.6795743023489277E-7</c:v>
                </c:pt>
                <c:pt idx="1">
                  <c:v>1.1217613128976449E-6</c:v>
                </c:pt>
                <c:pt idx="2">
                  <c:v>1.3486394238825269E-6</c:v>
                </c:pt>
                <c:pt idx="3">
                  <c:v>1.8066589466963294E-6</c:v>
                </c:pt>
                <c:pt idx="4">
                  <c:v>2.374523777526755E-6</c:v>
                </c:pt>
              </c:numCache>
            </c:numRef>
          </c:xVal>
          <c:yVal>
            <c:numRef>
              <c:f>BSA!$S$33:$S$37</c:f>
              <c:numCache>
                <c:formatCode>0.0000</c:formatCode>
                <c:ptCount val="5"/>
                <c:pt idx="0">
                  <c:v>-0.60275062479555319</c:v>
                </c:pt>
                <c:pt idx="1">
                  <c:v>-0.64737791994258442</c:v>
                </c:pt>
                <c:pt idx="2">
                  <c:v>-0.54858125194027929</c:v>
                </c:pt>
                <c:pt idx="3">
                  <c:v>-0.47544551455870265</c:v>
                </c:pt>
                <c:pt idx="4">
                  <c:v>-0.28590368702056379</c:v>
                </c:pt>
              </c:numCache>
            </c:numRef>
          </c:yVal>
          <c:smooth val="0"/>
          <c:extLst>
            <c:ext xmlns:c16="http://schemas.microsoft.com/office/drawing/2014/chart" uri="{C3380CC4-5D6E-409C-BE32-E72D297353CC}">
              <c16:uniqueId val="{00000000-867B-C743-A45D-DF8EED53DF40}"/>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BSA!$K$33:$K$37</c:f>
              <c:numCache>
                <c:formatCode>0.00E+00</c:formatCode>
                <c:ptCount val="5"/>
                <c:pt idx="0">
                  <c:v>6.6795743023489277E-7</c:v>
                </c:pt>
                <c:pt idx="1">
                  <c:v>1.1217613128976449E-6</c:v>
                </c:pt>
                <c:pt idx="2">
                  <c:v>1.3486394238825269E-6</c:v>
                </c:pt>
                <c:pt idx="3">
                  <c:v>1.8066589466963294E-6</c:v>
                </c:pt>
                <c:pt idx="4">
                  <c:v>2.374523777526755E-6</c:v>
                </c:pt>
              </c:numCache>
            </c:numRef>
          </c:xVal>
          <c:yVal>
            <c:numRef>
              <c:f>BSA!$T$33:$T$37</c:f>
              <c:numCache>
                <c:formatCode>0.0000</c:formatCode>
                <c:ptCount val="5"/>
                <c:pt idx="0">
                  <c:v>-0.6098303546405005</c:v>
                </c:pt>
                <c:pt idx="1">
                  <c:v>-0.61873248930285196</c:v>
                </c:pt>
                <c:pt idx="2">
                  <c:v>-0.57758779075456768</c:v>
                </c:pt>
                <c:pt idx="3">
                  <c:v>-0.46769964260661823</c:v>
                </c:pt>
                <c:pt idx="4">
                  <c:v>-0.28686352781784619</c:v>
                </c:pt>
              </c:numCache>
            </c:numRef>
          </c:yVal>
          <c:smooth val="0"/>
          <c:extLst>
            <c:ext xmlns:c16="http://schemas.microsoft.com/office/drawing/2014/chart" uri="{C3380CC4-5D6E-409C-BE32-E72D297353CC}">
              <c16:uniqueId val="{00000001-867B-C743-A45D-DF8EED53DF40}"/>
            </c:ext>
          </c:extLst>
        </c:ser>
        <c:dLbls>
          <c:showLegendKey val="0"/>
          <c:showVal val="0"/>
          <c:showCatName val="0"/>
          <c:showSerName val="0"/>
          <c:showPercent val="0"/>
          <c:showBubbleSize val="0"/>
        </c:dLbls>
        <c:axId val="50137712"/>
        <c:axId val="68310774"/>
      </c:scatterChart>
      <c:valAx>
        <c:axId val="50137712"/>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8310774"/>
        <c:crosses val="autoZero"/>
        <c:crossBetween val="midCat"/>
      </c:valAx>
      <c:valAx>
        <c:axId val="68310774"/>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50137712"/>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BSA!$AI$3:$AI$7</c:f>
              <c:numCache>
                <c:formatCode>0.00E+00</c:formatCode>
                <c:ptCount val="5"/>
                <c:pt idx="0">
                  <c:v>0.29545454545454547</c:v>
                </c:pt>
                <c:pt idx="1">
                  <c:v>0.67575757575757578</c:v>
                </c:pt>
                <c:pt idx="2">
                  <c:v>0.84545454545454535</c:v>
                </c:pt>
                <c:pt idx="3">
                  <c:v>1.2803030303030303</c:v>
                </c:pt>
                <c:pt idx="4">
                  <c:v>1.5318181818181817</c:v>
                </c:pt>
              </c:numCache>
            </c:numRef>
          </c:xVal>
          <c:yVal>
            <c:numRef>
              <c:f>BSA!$AJ$3:$AJ$7</c:f>
              <c:numCache>
                <c:formatCode>0.0000</c:formatCode>
                <c:ptCount val="5"/>
                <c:pt idx="0">
                  <c:v>0.33625643367190577</c:v>
                </c:pt>
                <c:pt idx="1">
                  <c:v>0.88613460167655156</c:v>
                </c:pt>
                <c:pt idx="2">
                  <c:v>1.1155801681820874</c:v>
                </c:pt>
                <c:pt idx="3">
                  <c:v>2.0373183922474292</c:v>
                </c:pt>
                <c:pt idx="4">
                  <c:v>2.8918053295783896</c:v>
                </c:pt>
              </c:numCache>
            </c:numRef>
          </c:yVal>
          <c:smooth val="0"/>
          <c:extLst>
            <c:ext xmlns:c16="http://schemas.microsoft.com/office/drawing/2014/chart" uri="{C3380CC4-5D6E-409C-BE32-E72D297353CC}">
              <c16:uniqueId val="{00000000-00BC-D241-AEB3-4DB365998168}"/>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BSA!$AI$3:$AI$7</c:f>
              <c:numCache>
                <c:formatCode>0.00E+00</c:formatCode>
                <c:ptCount val="5"/>
                <c:pt idx="0">
                  <c:v>0.29545454545454547</c:v>
                </c:pt>
                <c:pt idx="1">
                  <c:v>0.67575757575757578</c:v>
                </c:pt>
                <c:pt idx="2">
                  <c:v>0.84545454545454535</c:v>
                </c:pt>
                <c:pt idx="3">
                  <c:v>1.2803030303030303</c:v>
                </c:pt>
                <c:pt idx="4">
                  <c:v>1.5318181818181817</c:v>
                </c:pt>
              </c:numCache>
            </c:numRef>
          </c:xVal>
          <c:yVal>
            <c:numRef>
              <c:f>BSA!$AL$3:$AL$7</c:f>
              <c:numCache>
                <c:formatCode>0.00E+00</c:formatCode>
                <c:ptCount val="5"/>
                <c:pt idx="0">
                  <c:v>0.37578139374999353</c:v>
                </c:pt>
                <c:pt idx="1">
                  <c:v>0.97203217104368189</c:v>
                </c:pt>
                <c:pt idx="2">
                  <c:v>1.2791413346250293</c:v>
                </c:pt>
                <c:pt idx="3">
                  <c:v>2.4362000378276294</c:v>
                </c:pt>
                <c:pt idx="4">
                  <c:v>3.6159956097445458</c:v>
                </c:pt>
              </c:numCache>
            </c:numRef>
          </c:yVal>
          <c:smooth val="0"/>
          <c:extLst>
            <c:ext xmlns:c16="http://schemas.microsoft.com/office/drawing/2014/chart" uri="{C3380CC4-5D6E-409C-BE32-E72D297353CC}">
              <c16:uniqueId val="{00000001-00BC-D241-AEB3-4DB365998168}"/>
            </c:ext>
          </c:extLst>
        </c:ser>
        <c:dLbls>
          <c:showLegendKey val="0"/>
          <c:showVal val="0"/>
          <c:showCatName val="0"/>
          <c:showSerName val="0"/>
          <c:showPercent val="0"/>
          <c:showBubbleSize val="0"/>
        </c:dLbls>
        <c:axId val="29007977"/>
        <c:axId val="38217733"/>
      </c:scatterChart>
      <c:valAx>
        <c:axId val="29007977"/>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8217733"/>
        <c:crosses val="autoZero"/>
        <c:crossBetween val="midCat"/>
      </c:valAx>
      <c:valAx>
        <c:axId val="38217733"/>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29007977"/>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BSA!$AI$9:$AI$13</c:f>
              <c:numCache>
                <c:formatCode>0.00E+00</c:formatCode>
                <c:ptCount val="5"/>
                <c:pt idx="0">
                  <c:v>0.18484848484848485</c:v>
                </c:pt>
                <c:pt idx="1">
                  <c:v>0.38636363636363635</c:v>
                </c:pt>
                <c:pt idx="2">
                  <c:v>0.58484848484848484</c:v>
                </c:pt>
                <c:pt idx="3">
                  <c:v>0.67121212121212115</c:v>
                </c:pt>
                <c:pt idx="4">
                  <c:v>0.93484848484848493</c:v>
                </c:pt>
              </c:numCache>
            </c:numRef>
          </c:xVal>
          <c:yVal>
            <c:numRef>
              <c:f>BSA!$AJ$9:$AJ$13</c:f>
              <c:numCache>
                <c:formatCode>0.0000</c:formatCode>
                <c:ptCount val="5"/>
                <c:pt idx="0">
                  <c:v>0.11867874129596676</c:v>
                </c:pt>
                <c:pt idx="1">
                  <c:v>0.24131344063513238</c:v>
                </c:pt>
                <c:pt idx="2">
                  <c:v>0.45097921692467358</c:v>
                </c:pt>
                <c:pt idx="3">
                  <c:v>0.62108541278222595</c:v>
                </c:pt>
                <c:pt idx="4">
                  <c:v>0.94942993036773404</c:v>
                </c:pt>
              </c:numCache>
            </c:numRef>
          </c:yVal>
          <c:smooth val="0"/>
          <c:extLst>
            <c:ext xmlns:c16="http://schemas.microsoft.com/office/drawing/2014/chart" uri="{C3380CC4-5D6E-409C-BE32-E72D297353CC}">
              <c16:uniqueId val="{00000000-A21F-4B41-8CD8-7FB4BA86F2D3}"/>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BSA!$AI$9:$AI$13</c:f>
              <c:numCache>
                <c:formatCode>0.00E+00</c:formatCode>
                <c:ptCount val="5"/>
                <c:pt idx="0">
                  <c:v>0.18484848484848485</c:v>
                </c:pt>
                <c:pt idx="1">
                  <c:v>0.38636363636363635</c:v>
                </c:pt>
                <c:pt idx="2">
                  <c:v>0.58484848484848484</c:v>
                </c:pt>
                <c:pt idx="3">
                  <c:v>0.67121212121212115</c:v>
                </c:pt>
                <c:pt idx="4">
                  <c:v>0.93484848484848493</c:v>
                </c:pt>
              </c:numCache>
            </c:numRef>
          </c:xVal>
          <c:yVal>
            <c:numRef>
              <c:f>BSA!$AL$9:$AL$13</c:f>
              <c:numCache>
                <c:formatCode>0.00E+00</c:formatCode>
                <c:ptCount val="5"/>
                <c:pt idx="0">
                  <c:v>0.11876930377559748</c:v>
                </c:pt>
                <c:pt idx="1">
                  <c:v>0.24462646594305248</c:v>
                </c:pt>
                <c:pt idx="2">
                  <c:v>0.47863266824467166</c:v>
                </c:pt>
                <c:pt idx="3">
                  <c:v>0.61041069517410207</c:v>
                </c:pt>
                <c:pt idx="4">
                  <c:v>0.94947014883493142</c:v>
                </c:pt>
              </c:numCache>
            </c:numRef>
          </c:yVal>
          <c:smooth val="0"/>
          <c:extLst>
            <c:ext xmlns:c16="http://schemas.microsoft.com/office/drawing/2014/chart" uri="{C3380CC4-5D6E-409C-BE32-E72D297353CC}">
              <c16:uniqueId val="{00000001-A21F-4B41-8CD8-7FB4BA86F2D3}"/>
            </c:ext>
          </c:extLst>
        </c:ser>
        <c:dLbls>
          <c:showLegendKey val="0"/>
          <c:showVal val="0"/>
          <c:showCatName val="0"/>
          <c:showSerName val="0"/>
          <c:showPercent val="0"/>
          <c:showBubbleSize val="0"/>
        </c:dLbls>
        <c:axId val="73650498"/>
        <c:axId val="22188715"/>
      </c:scatterChart>
      <c:valAx>
        <c:axId val="7365049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22188715"/>
        <c:crosses val="autoZero"/>
        <c:crossBetween val="midCat"/>
      </c:valAx>
      <c:valAx>
        <c:axId val="22188715"/>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73650498"/>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BSA!$AI$15:$AI$19</c:f>
              <c:numCache>
                <c:formatCode>0.00E+00</c:formatCode>
                <c:ptCount val="5"/>
                <c:pt idx="0">
                  <c:v>0.22727272727272727</c:v>
                </c:pt>
                <c:pt idx="1">
                  <c:v>0.37878787878787878</c:v>
                </c:pt>
                <c:pt idx="2">
                  <c:v>0.58181818181818179</c:v>
                </c:pt>
                <c:pt idx="3">
                  <c:v>0.76212121212121198</c:v>
                </c:pt>
                <c:pt idx="4">
                  <c:v>0.98939393939393949</c:v>
                </c:pt>
              </c:numCache>
            </c:numRef>
          </c:xVal>
          <c:yVal>
            <c:numRef>
              <c:f>BSA!$AJ$15:$AJ$19</c:f>
              <c:numCache>
                <c:formatCode>0.0000</c:formatCode>
                <c:ptCount val="5"/>
                <c:pt idx="0">
                  <c:v>0.19779790215994458</c:v>
                </c:pt>
                <c:pt idx="1">
                  <c:v>0.35208026584470137</c:v>
                </c:pt>
                <c:pt idx="2">
                  <c:v>0.56570200017744154</c:v>
                </c:pt>
                <c:pt idx="3">
                  <c:v>0.79910352472617607</c:v>
                </c:pt>
                <c:pt idx="4">
                  <c:v>1.0878884618796951</c:v>
                </c:pt>
              </c:numCache>
            </c:numRef>
          </c:yVal>
          <c:smooth val="0"/>
          <c:extLst>
            <c:ext xmlns:c16="http://schemas.microsoft.com/office/drawing/2014/chart" uri="{C3380CC4-5D6E-409C-BE32-E72D297353CC}">
              <c16:uniqueId val="{00000000-EE6E-B446-AABF-787A3F2F680A}"/>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BSA!$AI$15:$AI$19</c:f>
              <c:numCache>
                <c:formatCode>0.00E+00</c:formatCode>
                <c:ptCount val="5"/>
                <c:pt idx="0">
                  <c:v>0.22727272727272727</c:v>
                </c:pt>
                <c:pt idx="1">
                  <c:v>0.37878787878787878</c:v>
                </c:pt>
                <c:pt idx="2">
                  <c:v>0.58181818181818179</c:v>
                </c:pt>
                <c:pt idx="3">
                  <c:v>0.76212121212121198</c:v>
                </c:pt>
                <c:pt idx="4">
                  <c:v>0.98939393939393949</c:v>
                </c:pt>
              </c:numCache>
            </c:numRef>
          </c:xVal>
          <c:yVal>
            <c:numRef>
              <c:f>BSA!$AL$15:$AL$19</c:f>
              <c:numCache>
                <c:formatCode>0.00E+00</c:formatCode>
                <c:ptCount val="5"/>
                <c:pt idx="0">
                  <c:v>0.20539380544485272</c:v>
                </c:pt>
                <c:pt idx="1">
                  <c:v>0.34586898864134347</c:v>
                </c:pt>
                <c:pt idx="2">
                  <c:v>0.56847635682509501</c:v>
                </c:pt>
                <c:pt idx="3">
                  <c:v>0.79812859181804874</c:v>
                </c:pt>
                <c:pt idx="4">
                  <c:v>1.0868568881055143</c:v>
                </c:pt>
              </c:numCache>
            </c:numRef>
          </c:yVal>
          <c:smooth val="0"/>
          <c:extLst>
            <c:ext xmlns:c16="http://schemas.microsoft.com/office/drawing/2014/chart" uri="{C3380CC4-5D6E-409C-BE32-E72D297353CC}">
              <c16:uniqueId val="{00000001-EE6E-B446-AABF-787A3F2F680A}"/>
            </c:ext>
          </c:extLst>
        </c:ser>
        <c:dLbls>
          <c:showLegendKey val="0"/>
          <c:showVal val="0"/>
          <c:showCatName val="0"/>
          <c:showSerName val="0"/>
          <c:showPercent val="0"/>
          <c:showBubbleSize val="0"/>
        </c:dLbls>
        <c:axId val="3865990"/>
        <c:axId val="68742597"/>
      </c:scatterChart>
      <c:valAx>
        <c:axId val="3865990"/>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8742597"/>
        <c:crosses val="autoZero"/>
        <c:crossBetween val="midCat"/>
      </c:valAx>
      <c:valAx>
        <c:axId val="68742597"/>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865990"/>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BSA!$AI$21:$AI$26</c:f>
              <c:numCache>
                <c:formatCode>0.00E+00</c:formatCode>
                <c:ptCount val="6"/>
                <c:pt idx="0">
                  <c:v>0.52272727272727271</c:v>
                </c:pt>
                <c:pt idx="1">
                  <c:v>0.83636363636363642</c:v>
                </c:pt>
                <c:pt idx="2">
                  <c:v>1.1136363636363638</c:v>
                </c:pt>
                <c:pt idx="3">
                  <c:v>1.3606060606060606</c:v>
                </c:pt>
                <c:pt idx="4">
                  <c:v>1.4166666666666667</c:v>
                </c:pt>
                <c:pt idx="5">
                  <c:v>1.8606060606060606</c:v>
                </c:pt>
              </c:numCache>
            </c:numRef>
          </c:xVal>
          <c:yVal>
            <c:numRef>
              <c:f>BSA!$AJ$21:$AJ$26</c:f>
              <c:numCache>
                <c:formatCode>0.0000</c:formatCode>
                <c:ptCount val="6"/>
                <c:pt idx="0">
                  <c:v>0.36790409801749691</c:v>
                </c:pt>
                <c:pt idx="1">
                  <c:v>0.69229265755980607</c:v>
                </c:pt>
                <c:pt idx="2">
                  <c:v>1.167007622743673</c:v>
                </c:pt>
                <c:pt idx="3">
                  <c:v>1.5566694899987636</c:v>
                </c:pt>
                <c:pt idx="4">
                  <c:v>1.6021630074955511</c:v>
                </c:pt>
                <c:pt idx="5">
                  <c:v>2.7375229658936329</c:v>
                </c:pt>
              </c:numCache>
            </c:numRef>
          </c:yVal>
          <c:smooth val="0"/>
          <c:extLst>
            <c:ext xmlns:c16="http://schemas.microsoft.com/office/drawing/2014/chart" uri="{C3380CC4-5D6E-409C-BE32-E72D297353CC}">
              <c16:uniqueId val="{00000000-1D3F-0E42-AC9F-655960019921}"/>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BSA!$AI$21:$AI$26</c:f>
              <c:numCache>
                <c:formatCode>0.00E+00</c:formatCode>
                <c:ptCount val="6"/>
                <c:pt idx="0">
                  <c:v>0.52272727272727271</c:v>
                </c:pt>
                <c:pt idx="1">
                  <c:v>0.83636363636363642</c:v>
                </c:pt>
                <c:pt idx="2">
                  <c:v>1.1136363636363638</c:v>
                </c:pt>
                <c:pt idx="3">
                  <c:v>1.3606060606060606</c:v>
                </c:pt>
                <c:pt idx="4">
                  <c:v>1.4166666666666667</c:v>
                </c:pt>
                <c:pt idx="5">
                  <c:v>1.8606060606060606</c:v>
                </c:pt>
              </c:numCache>
            </c:numRef>
          </c:xVal>
          <c:yVal>
            <c:numRef>
              <c:f>BSA!$AL$21:$AL$26</c:f>
              <c:numCache>
                <c:formatCode>0.00E+00</c:formatCode>
                <c:ptCount val="6"/>
                <c:pt idx="0">
                  <c:v>0.31597272149251471</c:v>
                </c:pt>
                <c:pt idx="1">
                  <c:v>0.60137226401400101</c:v>
                </c:pt>
                <c:pt idx="2">
                  <c:v>1.0736567679995117</c:v>
                </c:pt>
                <c:pt idx="3">
                  <c:v>1.7018783920277036</c:v>
                </c:pt>
                <c:pt idx="4">
                  <c:v>1.8711079743051566</c:v>
                </c:pt>
                <c:pt idx="5">
                  <c:v>3.4782123907567528</c:v>
                </c:pt>
              </c:numCache>
            </c:numRef>
          </c:yVal>
          <c:smooth val="0"/>
          <c:extLst>
            <c:ext xmlns:c16="http://schemas.microsoft.com/office/drawing/2014/chart" uri="{C3380CC4-5D6E-409C-BE32-E72D297353CC}">
              <c16:uniqueId val="{00000001-1D3F-0E42-AC9F-655960019921}"/>
            </c:ext>
          </c:extLst>
        </c:ser>
        <c:dLbls>
          <c:showLegendKey val="0"/>
          <c:showVal val="0"/>
          <c:showCatName val="0"/>
          <c:showSerName val="0"/>
          <c:showPercent val="0"/>
          <c:showBubbleSize val="0"/>
        </c:dLbls>
        <c:axId val="64506363"/>
        <c:axId val="33363672"/>
      </c:scatterChart>
      <c:valAx>
        <c:axId val="64506363"/>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3363672"/>
        <c:crosses val="autoZero"/>
        <c:crossBetween val="midCat"/>
      </c:valAx>
      <c:valAx>
        <c:axId val="33363672"/>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4506363"/>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BSA!$AI$27:$AI$31</c:f>
              <c:numCache>
                <c:formatCode>0.00E+00</c:formatCode>
                <c:ptCount val="5"/>
                <c:pt idx="0">
                  <c:v>0.50606060606060599</c:v>
                </c:pt>
                <c:pt idx="1">
                  <c:v>1.0439393939393939</c:v>
                </c:pt>
                <c:pt idx="2">
                  <c:v>1.5166666666666666</c:v>
                </c:pt>
                <c:pt idx="3">
                  <c:v>2.0227272727272729</c:v>
                </c:pt>
                <c:pt idx="4">
                  <c:v>2.2727272727272725</c:v>
                </c:pt>
              </c:numCache>
            </c:numRef>
          </c:xVal>
          <c:yVal>
            <c:numRef>
              <c:f>BSA!$AJ$27:$AJ$31</c:f>
              <c:numCache>
                <c:formatCode>0.0000</c:formatCode>
                <c:ptCount val="5"/>
                <c:pt idx="0">
                  <c:v>0.50240667148625917</c:v>
                </c:pt>
                <c:pt idx="1">
                  <c:v>1.1195361262252863</c:v>
                </c:pt>
                <c:pt idx="2">
                  <c:v>1.720841748791518</c:v>
                </c:pt>
                <c:pt idx="3">
                  <c:v>2.4329141965673182</c:v>
                </c:pt>
                <c:pt idx="4">
                  <c:v>3.528714574533411</c:v>
                </c:pt>
              </c:numCache>
            </c:numRef>
          </c:yVal>
          <c:smooth val="0"/>
          <c:extLst>
            <c:ext xmlns:c16="http://schemas.microsoft.com/office/drawing/2014/chart" uri="{C3380CC4-5D6E-409C-BE32-E72D297353CC}">
              <c16:uniqueId val="{00000000-86F3-D147-885D-D37B61279B6F}"/>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BSA!$AI$27:$AI$31</c:f>
              <c:numCache>
                <c:formatCode>0.00E+00</c:formatCode>
                <c:ptCount val="5"/>
                <c:pt idx="0">
                  <c:v>0.50606060606060599</c:v>
                </c:pt>
                <c:pt idx="1">
                  <c:v>1.0439393939393939</c:v>
                </c:pt>
                <c:pt idx="2">
                  <c:v>1.5166666666666666</c:v>
                </c:pt>
                <c:pt idx="3">
                  <c:v>2.0227272727272729</c:v>
                </c:pt>
                <c:pt idx="4">
                  <c:v>2.2727272727272725</c:v>
                </c:pt>
              </c:numCache>
            </c:numRef>
          </c:xVal>
          <c:yVal>
            <c:numRef>
              <c:f>BSA!$AL$27:$AL$31</c:f>
              <c:numCache>
                <c:formatCode>0.00E+00</c:formatCode>
                <c:ptCount val="5"/>
                <c:pt idx="0">
                  <c:v>0.70184916511572215</c:v>
                </c:pt>
                <c:pt idx="1">
                  <c:v>1.2867525265879565</c:v>
                </c:pt>
                <c:pt idx="2">
                  <c:v>1.7158334551732042</c:v>
                </c:pt>
                <c:pt idx="3">
                  <c:v>3.2220870977092519</c:v>
                </c:pt>
                <c:pt idx="4">
                  <c:v>5.0085154711368558</c:v>
                </c:pt>
              </c:numCache>
            </c:numRef>
          </c:yVal>
          <c:smooth val="0"/>
          <c:extLst>
            <c:ext xmlns:c16="http://schemas.microsoft.com/office/drawing/2014/chart" uri="{C3380CC4-5D6E-409C-BE32-E72D297353CC}">
              <c16:uniqueId val="{00000001-86F3-D147-885D-D37B61279B6F}"/>
            </c:ext>
          </c:extLst>
        </c:ser>
        <c:dLbls>
          <c:showLegendKey val="0"/>
          <c:showVal val="0"/>
          <c:showCatName val="0"/>
          <c:showSerName val="0"/>
          <c:showPercent val="0"/>
          <c:showBubbleSize val="0"/>
        </c:dLbls>
        <c:axId val="9971354"/>
        <c:axId val="43451848"/>
      </c:scatterChart>
      <c:valAx>
        <c:axId val="9971354"/>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43451848"/>
        <c:crosses val="autoZero"/>
        <c:crossBetween val="midCat"/>
      </c:valAx>
      <c:valAx>
        <c:axId val="43451848"/>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971354"/>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BSA!$AI$33:$AI$37</c:f>
              <c:numCache>
                <c:formatCode>0.00E+00</c:formatCode>
                <c:ptCount val="5"/>
                <c:pt idx="0">
                  <c:v>0.45606060606060611</c:v>
                </c:pt>
                <c:pt idx="1">
                  <c:v>0.75</c:v>
                </c:pt>
                <c:pt idx="2">
                  <c:v>0.89242424242424245</c:v>
                </c:pt>
                <c:pt idx="3">
                  <c:v>1.1712121212121211</c:v>
                </c:pt>
                <c:pt idx="4">
                  <c:v>1.5015151515151515</c:v>
                </c:pt>
              </c:numCache>
            </c:numRef>
          </c:xVal>
          <c:yVal>
            <c:numRef>
              <c:f>BSA!$AJ$33:$AJ$37</c:f>
              <c:numCache>
                <c:formatCode>0.0000</c:formatCode>
                <c:ptCount val="5"/>
                <c:pt idx="0">
                  <c:v>0.26504918889432572</c:v>
                </c:pt>
                <c:pt idx="1">
                  <c:v>0.39559580431988917</c:v>
                </c:pt>
                <c:pt idx="2">
                  <c:v>0.60921753865262929</c:v>
                </c:pt>
                <c:pt idx="3">
                  <c:v>0.94942993036773404</c:v>
                </c:pt>
                <c:pt idx="4">
                  <c:v>1.7010619585755233</c:v>
                </c:pt>
              </c:numCache>
            </c:numRef>
          </c:yVal>
          <c:smooth val="0"/>
          <c:extLst>
            <c:ext xmlns:c16="http://schemas.microsoft.com/office/drawing/2014/chart" uri="{C3380CC4-5D6E-409C-BE32-E72D297353CC}">
              <c16:uniqueId val="{00000000-AC3E-3A4E-95A5-7F34F3E3BBB1}"/>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BSA!$AI$33:$AI$37</c:f>
              <c:numCache>
                <c:formatCode>0.00E+00</c:formatCode>
                <c:ptCount val="5"/>
                <c:pt idx="0">
                  <c:v>0.45606060606060611</c:v>
                </c:pt>
                <c:pt idx="1">
                  <c:v>0.75</c:v>
                </c:pt>
                <c:pt idx="2">
                  <c:v>0.89242424242424245</c:v>
                </c:pt>
                <c:pt idx="3">
                  <c:v>1.1712121212121211</c:v>
                </c:pt>
                <c:pt idx="4">
                  <c:v>1.5015151515151515</c:v>
                </c:pt>
              </c:numCache>
            </c:numRef>
          </c:xVal>
          <c:yVal>
            <c:numRef>
              <c:f>BSA!$AL$33:$AL$37</c:f>
              <c:numCache>
                <c:formatCode>0.00E+00</c:formatCode>
                <c:ptCount val="5"/>
                <c:pt idx="0">
                  <c:v>0.16550189953067679</c:v>
                </c:pt>
                <c:pt idx="1">
                  <c:v>0.27191252189627813</c:v>
                </c:pt>
                <c:pt idx="2">
                  <c:v>0.40032834472664414</c:v>
                </c:pt>
                <c:pt idx="3">
                  <c:v>0.86114918776834493</c:v>
                </c:pt>
                <c:pt idx="4">
                  <c:v>1.7976530706735507</c:v>
                </c:pt>
              </c:numCache>
            </c:numRef>
          </c:yVal>
          <c:smooth val="0"/>
          <c:extLst>
            <c:ext xmlns:c16="http://schemas.microsoft.com/office/drawing/2014/chart" uri="{C3380CC4-5D6E-409C-BE32-E72D297353CC}">
              <c16:uniqueId val="{00000001-AC3E-3A4E-95A5-7F34F3E3BBB1}"/>
            </c:ext>
          </c:extLst>
        </c:ser>
        <c:dLbls>
          <c:showLegendKey val="0"/>
          <c:showVal val="0"/>
          <c:showCatName val="0"/>
          <c:showSerName val="0"/>
          <c:showPercent val="0"/>
          <c:showBubbleSize val="0"/>
        </c:dLbls>
        <c:axId val="78338439"/>
        <c:axId val="50079521"/>
      </c:scatterChart>
      <c:valAx>
        <c:axId val="78338439"/>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50079521"/>
        <c:crosses val="autoZero"/>
        <c:crossBetween val="midCat"/>
      </c:valAx>
      <c:valAx>
        <c:axId val="50079521"/>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78338439"/>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463680</xdr:colOff>
      <xdr:row>38</xdr:row>
      <xdr:rowOff>44280</xdr:rowOff>
    </xdr:from>
    <xdr:to>
      <xdr:col>11</xdr:col>
      <xdr:colOff>856800</xdr:colOff>
      <xdr:row>51</xdr:row>
      <xdr:rowOff>145080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717480</xdr:colOff>
      <xdr:row>38</xdr:row>
      <xdr:rowOff>31680</xdr:rowOff>
    </xdr:from>
    <xdr:to>
      <xdr:col>22</xdr:col>
      <xdr:colOff>640440</xdr:colOff>
      <xdr:row>51</xdr:row>
      <xdr:rowOff>132480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907920</xdr:colOff>
      <xdr:row>52</xdr:row>
      <xdr:rowOff>6480</xdr:rowOff>
    </xdr:from>
    <xdr:to>
      <xdr:col>16</xdr:col>
      <xdr:colOff>697680</xdr:colOff>
      <xdr:row>65</xdr:row>
      <xdr:rowOff>107280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88920</xdr:colOff>
      <xdr:row>7</xdr:row>
      <xdr:rowOff>12600</xdr:rowOff>
    </xdr:from>
    <xdr:to>
      <xdr:col>32</xdr:col>
      <xdr:colOff>443880</xdr:colOff>
      <xdr:row>26</xdr:row>
      <xdr:rowOff>138960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888840</xdr:colOff>
      <xdr:row>38</xdr:row>
      <xdr:rowOff>63360</xdr:rowOff>
    </xdr:from>
    <xdr:to>
      <xdr:col>16</xdr:col>
      <xdr:colOff>697680</xdr:colOff>
      <xdr:row>51</xdr:row>
      <xdr:rowOff>164160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469800</xdr:colOff>
      <xdr:row>52</xdr:row>
      <xdr:rowOff>12600</xdr:rowOff>
    </xdr:from>
    <xdr:to>
      <xdr:col>11</xdr:col>
      <xdr:colOff>862920</xdr:colOff>
      <xdr:row>65</xdr:row>
      <xdr:rowOff>113400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723960</xdr:colOff>
      <xdr:row>52</xdr:row>
      <xdr:rowOff>12600</xdr:rowOff>
    </xdr:from>
    <xdr:to>
      <xdr:col>22</xdr:col>
      <xdr:colOff>297720</xdr:colOff>
      <xdr:row>65</xdr:row>
      <xdr:rowOff>113400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40</xdr:col>
      <xdr:colOff>380880</xdr:colOff>
      <xdr:row>0</xdr:row>
      <xdr:rowOff>139680</xdr:rowOff>
    </xdr:from>
    <xdr:to>
      <xdr:col>45</xdr:col>
      <xdr:colOff>815400</xdr:colOff>
      <xdr:row>14</xdr:row>
      <xdr:rowOff>37440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40</xdr:col>
      <xdr:colOff>380880</xdr:colOff>
      <xdr:row>14</xdr:row>
      <xdr:rowOff>50760</xdr:rowOff>
    </xdr:from>
    <xdr:to>
      <xdr:col>45</xdr:col>
      <xdr:colOff>815400</xdr:colOff>
      <xdr:row>27</xdr:row>
      <xdr:rowOff>151560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40</xdr:col>
      <xdr:colOff>380880</xdr:colOff>
      <xdr:row>27</xdr:row>
      <xdr:rowOff>165240</xdr:rowOff>
    </xdr:from>
    <xdr:to>
      <xdr:col>45</xdr:col>
      <xdr:colOff>815400</xdr:colOff>
      <xdr:row>41</xdr:row>
      <xdr:rowOff>63000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46</xdr:col>
      <xdr:colOff>76320</xdr:colOff>
      <xdr:row>0</xdr:row>
      <xdr:rowOff>139680</xdr:rowOff>
    </xdr:from>
    <xdr:to>
      <xdr:col>51</xdr:col>
      <xdr:colOff>520200</xdr:colOff>
      <xdr:row>14</xdr:row>
      <xdr:rowOff>37440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76320</xdr:colOff>
      <xdr:row>14</xdr:row>
      <xdr:rowOff>50760</xdr:rowOff>
    </xdr:from>
    <xdr:to>
      <xdr:col>51</xdr:col>
      <xdr:colOff>520200</xdr:colOff>
      <xdr:row>27</xdr:row>
      <xdr:rowOff>151560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46</xdr:col>
      <xdr:colOff>76320</xdr:colOff>
      <xdr:row>27</xdr:row>
      <xdr:rowOff>165240</xdr:rowOff>
    </xdr:from>
    <xdr:to>
      <xdr:col>51</xdr:col>
      <xdr:colOff>520200</xdr:colOff>
      <xdr:row>41</xdr:row>
      <xdr:rowOff>63000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8"/>
  <sheetViews>
    <sheetView tabSelected="1" topLeftCell="L1" zoomScaleNormal="100" workbookViewId="0">
      <selection activeCell="Y33" sqref="Y33"/>
    </sheetView>
  </sheetViews>
  <sheetFormatPr baseColWidth="10" defaultColWidth="10.6640625" defaultRowHeight="16" x14ac:dyDescent="0.2"/>
  <cols>
    <col min="1" max="1" width="11.83203125" customWidth="1"/>
    <col min="4" max="4" width="6.6640625" customWidth="1"/>
    <col min="5" max="5" width="7.6640625" customWidth="1"/>
    <col min="6" max="6" width="7.33203125" customWidth="1"/>
    <col min="7" max="7" width="7.6640625" customWidth="1"/>
    <col min="8" max="8" width="8" customWidth="1"/>
    <col min="9" max="9" width="10.1640625" customWidth="1"/>
    <col min="10" max="10" width="8" customWidth="1"/>
    <col min="12" max="12" width="14.33203125" customWidth="1"/>
    <col min="13" max="13" width="14.83203125" customWidth="1"/>
    <col min="15" max="15" width="11.1640625" customWidth="1"/>
    <col min="16" max="16" width="8.6640625" customWidth="1"/>
    <col min="18" max="18" width="8.33203125" customWidth="1"/>
    <col min="35" max="36" width="12" customWidth="1"/>
  </cols>
  <sheetData>
    <row r="1" spans="1:40" ht="15.75" customHeight="1" x14ac:dyDescent="0.2">
      <c r="A1" t="s">
        <v>0</v>
      </c>
      <c r="B1">
        <v>8.3144626181532395</v>
      </c>
      <c r="AI1" t="s">
        <v>1</v>
      </c>
    </row>
    <row r="2" spans="1:40" ht="15.75" customHeight="1" x14ac:dyDescent="0.2">
      <c r="A2" t="s">
        <v>2</v>
      </c>
      <c r="B2">
        <f>25+273.15</f>
        <v>298.14999999999998</v>
      </c>
      <c r="D2" s="4" t="s">
        <v>3</v>
      </c>
      <c r="E2" s="5" t="s">
        <v>4</v>
      </c>
      <c r="F2" s="5" t="s">
        <v>5</v>
      </c>
      <c r="G2" s="5" t="s">
        <v>6</v>
      </c>
      <c r="H2" s="5" t="s">
        <v>7</v>
      </c>
      <c r="I2" s="6" t="s">
        <v>8</v>
      </c>
      <c r="J2" s="6" t="s">
        <v>9</v>
      </c>
      <c r="K2" s="5" t="s">
        <v>10</v>
      </c>
      <c r="L2" s="5" t="s">
        <v>11</v>
      </c>
      <c r="M2" s="5" t="s">
        <v>12</v>
      </c>
      <c r="N2" s="5" t="s">
        <v>13</v>
      </c>
      <c r="O2" s="5" t="s">
        <v>14</v>
      </c>
      <c r="P2" s="5" t="s">
        <v>15</v>
      </c>
      <c r="Q2" s="5" t="s">
        <v>16</v>
      </c>
      <c r="R2" s="5" t="s">
        <v>17</v>
      </c>
      <c r="S2" s="5" t="s">
        <v>18</v>
      </c>
      <c r="T2" s="5" t="s">
        <v>19</v>
      </c>
      <c r="U2" s="5" t="s">
        <v>20</v>
      </c>
      <c r="V2" s="5" t="s">
        <v>21</v>
      </c>
      <c r="W2" s="5" t="s">
        <v>22</v>
      </c>
      <c r="X2" s="6" t="s">
        <v>23</v>
      </c>
      <c r="Y2" s="7" t="s">
        <v>24</v>
      </c>
      <c r="AI2" s="8" t="s">
        <v>25</v>
      </c>
      <c r="AJ2" t="s">
        <v>26</v>
      </c>
      <c r="AK2" t="s">
        <v>27</v>
      </c>
      <c r="AL2" t="s">
        <v>28</v>
      </c>
      <c r="AM2" t="s">
        <v>21</v>
      </c>
      <c r="AN2" t="s">
        <v>22</v>
      </c>
    </row>
    <row r="3" spans="1:40" ht="15.75" customHeight="1" x14ac:dyDescent="0.2">
      <c r="D3" s="3">
        <v>7.4</v>
      </c>
      <c r="E3" s="9">
        <f>10^-D3</f>
        <v>3.981071705534957E-8</v>
      </c>
      <c r="F3" s="9">
        <f>0.00000000000001/E3</f>
        <v>2.5118864315095897E-7</v>
      </c>
      <c r="G3" s="10">
        <v>-20.399999999999999</v>
      </c>
      <c r="H3" s="10">
        <v>19.5</v>
      </c>
      <c r="I3" s="11">
        <f>H3/$B$17</f>
        <v>2.9545454545454547E-4</v>
      </c>
      <c r="J3" s="12">
        <f>1000000*I3</f>
        <v>295.4545454545455</v>
      </c>
      <c r="K3" s="13">
        <f>I3/($B$10*(1-I3*$B$17*$B$5/1000) - L3*($B$12+$B$13) - E3*$B$14 - F3*$B$15 - N3*65.0099)</f>
        <v>3.196568503601808E-7</v>
      </c>
      <c r="L3" s="14">
        <v>1</v>
      </c>
      <c r="M3" s="13">
        <f>L3/($B$10*(1-I3*$B$17*$B$5/1000) - L3*($B$12+$B$13) - E3*$B$14 - F3*$B$15 - N3*65.0099)</f>
        <v>1.0819154935267658E-3</v>
      </c>
      <c r="N3" s="13">
        <v>3.0764544999999999E-4</v>
      </c>
      <c r="O3" s="10">
        <v>85</v>
      </c>
      <c r="P3" s="10">
        <f>O3*9.80665</f>
        <v>833.56524999999999</v>
      </c>
      <c r="Q3" s="10">
        <f>$B$1*$B$2*$B$10*1000*(K3+0.25*G3*G3*K3*K3/M3)</f>
        <v>814.32341011823848</v>
      </c>
      <c r="R3" s="15">
        <f>P3/Q3</f>
        <v>1.0236292358081265</v>
      </c>
      <c r="S3" s="16">
        <f>R3-1</f>
        <v>2.3629235808126481E-2</v>
      </c>
      <c r="T3" s="16">
        <f>$U$3 + $U$4*K3 + $U$5*K3*K3 + $U$6*K3*K3*K3 + $U$7*K3*K3*K3*K3</f>
        <v>3.146344012510234E-2</v>
      </c>
      <c r="U3" s="17">
        <v>0</v>
      </c>
      <c r="V3" s="18">
        <f>S3-T3</f>
        <v>-7.8342043169758596E-3</v>
      </c>
      <c r="W3" s="18">
        <f>V3*V3</f>
        <v>6.1374757280123197E-5</v>
      </c>
      <c r="X3" s="19">
        <f>EXP(S3+$U$4*K3+$U$5*K3*K3/2+$U$6*K3*K3*K3/3+$U$7*K3*K3*K3*K3/4)</f>
        <v>1.0480448656613361</v>
      </c>
      <c r="Y3" s="20">
        <f>X3</f>
        <v>1.0480448656613361</v>
      </c>
      <c r="AI3" s="21">
        <f>I3*1000</f>
        <v>0.29545454545454547</v>
      </c>
      <c r="AJ3" s="22">
        <f>P3/($B$1*$B$2)</f>
        <v>0.33625643367190577</v>
      </c>
      <c r="AK3" s="21">
        <v>1.3107400477873401</v>
      </c>
      <c r="AL3" s="21">
        <f>AI3*(1 + $AK$3*AI3^1 + $AK$4*AI3^2 + $AK$5*AI3^3 + $AK$6*AI3^4)</f>
        <v>0.37578139374999353</v>
      </c>
      <c r="AM3" s="21">
        <f>AJ3-AL3</f>
        <v>-3.9524960078087756E-2</v>
      </c>
      <c r="AN3" s="21">
        <f>AM3*AM3</f>
        <v>1.5622224691744309E-3</v>
      </c>
    </row>
    <row r="4" spans="1:40" ht="15.75" customHeight="1" x14ac:dyDescent="0.2">
      <c r="D4" s="3"/>
      <c r="E4" s="23">
        <f>E3</f>
        <v>3.981071705534957E-8</v>
      </c>
      <c r="F4" s="23">
        <f>0.00000000000001/E4</f>
        <v>2.5118864315095897E-7</v>
      </c>
      <c r="G4" s="24">
        <f>G3</f>
        <v>-20.399999999999999</v>
      </c>
      <c r="H4" s="24">
        <v>44.6</v>
      </c>
      <c r="I4" s="25">
        <f>H4/$B$17</f>
        <v>6.7575757575757576E-4</v>
      </c>
      <c r="J4" s="26">
        <f>1000000*I4</f>
        <v>675.75757575757575</v>
      </c>
      <c r="K4" s="27">
        <f>I4/($B$10*(1-I4*$B$17*$B$5/1000) - L4*($B$12+$B$13) - E4*$B$14 - F4*$B$15 - N4*65.0099)</f>
        <v>7.4591580461154442E-7</v>
      </c>
      <c r="L4" s="8">
        <v>1</v>
      </c>
      <c r="M4" s="27">
        <f>L4/($B$10*(1-I4*$B$17*$B$5/1000) - L4*($B$12+$B$13) - E4*$B$14 - F4*$B$15 - N4*65.0099)</f>
        <v>1.1038215942682048E-3</v>
      </c>
      <c r="N4" s="27">
        <f>N3</f>
        <v>3.0764544999999999E-4</v>
      </c>
      <c r="O4" s="24">
        <v>224</v>
      </c>
      <c r="P4" s="24">
        <f>O4*9.80665</f>
        <v>2196.6895999999997</v>
      </c>
      <c r="Q4" s="24">
        <f>$B$1*$B$2*$B$10*1000*(K4+0.25*G4*G4*K4*K4/M4)</f>
        <v>1973.15795385671</v>
      </c>
      <c r="R4" s="22">
        <f>P4/Q4</f>
        <v>1.1132862403166344</v>
      </c>
      <c r="S4" s="28">
        <f>R4-1</f>
        <v>0.11328624031663437</v>
      </c>
      <c r="T4" s="28">
        <f>$U$3 + $U$4*K4 + $U$5*K4*K4 + $U$6*K4*K4*K4 + $U$7*K4*K4*K4*K4</f>
        <v>8.9179236465162376E-2</v>
      </c>
      <c r="U4" s="29">
        <v>38470.467998642103</v>
      </c>
      <c r="V4" s="21">
        <f>S4-T4</f>
        <v>2.4107003851471992E-2</v>
      </c>
      <c r="W4" s="21">
        <f>V4*V4</f>
        <v>5.8114763469488547E-4</v>
      </c>
      <c r="X4" s="30">
        <f>EXP(S4+$U$4*K4+$U$5*K4*K4/2+$U$6*K4*K4*K4/3+$U$7*K4*K4*K4*K4/4)</f>
        <v>1.2026745486758612</v>
      </c>
      <c r="Y4" s="31">
        <f>X4</f>
        <v>1.2026745486758612</v>
      </c>
      <c r="AI4" s="21">
        <f>I4*1000</f>
        <v>0.67575757575757578</v>
      </c>
      <c r="AJ4" s="22">
        <f>P4/($B$1*$B$2)</f>
        <v>0.88613460167655156</v>
      </c>
      <c r="AK4" s="21">
        <v>-1.6003785574179199</v>
      </c>
      <c r="AL4" s="21">
        <f>AI4*(1 + $AK$3*AI4^1 + $AK$4*AI4^2 + $AK$5*AI4^3 + $AK$6*AI4^4)</f>
        <v>0.97203217104368189</v>
      </c>
      <c r="AM4" s="21">
        <f>AJ4-AL4</f>
        <v>-8.5897569367130333E-2</v>
      </c>
      <c r="AN4" s="21">
        <f>AM4*AM4</f>
        <v>7.3783924231809669E-3</v>
      </c>
    </row>
    <row r="5" spans="1:40" ht="15.75" customHeight="1" x14ac:dyDescent="0.2">
      <c r="A5" t="s">
        <v>29</v>
      </c>
      <c r="B5">
        <v>0.73299999999999998</v>
      </c>
      <c r="C5" t="s">
        <v>30</v>
      </c>
      <c r="D5" s="3"/>
      <c r="E5" s="23">
        <f>E4</f>
        <v>3.981071705534957E-8</v>
      </c>
      <c r="F5" s="23">
        <f>0.00000000000001/E5</f>
        <v>2.5118864315095897E-7</v>
      </c>
      <c r="G5" s="24">
        <f>G4</f>
        <v>-20.399999999999999</v>
      </c>
      <c r="H5" s="24">
        <v>55.8</v>
      </c>
      <c r="I5" s="25">
        <f>H5/$B$17</f>
        <v>8.454545454545454E-4</v>
      </c>
      <c r="J5" s="26">
        <f>1000000*I5</f>
        <v>845.45454545454538</v>
      </c>
      <c r="K5" s="27">
        <f>I5/($B$10*(1-I5*$B$17*$B$5/1000) - L5*($B$12+$B$13) - E5*$B$14 - F5*$B$15 - N5*65.0099)</f>
        <v>9.4173936202391394E-7</v>
      </c>
      <c r="L5" s="8">
        <v>1</v>
      </c>
      <c r="M5" s="27">
        <f>L5/($B$10*(1-I5*$B$17*$B$5/1000) - L5*($B$12+$B$13) - E5*$B$14 - F5*$B$15 - N5*65.0099)</f>
        <v>1.1138852669100058E-3</v>
      </c>
      <c r="N5" s="27">
        <f>N4</f>
        <v>3.0764544999999999E-4</v>
      </c>
      <c r="O5" s="24">
        <v>282</v>
      </c>
      <c r="P5" s="24">
        <f>O5*9.80665</f>
        <v>2765.4753000000001</v>
      </c>
      <c r="Q5" s="24">
        <f>$B$1*$B$2*$B$10*1000*(K5+0.25*G5*G5*K5*K5/M5)</f>
        <v>2532.2597032394733</v>
      </c>
      <c r="R5" s="22">
        <f>P5/Q5</f>
        <v>1.0920978193753896</v>
      </c>
      <c r="S5" s="28">
        <f>R5-1</f>
        <v>9.2097819375389633E-2</v>
      </c>
      <c r="T5" s="28">
        <f>$U$3 + $U$4*K5 + $U$5*K5*K5 + $U$6*K5*K5*K5 + $U$7*K5*K5*K5*K5</f>
        <v>0.11437631921477441</v>
      </c>
      <c r="U5" s="29">
        <v>277321627668.367</v>
      </c>
      <c r="V5" s="21">
        <f>S5-T5</f>
        <v>-2.2278499839384777E-2</v>
      </c>
      <c r="W5" s="21">
        <f>V5*V5</f>
        <v>4.9633155509346753E-4</v>
      </c>
      <c r="X5" s="30">
        <f>EXP(S5+$U$4*K5+$U$5*K5*K5/2+$U$6*K5*K5*K5/3+$U$7*K5*K5*K5*K5/4)</f>
        <v>1.2055707246544221</v>
      </c>
      <c r="Y5" s="31">
        <f>X5</f>
        <v>1.2055707246544221</v>
      </c>
      <c r="AI5" s="21">
        <f>I5*1000</f>
        <v>0.84545454545454535</v>
      </c>
      <c r="AJ5" s="22">
        <f>P5/($B$1*$B$2)</f>
        <v>1.1155801681820874</v>
      </c>
      <c r="AK5" s="21">
        <v>0.96136389095711205</v>
      </c>
      <c r="AL5" s="21">
        <f>AI5*(1 + $AK$3*AI5^1 + $AK$4*AI5^2 + $AK$5*AI5^3 + $AK$6*AI5^4)</f>
        <v>1.2791413346250293</v>
      </c>
      <c r="AM5" s="21">
        <f>AJ5-AL5</f>
        <v>-0.16356116644294194</v>
      </c>
      <c r="AN5" s="21">
        <f>AM5*AM5</f>
        <v>2.6752255168175757E-2</v>
      </c>
    </row>
    <row r="6" spans="1:40" ht="15.75" customHeight="1" x14ac:dyDescent="0.2">
      <c r="A6" t="s">
        <v>31</v>
      </c>
      <c r="B6" t="s">
        <v>32</v>
      </c>
      <c r="D6" s="3"/>
      <c r="E6" s="23">
        <f>E5</f>
        <v>3.981071705534957E-8</v>
      </c>
      <c r="F6" s="23">
        <f>0.00000000000001/E6</f>
        <v>2.5118864315095897E-7</v>
      </c>
      <c r="G6" s="24">
        <f>G5</f>
        <v>-20.399999999999999</v>
      </c>
      <c r="H6" s="24">
        <v>84.5</v>
      </c>
      <c r="I6" s="25">
        <f>H6/$B$17</f>
        <v>1.2803030303030303E-3</v>
      </c>
      <c r="J6" s="26">
        <f>1000000*I6</f>
        <v>1280.3030303030303</v>
      </c>
      <c r="K6" s="27">
        <f>I6/($B$10*(1-I6*$B$17*$B$5/1000) - L6*($B$12+$B$13) - E6*$B$14 - F6*$B$15 - N6*65.0099)</f>
        <v>1.4602253686582775E-6</v>
      </c>
      <c r="L6" s="8">
        <v>1</v>
      </c>
      <c r="M6" s="27">
        <f>L6/($B$10*(1-I6*$B$17*$B$5/1000) - L6*($B$12+$B$13) - E6*$B$14 - F6*$B$15 - N6*65.0099)</f>
        <v>1.1405310571768795E-3</v>
      </c>
      <c r="N6" s="27">
        <f>N5</f>
        <v>3.0764544999999999E-4</v>
      </c>
      <c r="O6" s="24">
        <v>515</v>
      </c>
      <c r="P6" s="24">
        <f>O6*9.80665</f>
        <v>5050.4247500000001</v>
      </c>
      <c r="Q6" s="24">
        <f>$B$1*$B$2*$B$10*1000*(K6+0.25*G6*G6*K6*K6/M6)</f>
        <v>4089.7019383651609</v>
      </c>
      <c r="R6" s="22">
        <f>P6/Q6</f>
        <v>1.2349126723936472</v>
      </c>
      <c r="S6" s="28">
        <f>R6-1</f>
        <v>0.23491267239364721</v>
      </c>
      <c r="T6" s="28">
        <f>$U$3 + $U$4*K6 + $U$5*K6*K6 + $U$6*K6*K6*K6 + $U$7*K6*K6*K6*K6</f>
        <v>0.22918701551724918</v>
      </c>
      <c r="U6" s="29">
        <v>-3.2180833889084403E+17</v>
      </c>
      <c r="V6" s="21">
        <f>S6-T6</f>
        <v>5.7256568763980331E-3</v>
      </c>
      <c r="W6" s="21">
        <f>V6*V6</f>
        <v>3.2783146666244079E-5</v>
      </c>
      <c r="X6" s="30">
        <f>EXP(S6+$U$4*K6+$U$5*K6*K6/2+$U$6*K6*K6*K6/3+$U$7*K6*K6*K6*K6/4)</f>
        <v>1.4898470797993801</v>
      </c>
      <c r="Y6" s="31">
        <f>X6</f>
        <v>1.4898470797993801</v>
      </c>
      <c r="AI6" s="21">
        <f>I6*1000</f>
        <v>1.2803030303030303</v>
      </c>
      <c r="AJ6" s="22">
        <f>P6/($B$1*$B$2)</f>
        <v>2.0373183922474292</v>
      </c>
      <c r="AK6" s="21">
        <v>-6.3110048225071894E-2</v>
      </c>
      <c r="AL6" s="21">
        <f>AI6*(1 + $AK$3*AI6^1 + $AK$4*AI6^2 + $AK$5*AI6^3 + $AK$6*AI6^4)</f>
        <v>2.4362000378276294</v>
      </c>
      <c r="AM6" s="21">
        <f>AJ6-AL6</f>
        <v>-0.39888164558020023</v>
      </c>
      <c r="AN6" s="21">
        <f>AM6*AM6</f>
        <v>0.15910656718076846</v>
      </c>
    </row>
    <row r="7" spans="1:40" ht="15.75" customHeight="1" x14ac:dyDescent="0.2">
      <c r="A7" t="s">
        <v>33</v>
      </c>
      <c r="D7" s="3"/>
      <c r="E7" s="23">
        <f>E6</f>
        <v>3.981071705534957E-8</v>
      </c>
      <c r="F7" s="23">
        <f>0.00000000000001/E7</f>
        <v>2.5118864315095897E-7</v>
      </c>
      <c r="G7" s="24">
        <f>G6</f>
        <v>-20.399999999999999</v>
      </c>
      <c r="H7" s="24">
        <v>101.1</v>
      </c>
      <c r="I7" s="25">
        <f>H7/$B$17</f>
        <v>1.5318181818181817E-3</v>
      </c>
      <c r="J7" s="26">
        <f>1000000*I7</f>
        <v>1531.8181818181818</v>
      </c>
      <c r="K7" s="27">
        <f>I7/($B$10*(1-I7*$B$17*$B$5/1000) - L7*($B$12+$B$13) - E7*$B$14 - F7*$B$15 - N7*65.0099)</f>
        <v>1.7715982573420281E-6</v>
      </c>
      <c r="L7" s="8">
        <v>1</v>
      </c>
      <c r="M7" s="27">
        <f>L7/($B$10*(1-I7*$B$17*$B$5/1000) - L7*($B$12+$B$13) - E7*$B$14 - F7*$B$15 - N7*65.0099)</f>
        <v>1.1565329869888611E-3</v>
      </c>
      <c r="N7" s="27">
        <f>N6</f>
        <v>3.0764544999999999E-4</v>
      </c>
      <c r="O7" s="24">
        <v>731</v>
      </c>
      <c r="P7" s="24">
        <f>O7*9.80665</f>
        <v>7168.6611499999999</v>
      </c>
      <c r="Q7" s="24">
        <f>$B$1*$B$2*$B$10*1000*(K7+0.25*G7*G7*K7*K7/M7)</f>
        <v>5076.3504462266865</v>
      </c>
      <c r="R7" s="22">
        <f>P7/Q7</f>
        <v>1.4121682941193616</v>
      </c>
      <c r="S7" s="28">
        <f>R7-1</f>
        <v>0.41216829411936162</v>
      </c>
      <c r="T7" s="28">
        <f>$U$3 + $U$4*K7 + $U$5*K7*K7 + $U$6*K7*K7*K7 + $U$7*K7*K7*K7*K7</f>
        <v>0.41378138404158882</v>
      </c>
      <c r="U7" s="29">
        <v>1.28376150537758E+23</v>
      </c>
      <c r="V7" s="21">
        <f>S7-T7</f>
        <v>-1.6130899222271955E-3</v>
      </c>
      <c r="W7" s="21">
        <f>V7*V7</f>
        <v>2.6020590971909397E-6</v>
      </c>
      <c r="X7" s="30">
        <f>EXP(S7+$U$4*K7+$U$5*K7*K7/2+$U$6*K7*K7*K7/3+$U$7*K7*K7*K7*K7/4)</f>
        <v>1.8874283647964865</v>
      </c>
      <c r="Y7" s="31">
        <f>X7</f>
        <v>1.8874283647964865</v>
      </c>
      <c r="AI7" s="21">
        <f>I7*1000</f>
        <v>1.5318181818181817</v>
      </c>
      <c r="AJ7" s="22">
        <f>P7/($B$1*$B$2)</f>
        <v>2.8918053295783896</v>
      </c>
      <c r="AK7" s="21">
        <f>SUM(AN3:AN7)</f>
        <v>0.71925099912843526</v>
      </c>
      <c r="AL7" s="21">
        <f>AI7*(1 + $AK$3*AI7^1 + $AK$4*AI7^2 + $AK$5*AI7^3 + $AK$6*AI7^4)</f>
        <v>3.6159956097445458</v>
      </c>
      <c r="AM7" s="21">
        <f>AJ7-AL7</f>
        <v>-0.72419028016615616</v>
      </c>
      <c r="AN7" s="21">
        <f>AM7*AM7</f>
        <v>0.52445156188713571</v>
      </c>
    </row>
    <row r="8" spans="1:40" ht="15.75" customHeight="1" x14ac:dyDescent="0.2">
      <c r="D8" s="3"/>
      <c r="E8" s="32"/>
      <c r="F8" s="32"/>
      <c r="G8" s="33"/>
      <c r="H8" s="33"/>
      <c r="I8" s="34"/>
      <c r="J8" s="35"/>
      <c r="K8" s="36"/>
      <c r="L8" s="37"/>
      <c r="M8" s="36"/>
      <c r="N8" s="36"/>
      <c r="O8" s="33"/>
      <c r="P8" s="33"/>
      <c r="Q8" s="33"/>
      <c r="R8" s="38"/>
      <c r="S8" s="39"/>
      <c r="T8" s="39"/>
      <c r="U8" s="40">
        <f>SUM(W3:W7)</f>
        <v>1.1742391528319111E-3</v>
      </c>
      <c r="V8" s="41"/>
      <c r="W8" s="41"/>
      <c r="X8" s="42"/>
      <c r="Y8" s="43"/>
      <c r="AI8" s="21"/>
      <c r="AJ8" s="22"/>
      <c r="AL8" s="21"/>
    </row>
    <row r="9" spans="1:40" ht="15.75" customHeight="1" x14ac:dyDescent="0.2">
      <c r="D9" s="2">
        <v>4.5</v>
      </c>
      <c r="E9" s="9">
        <f>10^-D9</f>
        <v>3.1622776601683748E-5</v>
      </c>
      <c r="F9" s="9">
        <f>0.00000000000001/E9</f>
        <v>3.1622776601683837E-10</v>
      </c>
      <c r="G9" s="10">
        <v>4.5</v>
      </c>
      <c r="H9" s="10">
        <v>12.2</v>
      </c>
      <c r="I9" s="11">
        <f>H9/$B$17</f>
        <v>1.8484848484848484E-4</v>
      </c>
      <c r="J9" s="12">
        <f>1000000*I9</f>
        <v>184.84848484848484</v>
      </c>
      <c r="K9" s="13">
        <f>I9/($B$10*(1-I9*$B$17*$B$5/1000) - L9*($B$12+$B$13) - E9*$B$14 - F9*$B$15 - N9*65.0099)</f>
        <v>1.9884287600820616E-7</v>
      </c>
      <c r="L9" s="14">
        <v>1</v>
      </c>
      <c r="M9" s="13">
        <f>L9/($B$10*(1-I9*$B$17*$B$5/1000) - L9*($B$12+$B$13) - E9*$B$14 - F9*$B$15 - N9*65.0099)</f>
        <v>1.0757073620116071E-3</v>
      </c>
      <c r="N9" s="13">
        <f>N7</f>
        <v>3.0764544999999999E-4</v>
      </c>
      <c r="O9" s="10">
        <v>30</v>
      </c>
      <c r="P9" s="10">
        <f>O9*9.80665</f>
        <v>294.1995</v>
      </c>
      <c r="Q9" s="10">
        <f>$B$1*$B$2*$B$10*1000*(K9+0.25*G9*G9*K9*K9/M9)</f>
        <v>491.90406765756507</v>
      </c>
      <c r="R9" s="15">
        <f>P9/Q9</f>
        <v>0.59808308030663515</v>
      </c>
      <c r="S9" s="16">
        <f>R9-1</f>
        <v>-0.40191691969336485</v>
      </c>
      <c r="T9" s="16">
        <f>$U$9 + $U$10*K9 + $U$11*K9*K9 + $U$12*K9*K9*K9 + $U$13*K9*K9*K9*K9</f>
        <v>-0.39419158910981489</v>
      </c>
      <c r="U9" s="17">
        <v>0</v>
      </c>
      <c r="V9" s="18">
        <f>S9-T9</f>
        <v>-7.7253305835499608E-3</v>
      </c>
      <c r="W9" s="18">
        <f>V9*V9</f>
        <v>5.9680732625132379E-5</v>
      </c>
      <c r="X9" s="19">
        <f>EXP(S9+$U$10*K9+$U$11*K9*K9/2+$U$12*K9*K9*K9/3+$U$13*K9*K9*K9*K9/4)</f>
        <v>0.40634403389104429</v>
      </c>
      <c r="Y9" s="20">
        <f>X9</f>
        <v>0.40634403389104429</v>
      </c>
      <c r="AI9" s="21">
        <f>I9*1000</f>
        <v>0.18484848484848485</v>
      </c>
      <c r="AJ9" s="22">
        <f>P9/($B$1*$B$2)</f>
        <v>0.11867874129596676</v>
      </c>
      <c r="AK9" s="21">
        <v>-3.13430539205876</v>
      </c>
      <c r="AL9" s="21">
        <f>AI9*(1 + $AK$9*AI9^1 + $AK$10*AI9^2 + $AK$11*AI9^3)</f>
        <v>0.11876930377559748</v>
      </c>
      <c r="AM9" s="21">
        <f>AJ9-AL9</f>
        <v>-9.0562479630726389E-5</v>
      </c>
      <c r="AN9" s="21">
        <f>AM9*AM9</f>
        <v>8.2015627168657321E-9</v>
      </c>
    </row>
    <row r="10" spans="1:40" ht="15.75" customHeight="1" x14ac:dyDescent="0.2">
      <c r="A10" t="s">
        <v>34</v>
      </c>
      <c r="B10">
        <v>997</v>
      </c>
      <c r="C10" t="s">
        <v>35</v>
      </c>
      <c r="D10" s="2"/>
      <c r="E10" s="23">
        <f>E9</f>
        <v>3.1622776601683748E-5</v>
      </c>
      <c r="F10" s="23">
        <f>0.00000000000001/E10</f>
        <v>3.1622776601683837E-10</v>
      </c>
      <c r="G10" s="24">
        <f>G9</f>
        <v>4.5</v>
      </c>
      <c r="H10" s="24">
        <v>25.5</v>
      </c>
      <c r="I10" s="25">
        <f>H10/$B$17</f>
        <v>3.8636363636363635E-4</v>
      </c>
      <c r="J10" s="26">
        <f>1000000*I10</f>
        <v>386.36363636363637</v>
      </c>
      <c r="K10" s="27">
        <f>I10/($B$10*(1-I10*$B$17*$B$5/1000) - L10*($B$12+$B$13) - E10*$B$14 - F10*$B$15 - N10*65.0099)</f>
        <v>4.2000557746172916E-7</v>
      </c>
      <c r="L10" s="8">
        <v>1</v>
      </c>
      <c r="M10" s="27">
        <f>L10/($B$10*(1-I10*$B$17*$B$5/1000) - L10*($B$12+$B$13) - E10*$B$14 - F10*$B$15 - N10*65.0099)</f>
        <v>1.0870732593127109E-3</v>
      </c>
      <c r="N10" s="27">
        <f>N9</f>
        <v>3.0764544999999999E-4</v>
      </c>
      <c r="O10" s="24">
        <v>61</v>
      </c>
      <c r="P10" s="24">
        <f>O10*9.80665</f>
        <v>598.20564999999999</v>
      </c>
      <c r="Q10" s="24">
        <f>$B$1*$B$2*$B$10*1000*(K10+0.25*G10*G10*K10*K10/M10)</f>
        <v>1040.0826462003647</v>
      </c>
      <c r="R10" s="22">
        <f>P10/Q10</f>
        <v>0.57515203449011287</v>
      </c>
      <c r="S10" s="28">
        <f>R10-1</f>
        <v>-0.42484796550988713</v>
      </c>
      <c r="T10" s="28">
        <f>$U$9 + $U$10*K10 + $U$11*K10*K10 + $U$12*K10*K10*K10 + $U$13*K10*K10*K10*K10</f>
        <v>-0.44152252918241064</v>
      </c>
      <c r="U10" s="29">
        <v>-3072320.8832874298</v>
      </c>
      <c r="V10" s="21">
        <f>S10-T10</f>
        <v>1.6674563672523512E-2</v>
      </c>
      <c r="W10" s="21">
        <f>V10*V10</f>
        <v>2.7804107366904079E-4</v>
      </c>
      <c r="X10" s="30">
        <f>EXP(S10+$U$10*K10+$U$11*K10*K10/2+$U$12*K10*K10*K10/3+$U$13*K10*K10*K10*K10/4)</f>
        <v>0.28552433272427907</v>
      </c>
      <c r="Y10" s="31">
        <f>X10</f>
        <v>0.28552433272427907</v>
      </c>
      <c r="AI10" s="21">
        <f>I10*1000</f>
        <v>0.38636363636363635</v>
      </c>
      <c r="AJ10" s="22">
        <f>P10/($B$1*$B$2)</f>
        <v>0.24131344063513238</v>
      </c>
      <c r="AK10" s="21">
        <v>7.2638283095793401</v>
      </c>
      <c r="AL10" s="21">
        <f>AI10*(1 + $AK$9*AI10^1 + $AK$10*AI10^2 + $AK$11*AI10^3)</f>
        <v>0.24462646594305248</v>
      </c>
      <c r="AM10" s="21">
        <f>AJ10-AL10</f>
        <v>-3.3130253079201033E-3</v>
      </c>
      <c r="AN10" s="21">
        <f>AM10*AM10</f>
        <v>1.0976136690919095E-5</v>
      </c>
    </row>
    <row r="11" spans="1:40" ht="15.75" customHeight="1" x14ac:dyDescent="0.2">
      <c r="D11" s="2"/>
      <c r="E11" s="23">
        <f>E10</f>
        <v>3.1622776601683748E-5</v>
      </c>
      <c r="F11" s="23">
        <f>0.00000000000001/E11</f>
        <v>3.1622776601683837E-10</v>
      </c>
      <c r="G11" s="24">
        <f>G10</f>
        <v>4.5</v>
      </c>
      <c r="H11" s="24">
        <v>38.6</v>
      </c>
      <c r="I11" s="25">
        <f>H11/$B$17</f>
        <v>5.8484848484848483E-4</v>
      </c>
      <c r="J11" s="26">
        <f>1000000*I11</f>
        <v>584.84848484848487</v>
      </c>
      <c r="K11" s="27">
        <f>I11/($B$10*(1-I11*$B$17*$B$5/1000) - L11*($B$12+$B$13) - E11*$B$14 - F11*$B$15 - N11*65.0099)</f>
        <v>6.4245927910548819E-7</v>
      </c>
      <c r="L11" s="8">
        <v>1</v>
      </c>
      <c r="M11" s="27">
        <f>L11/($B$10*(1-I11*$B$17*$B$5/1000) - L11*($B$12+$B$13) - E11*$B$14 - F11*$B$15 - N11*65.0099)</f>
        <v>1.0985055031337363E-3</v>
      </c>
      <c r="N11" s="27">
        <f>N10</f>
        <v>3.0764544999999999E-4</v>
      </c>
      <c r="O11" s="24">
        <v>114</v>
      </c>
      <c r="P11" s="24">
        <f>O11*9.80665</f>
        <v>1117.9580999999998</v>
      </c>
      <c r="Q11" s="24">
        <f>$B$1*$B$2*$B$10*1000*(K11+0.25*G11*G11*K11*K11/M11)</f>
        <v>1592.5523615322861</v>
      </c>
      <c r="R11" s="22">
        <f>P11/Q11</f>
        <v>0.70199142395817249</v>
      </c>
      <c r="S11" s="28">
        <f>R11-1</f>
        <v>-0.29800857604182751</v>
      </c>
      <c r="T11" s="28">
        <f>$U$9 + $U$10*K11 + $U$11*K11*K11 + $U$12*K11*K11*K11 + $U$13*K11*K11*K11*K11</f>
        <v>-0.27050045315167137</v>
      </c>
      <c r="U11" s="29">
        <v>6072398303514.8604</v>
      </c>
      <c r="V11" s="21">
        <f>S11-T11</f>
        <v>-2.7508122890156139E-2</v>
      </c>
      <c r="W11" s="21">
        <f>V11*V11</f>
        <v>7.5669682493993218E-4</v>
      </c>
      <c r="X11" s="30">
        <f>EXP(S11+$U$10*K11+$U$11*K11*K11/2+$U$12*K11*K11*K11/3+$U$13*K11*K11*K11*K11/4)</f>
        <v>0.27676916649800054</v>
      </c>
      <c r="Y11" s="31">
        <f>X11</f>
        <v>0.27676916649800054</v>
      </c>
      <c r="AI11" s="21">
        <f>I11*1000</f>
        <v>0.58484848484848484</v>
      </c>
      <c r="AJ11" s="22">
        <f>P11/($B$1*$B$2)</f>
        <v>0.45097921692467358</v>
      </c>
      <c r="AK11" s="21">
        <v>-4.1645144426509404</v>
      </c>
      <c r="AL11" s="21">
        <f>AI11*(1 + $AK$9*AI11^1 + $AK$10*AI11^2 + $AK$11*AI11^3)</f>
        <v>0.47863266824467166</v>
      </c>
      <c r="AM11" s="21">
        <f>AJ11-AL11</f>
        <v>-2.7653451319998079E-2</v>
      </c>
      <c r="AN11" s="21">
        <f>AM11*AM11</f>
        <v>7.6471336990750348E-4</v>
      </c>
    </row>
    <row r="12" spans="1:40" ht="15.75" customHeight="1" x14ac:dyDescent="0.2">
      <c r="A12" t="s">
        <v>36</v>
      </c>
      <c r="B12">
        <v>22.989768999999999</v>
      </c>
      <c r="D12" s="2"/>
      <c r="E12" s="23">
        <f>E11</f>
        <v>3.1622776601683748E-5</v>
      </c>
      <c r="F12" s="23">
        <f>0.00000000000001/E12</f>
        <v>3.1622776601683837E-10</v>
      </c>
      <c r="G12" s="24">
        <f>G11</f>
        <v>4.5</v>
      </c>
      <c r="H12" s="24">
        <v>44.3</v>
      </c>
      <c r="I12" s="25">
        <f>H12/$B$17</f>
        <v>6.712121212121212E-4</v>
      </c>
      <c r="J12" s="26">
        <f>1000000*I12</f>
        <v>671.21212121212125</v>
      </c>
      <c r="K12" s="27">
        <f>I12/($B$10*(1-I12*$B$17*$B$5/1000) - L12*($B$12+$B$13) - E12*$B$14 - F12*$B$15 - N12*65.0099)</f>
        <v>7.4071966570298857E-7</v>
      </c>
      <c r="L12" s="8">
        <v>1</v>
      </c>
      <c r="M12" s="27">
        <f>L12/($B$10*(1-I12*$B$17*$B$5/1000) - L12*($B$12+$B$13) - E12*$B$14 - F12*$B$15 - N12*65.0099)</f>
        <v>1.1035552581579514E-3</v>
      </c>
      <c r="N12" s="27">
        <f>N11</f>
        <v>3.0764544999999999E-4</v>
      </c>
      <c r="O12" s="24">
        <v>157</v>
      </c>
      <c r="P12" s="24">
        <f>O12*9.80665</f>
        <v>1539.6440499999999</v>
      </c>
      <c r="Q12" s="24">
        <f>$B$1*$B$2*$B$10*1000*(K12+0.25*G12*G12*K12*K12/M12)</f>
        <v>1836.9243371796697</v>
      </c>
      <c r="R12" s="22">
        <f>P12/Q12</f>
        <v>0.83816410879715353</v>
      </c>
      <c r="S12" s="28">
        <f>R12-1</f>
        <v>-0.16183589120284647</v>
      </c>
      <c r="T12" s="28">
        <f>$U$9 + $U$10*K12 + $U$11*K12*K12 + $U$12*K12*K12*K12 + $U$13*K12*K12*K12*K12</f>
        <v>-0.1797399797417509</v>
      </c>
      <c r="U12" s="29">
        <v>-2.9485988942681498E+18</v>
      </c>
      <c r="V12" s="21">
        <f>S12-T12</f>
        <v>1.7904088538904434E-2</v>
      </c>
      <c r="W12" s="21">
        <f>V12*V12</f>
        <v>3.205563864089291E-4</v>
      </c>
      <c r="X12" s="30">
        <f>EXP(S12+$U$10*K12+$U$11*K12*K12/2+$U$12*K12*K12*K12/3+$U$13*K12*K12*K12*K12/4)</f>
        <v>0.30712536863031092</v>
      </c>
      <c r="Y12" s="31">
        <f>X12</f>
        <v>0.30712536863031092</v>
      </c>
      <c r="AI12" s="21">
        <f>I12*1000</f>
        <v>0.67121212121212115</v>
      </c>
      <c r="AJ12" s="22">
        <f>P12/($B$1*$B$2)</f>
        <v>0.62108541278222595</v>
      </c>
      <c r="AL12" s="21">
        <f>AI12*(1 + $AK$9*AI12^1 + $AK$10*AI12^2 + $AK$11*AI12^3)</f>
        <v>0.61041069517410207</v>
      </c>
      <c r="AM12" s="21">
        <f>AJ12-AL12</f>
        <v>1.0674717608123885E-2</v>
      </c>
      <c r="AN12" s="21">
        <f>AM12*AM12</f>
        <v>1.1394959601319011E-4</v>
      </c>
    </row>
    <row r="13" spans="1:40" ht="15.75" customHeight="1" x14ac:dyDescent="0.2">
      <c r="A13" t="s">
        <v>37</v>
      </c>
      <c r="B13">
        <v>35.453000000000003</v>
      </c>
      <c r="D13" s="2"/>
      <c r="E13" s="23">
        <f>E12</f>
        <v>3.1622776601683748E-5</v>
      </c>
      <c r="F13" s="23">
        <f>0.00000000000001/E13</f>
        <v>3.1622776601683837E-10</v>
      </c>
      <c r="G13" s="24">
        <f>G12</f>
        <v>4.5</v>
      </c>
      <c r="H13" s="24">
        <v>61.7</v>
      </c>
      <c r="I13" s="25">
        <f>H13/$B$17</f>
        <v>9.3484848484848488E-4</v>
      </c>
      <c r="J13" s="26">
        <f>1000000*I13</f>
        <v>934.84848484848487</v>
      </c>
      <c r="K13" s="27">
        <f>I13/($B$10*(1-I13*$B$17*$B$5/1000) - L13*($B$12+$B$13) - E13*$B$14 - F13*$B$15 - N13*65.0099)</f>
        <v>1.0463399774514443E-6</v>
      </c>
      <c r="L13" s="8">
        <v>1</v>
      </c>
      <c r="M13" s="27">
        <f>L13/($B$10*(1-I13*$B$17*$B$5/1000) - L13*($B$12+$B$13) - E13*$B$14 - F13*$B$15 - N13*65.0099)</f>
        <v>1.119261564210621E-3</v>
      </c>
      <c r="N13" s="27">
        <f>N12</f>
        <v>3.0764544999999999E-4</v>
      </c>
      <c r="O13" s="24">
        <v>240</v>
      </c>
      <c r="P13" s="24">
        <f>O13*9.80665</f>
        <v>2353.596</v>
      </c>
      <c r="Q13" s="24">
        <f>$B$1*$B$2*$B$10*1000*(K13+0.25*G13*G13*K13*K13/M13)</f>
        <v>2598.2892710007727</v>
      </c>
      <c r="R13" s="22">
        <f>P13/Q13</f>
        <v>0.90582523904025314</v>
      </c>
      <c r="S13" s="28">
        <f>R13-1</f>
        <v>-9.4174760959746862E-2</v>
      </c>
      <c r="T13" s="28">
        <f>$U$9 + $U$10*K13 + $U$11*K13*K13 + $U$12*K13*K13*K13 + $U$13*K13*K13*K13*K13</f>
        <v>-9.3165199544443411E-2</v>
      </c>
      <c r="U13" s="29">
        <v>-1.2422259721715301E+23</v>
      </c>
      <c r="V13" s="21">
        <f>S13-T13</f>
        <v>-1.0095614153034504E-3</v>
      </c>
      <c r="W13" s="21">
        <f>V13*V13</f>
        <v>1.019214251269506E-6</v>
      </c>
      <c r="X13" s="30">
        <f>EXP(S13+$U$10*K13+$U$11*K13*K13/2+$U$12*K13*K13*K13/3+$U$13*K13*K13*K13*K13/4)</f>
        <v>0.31729868387595972</v>
      </c>
      <c r="Y13" s="31">
        <f>X13</f>
        <v>0.31729868387595972</v>
      </c>
      <c r="AI13" s="21">
        <f>I13*1000</f>
        <v>0.93484848484848493</v>
      </c>
      <c r="AJ13" s="22">
        <f>P13/($B$1*$B$2)</f>
        <v>0.94942993036773404</v>
      </c>
      <c r="AK13" s="21">
        <f>SUM(AN9:AN13)</f>
        <v>8.8964892169943318E-4</v>
      </c>
      <c r="AL13" s="21">
        <f>AI13*(1 + $AK$9*AI13^1 + $AK$10*AI13^2 + $AK$11*AI13^3)</f>
        <v>0.94947014883493142</v>
      </c>
      <c r="AM13" s="21">
        <f>AJ13-AL13</f>
        <v>-4.0218467197372654E-5</v>
      </c>
      <c r="AN13" s="21">
        <f>AM13*AM13</f>
        <v>1.6175251037061401E-9</v>
      </c>
    </row>
    <row r="14" spans="1:40" ht="15.75" customHeight="1" x14ac:dyDescent="0.2">
      <c r="A14" t="s">
        <v>38</v>
      </c>
      <c r="B14">
        <v>19.023199999999999</v>
      </c>
      <c r="D14" s="2"/>
      <c r="E14" s="44"/>
      <c r="F14" s="44"/>
      <c r="G14" s="44"/>
      <c r="H14" s="44"/>
      <c r="I14" s="44"/>
      <c r="J14" s="44"/>
      <c r="K14" s="44"/>
      <c r="L14" s="44"/>
      <c r="M14" s="44"/>
      <c r="N14" s="44"/>
      <c r="O14" s="44"/>
      <c r="P14" s="44"/>
      <c r="Q14" s="44"/>
      <c r="R14" s="44"/>
      <c r="S14" s="44"/>
      <c r="T14" s="44"/>
      <c r="U14" s="40">
        <f>SUM(W9:W13)</f>
        <v>1.415994231894304E-3</v>
      </c>
      <c r="V14" s="44"/>
      <c r="W14" s="44"/>
      <c r="X14" s="45"/>
      <c r="Y14" s="46"/>
      <c r="AI14" s="21"/>
      <c r="AJ14" s="22"/>
      <c r="AL14" s="21"/>
    </row>
    <row r="15" spans="1:40" ht="15.75" customHeight="1" x14ac:dyDescent="0.2">
      <c r="A15" t="s">
        <v>39</v>
      </c>
      <c r="B15">
        <v>17.007000000000001</v>
      </c>
      <c r="D15" s="2">
        <v>7.4</v>
      </c>
      <c r="E15" s="9">
        <f>10^-D15</f>
        <v>3.981071705534957E-8</v>
      </c>
      <c r="F15" s="9">
        <f>0.00000000000001/E15</f>
        <v>2.5118864315095897E-7</v>
      </c>
      <c r="G15" s="10">
        <v>-20.399999999999999</v>
      </c>
      <c r="H15" s="10">
        <v>15</v>
      </c>
      <c r="I15" s="11">
        <f>H15/$B$17</f>
        <v>2.2727272727272727E-4</v>
      </c>
      <c r="J15" s="12">
        <f>1000000*I15</f>
        <v>227.27272727272728</v>
      </c>
      <c r="K15" s="13">
        <f>I15/($B$10*(1-I15*$B$17*$B$5/1000) - L15*($B$12+$B$13) - E15*$B$14 - F15*$B$15 - N15*65.0099)</f>
        <v>2.8034491476854229E-7</v>
      </c>
      <c r="L15" s="14">
        <v>3</v>
      </c>
      <c r="M15" s="13">
        <f>L15/($B$10*(1-I15*$B$17*$B$5/1000) - L15*($B$12+$B$13) - E15*$B$14 - F15*$B$15 - N15*65.0099)</f>
        <v>3.7005528749447583E-3</v>
      </c>
      <c r="N15" s="13">
        <f>N13</f>
        <v>3.0764544999999999E-4</v>
      </c>
      <c r="O15" s="10">
        <v>50</v>
      </c>
      <c r="P15" s="10">
        <f>O15*9.80665</f>
        <v>490.33249999999998</v>
      </c>
      <c r="Q15" s="10">
        <f>$B$1*$B$2*$B$10*1000*(K15+0.25*G15*G15*K15*K15/M15)</f>
        <v>698.33924745811782</v>
      </c>
      <c r="R15" s="15">
        <f>P15/Q15</f>
        <v>0.70214083167279984</v>
      </c>
      <c r="S15" s="16">
        <f>R15-1</f>
        <v>-0.29785916832720016</v>
      </c>
      <c r="T15" s="16">
        <f>$U$15 + $U$16*K15 + $U$17*K15*K15 + $U$18*K15*K15*K15 + $U$19*K15*K15*K15*K15</f>
        <v>-0.28595652495167784</v>
      </c>
      <c r="U15" s="17">
        <v>0</v>
      </c>
      <c r="V15" s="18">
        <f>S15-T15</f>
        <v>-1.1902643375522326E-2</v>
      </c>
      <c r="W15" s="18">
        <f>V15*V15</f>
        <v>1.4167291932486552E-4</v>
      </c>
      <c r="X15" s="19">
        <f>EXP(S15+$U$16*K15+$U$17*K15*K15/2+$U$18*K15*K15*K15/3+$U$19*K15*K15*K15*K15/4)</f>
        <v>0.48659912056751392</v>
      </c>
      <c r="Y15" s="20">
        <f>X15</f>
        <v>0.48659912056751392</v>
      </c>
      <c r="AI15" s="21">
        <f>I15*1000</f>
        <v>0.22727272727272727</v>
      </c>
      <c r="AJ15" s="22">
        <f>P15/($B$1*$B$2)</f>
        <v>0.19779790215994458</v>
      </c>
      <c r="AK15" s="21">
        <v>-0.79867023260054404</v>
      </c>
      <c r="AL15" s="21">
        <f>AI15*(1 + $AK$15*AI15^1 + $AK$16*AI15^2 + $AK$17*AI15^3)</f>
        <v>0.20539380544485272</v>
      </c>
      <c r="AM15" s="21">
        <f>AJ15-AL15</f>
        <v>-7.5959032849081398E-3</v>
      </c>
      <c r="AN15" s="21">
        <f>AM15*AM15</f>
        <v>5.7697746713678269E-5</v>
      </c>
    </row>
    <row r="16" spans="1:40" ht="15.75" customHeight="1" x14ac:dyDescent="0.2">
      <c r="D16" s="2"/>
      <c r="E16" s="23">
        <f>E15</f>
        <v>3.981071705534957E-8</v>
      </c>
      <c r="F16" s="23">
        <f>0.00000000000001/E16</f>
        <v>2.5118864315095897E-7</v>
      </c>
      <c r="G16" s="24">
        <f>G15</f>
        <v>-20.399999999999999</v>
      </c>
      <c r="H16" s="24">
        <v>25</v>
      </c>
      <c r="I16" s="25">
        <f>H16/$B$17</f>
        <v>3.7878787878787879E-4</v>
      </c>
      <c r="J16" s="26">
        <f>1000000*I16</f>
        <v>378.78787878787881</v>
      </c>
      <c r="K16" s="27">
        <f>I16/($B$10*(1-I16*$B$17*$B$5/1000) - L16*($B$12+$B$13) - E16*$B$14 - F16*$B$15 - N16*65.0099)</f>
        <v>4.7149181546811293E-7</v>
      </c>
      <c r="L16" s="8">
        <v>3</v>
      </c>
      <c r="M16" s="27">
        <f>L16/($B$10*(1-I16*$B$17*$B$5/1000) - L16*($B$12+$B$13) - E16*$B$14 - F16*$B$15 - N16*65.0099)</f>
        <v>3.7342151785074544E-3</v>
      </c>
      <c r="N16" s="27">
        <f>N15</f>
        <v>3.0764544999999999E-4</v>
      </c>
      <c r="O16" s="24">
        <v>89</v>
      </c>
      <c r="P16" s="24">
        <f>O16*9.80665</f>
        <v>872.79184999999995</v>
      </c>
      <c r="Q16" s="24">
        <f>$B$1*$B$2*$B$10*1000*(K16+0.25*G16*G16*K16*K16/M16)</f>
        <v>1180.6093511017675</v>
      </c>
      <c r="R16" s="22">
        <f>P16/Q16</f>
        <v>0.73927235049044271</v>
      </c>
      <c r="S16" s="28">
        <f>R16-1</f>
        <v>-0.26072764950955729</v>
      </c>
      <c r="T16" s="28">
        <f>$U$15 + $U$16*K16 + $U$17*K16*K16 + $U$18*K16*K16*K16 + $U$19*K16*K16*K16*K16</f>
        <v>-0.28167320826600784</v>
      </c>
      <c r="U16" s="29">
        <v>-2096670.6885231</v>
      </c>
      <c r="V16" s="21">
        <f>S16-T16</f>
        <v>2.0945558756450544E-2</v>
      </c>
      <c r="W16" s="21">
        <f>V16*V16</f>
        <v>4.3871643161992206E-4</v>
      </c>
      <c r="X16" s="30">
        <f>EXP(S16+$U$16*K16+$U$17*K16*K16/2+$U$18*K16*K16*K16/3+$U$19*K16*K16*K16*K16/4)</f>
        <v>0.43415050075971301</v>
      </c>
      <c r="Y16" s="31">
        <f>X16</f>
        <v>0.43415050075971301</v>
      </c>
      <c r="AI16" s="21">
        <f>I16*1000</f>
        <v>0.37878787878787878</v>
      </c>
      <c r="AJ16" s="22">
        <f>P16/($B$1*$B$2)</f>
        <v>0.35208026584470137</v>
      </c>
      <c r="AK16" s="21">
        <v>1.8718519722342299</v>
      </c>
      <c r="AL16" s="21">
        <f>AI16*(1 + $AK$15*AI16^1 + $AK$16*AI16^2 + $AK$17*AI16^3)</f>
        <v>0.34586898864134347</v>
      </c>
      <c r="AM16" s="21">
        <f>AJ16-AL16</f>
        <v>6.2112772033579011E-3</v>
      </c>
      <c r="AN16" s="21">
        <f>AM16*AM16</f>
        <v>3.8579964496953547E-5</v>
      </c>
    </row>
    <row r="17" spans="1:40" ht="15.75" customHeight="1" x14ac:dyDescent="0.2">
      <c r="A17" t="s">
        <v>40</v>
      </c>
      <c r="B17">
        <v>66000</v>
      </c>
      <c r="D17" s="2"/>
      <c r="E17" s="23">
        <f>E16</f>
        <v>3.981071705534957E-8</v>
      </c>
      <c r="F17" s="23">
        <f>0.00000000000001/E17</f>
        <v>2.5118864315095897E-7</v>
      </c>
      <c r="G17" s="24">
        <f>G16</f>
        <v>-20.399999999999999</v>
      </c>
      <c r="H17" s="24">
        <v>38.4</v>
      </c>
      <c r="I17" s="25">
        <f>H17/$B$17</f>
        <v>5.8181818181818183E-4</v>
      </c>
      <c r="J17" s="26">
        <f>1000000*I17</f>
        <v>581.81818181818187</v>
      </c>
      <c r="K17" s="27">
        <f>I17/($B$10*(1-I17*$B$17*$B$5/1000) - L17*($B$12+$B$13) - E17*$B$14 - F17*$B$15 - N17*65.0099)</f>
        <v>7.3314805705880099E-7</v>
      </c>
      <c r="L17" s="8">
        <v>3</v>
      </c>
      <c r="M17" s="27">
        <f>L17/($B$10*(1-I17*$B$17*$B$5/1000) - L17*($B$12+$B$13) - E17*$B$14 - F17*$B$15 - N17*65.0099)</f>
        <v>3.7802946692094422E-3</v>
      </c>
      <c r="N17" s="27">
        <f>N16</f>
        <v>3.0764544999999999E-4</v>
      </c>
      <c r="O17" s="24">
        <v>143</v>
      </c>
      <c r="P17" s="24">
        <f>O17*9.80665</f>
        <v>1402.35095</v>
      </c>
      <c r="Q17" s="24">
        <f>$B$1*$B$2*$B$10*1000*(K17+0.25*G17*G17*K17*K17/M17)</f>
        <v>1848.5515521375082</v>
      </c>
      <c r="R17" s="22">
        <f>P17/Q17</f>
        <v>0.75862149929139944</v>
      </c>
      <c r="S17" s="28">
        <f>R17-1</f>
        <v>-0.24137850070860056</v>
      </c>
      <c r="T17" s="28">
        <f>$U$15 + $U$16*K17 + $U$17*K17*K17 + $U$18*K17*K17*K17 + $U$19*K17*K17*K17*K17</f>
        <v>-0.22370567691717419</v>
      </c>
      <c r="U17" s="29">
        <v>4996950075194.5195</v>
      </c>
      <c r="V17" s="21">
        <f>S17-T17</f>
        <v>-1.7672823791426373E-2</v>
      </c>
      <c r="W17" s="21">
        <f>V17*V17</f>
        <v>3.1232870076280603E-4</v>
      </c>
      <c r="X17" s="30">
        <f>EXP(S17+$U$16*K17+$U$17*K17*K17/2+$U$18*K17*K17*K17/3+$U$19*K17*K17*K17*K17/4)</f>
        <v>0.39564270942010915</v>
      </c>
      <c r="Y17" s="31">
        <f>X17</f>
        <v>0.39564270942010915</v>
      </c>
      <c r="AI17" s="21">
        <f>I17*1000</f>
        <v>0.58181818181818179</v>
      </c>
      <c r="AJ17" s="22">
        <f>P17/($B$1*$B$2)</f>
        <v>0.56570200017744154</v>
      </c>
      <c r="AK17" s="21">
        <v>-0.97432291342099897</v>
      </c>
      <c r="AL17" s="21">
        <f>AI17*(1 + $AK$15*AI17^1 + $AK$16*AI17^2 + $AK$17*AI17^3)</f>
        <v>0.56847635682509501</v>
      </c>
      <c r="AM17" s="21">
        <f>AJ17-AL17</f>
        <v>-2.7743566476534642E-3</v>
      </c>
      <c r="AN17" s="21">
        <f>AM17*AM17</f>
        <v>7.6970548083789684E-6</v>
      </c>
    </row>
    <row r="18" spans="1:40" ht="15.75" customHeight="1" x14ac:dyDescent="0.2">
      <c r="D18" s="2"/>
      <c r="E18" s="23">
        <f>E17</f>
        <v>3.981071705534957E-8</v>
      </c>
      <c r="F18" s="23">
        <f>0.00000000000001/E18</f>
        <v>2.5118864315095897E-7</v>
      </c>
      <c r="G18" s="24">
        <f>G17</f>
        <v>-20.399999999999999</v>
      </c>
      <c r="H18" s="24">
        <v>50.3</v>
      </c>
      <c r="I18" s="25">
        <f>H18/$B$17</f>
        <v>7.6212121212121202E-4</v>
      </c>
      <c r="J18" s="26">
        <f>1000000*I18</f>
        <v>762.12121212121201</v>
      </c>
      <c r="K18" s="27">
        <f>I18/($B$10*(1-I18*$B$17*$B$5/1000) - L18*($B$12+$B$13) - E18*$B$14 - F18*$B$15 - N18*65.0099)</f>
        <v>9.7098814357594638E-7</v>
      </c>
      <c r="L18" s="8">
        <v>3</v>
      </c>
      <c r="M18" s="27">
        <f>L18/($B$10*(1-I18*$B$17*$B$5/1000) - L18*($B$12+$B$13) - E18*$B$14 - F18*$B$15 - N18*65.0099)</f>
        <v>3.8221799687482585E-3</v>
      </c>
      <c r="N18" s="27">
        <f>N17</f>
        <v>3.0764544999999999E-4</v>
      </c>
      <c r="O18" s="24">
        <v>202</v>
      </c>
      <c r="P18" s="24">
        <f>O18*9.80665</f>
        <v>1980.9432999999999</v>
      </c>
      <c r="Q18" s="24">
        <f>$B$1*$B$2*$B$10*1000*(K18+0.25*G18*G18*K18*K18/M18)</f>
        <v>2463.2448004312669</v>
      </c>
      <c r="R18" s="22">
        <f>P18/Q18</f>
        <v>0.8042007435286882</v>
      </c>
      <c r="S18" s="28">
        <f>R18-1</f>
        <v>-0.1957992564713118</v>
      </c>
      <c r="T18" s="28">
        <f>$U$15 + $U$16*K18 + $U$17*K18*K18 + $U$18*K18*K18*K18 + $U$19*K18*K18*K18*K18</f>
        <v>-0.20392781849261965</v>
      </c>
      <c r="U18" s="29">
        <v>-4.5230577864118999E+18</v>
      </c>
      <c r="V18" s="21">
        <f>S18-T18</f>
        <v>8.1285620213078502E-3</v>
      </c>
      <c r="W18" s="21">
        <f>V18*V18</f>
        <v>6.6073520534248357E-5</v>
      </c>
      <c r="X18" s="30">
        <f>EXP(S18+$U$16*K18+$U$17*K18*K18/2+$U$18*K18*K18*K18/3+$U$19*K18*K18*K18*K18/4)</f>
        <v>0.3902694577641645</v>
      </c>
      <c r="Y18" s="31">
        <f>X18</f>
        <v>0.3902694577641645</v>
      </c>
      <c r="AI18" s="21">
        <f>I18*1000</f>
        <v>0.76212121212121198</v>
      </c>
      <c r="AJ18" s="22">
        <f>P18/($B$1*$B$2)</f>
        <v>0.79910352472617607</v>
      </c>
      <c r="AL18" s="21">
        <f>AI18*(1 + $AK$15*AI18^1 + $AK$16*AI18^2 + $AK$17*AI18^3)</f>
        <v>0.79812859181804874</v>
      </c>
      <c r="AM18" s="21">
        <f>AJ18-AL18</f>
        <v>9.7493290812733502E-4</v>
      </c>
      <c r="AN18" s="21">
        <f>AM18*AM18</f>
        <v>9.5049417534962268E-7</v>
      </c>
    </row>
    <row r="19" spans="1:40" ht="15.75" customHeight="1" x14ac:dyDescent="0.2">
      <c r="D19" s="2"/>
      <c r="E19" s="23">
        <f>E18</f>
        <v>3.981071705534957E-8</v>
      </c>
      <c r="F19" s="23">
        <f>0.00000000000001/E19</f>
        <v>2.5118864315095897E-7</v>
      </c>
      <c r="G19" s="24">
        <f>G18</f>
        <v>-20.399999999999999</v>
      </c>
      <c r="H19" s="24">
        <v>65.3</v>
      </c>
      <c r="I19" s="25">
        <f>H19/$B$17</f>
        <v>9.8939393939393946E-4</v>
      </c>
      <c r="J19" s="26">
        <f>1000000*I19</f>
        <v>989.39393939393949</v>
      </c>
      <c r="K19" s="27">
        <f>I19/($B$10*(1-I19*$B$17*$B$5/1000) - L19*($B$12+$B$13) - E19*$B$14 - F19*$B$15 - N19*65.0099)</f>
        <v>1.2784017290801089E-6</v>
      </c>
      <c r="L19" s="8">
        <v>3</v>
      </c>
      <c r="M19" s="27">
        <f>L19/($B$10*(1-I19*$B$17*$B$5/1000) - L19*($B$12+$B$13) - E19*$B$14 - F19*$B$15 - N19*65.0099)</f>
        <v>3.8763176471341737E-3</v>
      </c>
      <c r="N19" s="27">
        <f>N18</f>
        <v>3.0764544999999999E-4</v>
      </c>
      <c r="O19" s="24">
        <v>275</v>
      </c>
      <c r="P19" s="24">
        <f>O19*9.80665</f>
        <v>2696.8287499999997</v>
      </c>
      <c r="Q19" s="24">
        <f>$B$1*$B$2*$B$10*1000*(K19+0.25*G19*G19*K19*K19/M19)</f>
        <v>3268.0082643124051</v>
      </c>
      <c r="R19" s="22">
        <f>P19/Q19</f>
        <v>0.82522090884841059</v>
      </c>
      <c r="S19" s="28">
        <f>R19-1</f>
        <v>-0.17477909115158941</v>
      </c>
      <c r="T19" s="28">
        <f>$U$15 + $U$16*K19 + $U$17*K19*K19 + $U$18*K19*K19*K19 + $U$19*K19*K19*K19*K19</f>
        <v>-0.17362549845101238</v>
      </c>
      <c r="U19" s="29">
        <v>1.4190499608433901E+24</v>
      </c>
      <c r="V19" s="21">
        <f>S19-T19</f>
        <v>-1.1535927005770219E-3</v>
      </c>
      <c r="W19" s="21">
        <f>V19*V19</f>
        <v>1.3307761188245866E-6</v>
      </c>
      <c r="X19" s="30">
        <f>EXP(S19+$U$16*K19+$U$17*K19*K19/2+$U$18*K19*K19*K19/3+$U$19*K19*K19*K19*K19/4)</f>
        <v>0.3774422302828962</v>
      </c>
      <c r="Y19" s="31">
        <f>X19</f>
        <v>0.3774422302828962</v>
      </c>
      <c r="AI19" s="21">
        <f>I19*1000</f>
        <v>0.98939393939393949</v>
      </c>
      <c r="AJ19" s="22">
        <f>P19/($B$1*$B$2)</f>
        <v>1.0878884618796951</v>
      </c>
      <c r="AK19" s="21">
        <f>SUM(AN15:AN19)</f>
        <v>1.0598940464593809E-4</v>
      </c>
      <c r="AL19" s="21">
        <f>AI19*(1 + $AK$15*AI19^1 + $AK$16*AI19^2 + $AK$17*AI19^3)</f>
        <v>1.0868568881055143</v>
      </c>
      <c r="AM19" s="21">
        <f>AJ19-AL19</f>
        <v>1.0315737741808384E-3</v>
      </c>
      <c r="AN19" s="21">
        <f>AM19*AM19</f>
        <v>1.0641444515776994E-6</v>
      </c>
    </row>
    <row r="20" spans="1:40" ht="15.75" customHeight="1" x14ac:dyDescent="0.2">
      <c r="D20" s="2"/>
      <c r="E20" s="32"/>
      <c r="F20" s="32"/>
      <c r="G20" s="33"/>
      <c r="H20" s="33"/>
      <c r="I20" s="34"/>
      <c r="J20" s="35"/>
      <c r="K20" s="36"/>
      <c r="L20" s="37"/>
      <c r="M20" s="36"/>
      <c r="N20" s="36"/>
      <c r="O20" s="33"/>
      <c r="P20" s="33"/>
      <c r="Q20" s="33"/>
      <c r="R20" s="38"/>
      <c r="S20" s="39"/>
      <c r="T20" s="39"/>
      <c r="U20" s="40">
        <f>SUM(W15:W19)</f>
        <v>9.6012234836066659E-4</v>
      </c>
      <c r="V20" s="41"/>
      <c r="W20" s="41"/>
      <c r="X20" s="42"/>
      <c r="Y20" s="43"/>
      <c r="AI20" s="21"/>
      <c r="AJ20" s="22"/>
      <c r="AL20" s="21"/>
    </row>
    <row r="21" spans="1:40" ht="15.75" customHeight="1" x14ac:dyDescent="0.2">
      <c r="D21" s="2">
        <v>5.4</v>
      </c>
      <c r="E21" s="9">
        <f>10^-D21</f>
        <v>3.9810717055349657E-6</v>
      </c>
      <c r="F21" s="9">
        <f t="shared" ref="F21:F31" si="0">0.00000000000001/E21</f>
        <v>2.5118864315095845E-9</v>
      </c>
      <c r="G21" s="10">
        <v>-9.1</v>
      </c>
      <c r="H21" s="10">
        <v>34.5</v>
      </c>
      <c r="I21" s="11">
        <f t="shared" ref="I21:I31" si="1">H21/$B$17</f>
        <v>5.2272727272727269E-4</v>
      </c>
      <c r="J21" s="12">
        <f t="shared" ref="J21:J31" si="2">1000000*I21</f>
        <v>522.72727272727263</v>
      </c>
      <c r="K21" s="13">
        <f t="shared" ref="K21:K31" si="3">I21/($B$10*(1-I21*$B$17*$B$5/1000) - L21*($B$12+$B$13) - E21*$B$14 - F21*$B$15 - N21*65.0099)</f>
        <v>6.5633059665038387E-7</v>
      </c>
      <c r="L21" s="14">
        <v>3</v>
      </c>
      <c r="M21" s="13">
        <f t="shared" ref="M21:M31" si="4">L21/($B$10*(1-I21*$B$17*$B$5/1000) - L21*($B$12+$B$13) - E21*$B$14 - F21*$B$15 - N21*65.0099)</f>
        <v>3.7667669025152469E-3</v>
      </c>
      <c r="N21" s="13">
        <f>N19</f>
        <v>3.0764544999999999E-4</v>
      </c>
      <c r="O21" s="10">
        <v>93</v>
      </c>
      <c r="P21" s="10">
        <f t="shared" ref="P21:P31" si="5">O21*9.80665</f>
        <v>912.01844999999992</v>
      </c>
      <c r="Q21" s="10">
        <f t="shared" ref="Q21:Q31" si="6">$B$1*$B$2*$B$10*1000*(K21+0.25*G21*G21*K21*K21/M21)</f>
        <v>1627.9857503697694</v>
      </c>
      <c r="R21" s="15">
        <f t="shared" ref="R21:R31" si="7">P21/Q21</f>
        <v>0.56021279657567657</v>
      </c>
      <c r="S21" s="16">
        <f t="shared" ref="S21:S31" si="8">R21-1</f>
        <v>-0.43978720342432343</v>
      </c>
      <c r="T21" s="16">
        <f t="shared" ref="T21:T26" si="9">$U$21 + $U$22*K21 + $U$23*K21*K21 + $U$24*K21*K21*K21 + $U$25*K21*K21*K21*K21</f>
        <v>-0.44779101350504535</v>
      </c>
      <c r="U21" s="17">
        <v>0</v>
      </c>
      <c r="V21" s="18">
        <f t="shared" ref="V21:V31" si="10">S21-T21</f>
        <v>8.0038100807219292E-3</v>
      </c>
      <c r="W21" s="18">
        <f t="shared" ref="W21:W31" si="11">V21*V21</f>
        <v>6.4060975808265971E-5</v>
      </c>
      <c r="X21" s="19">
        <f t="shared" ref="X21:X26" si="12">EXP(S21+$U$22*K21+$U$23*K21*K21/2+$U$24*K21*K21*K21/3+$U$25*K21*K21*K21*K21/4)</f>
        <v>0.29180091846255063</v>
      </c>
      <c r="Y21" s="20">
        <f t="shared" ref="Y21:Y31" si="13">X21</f>
        <v>0.29180091846255063</v>
      </c>
      <c r="AI21" s="21">
        <f t="shared" ref="AI21:AI31" si="14">I21*1000</f>
        <v>0.52272727272727271</v>
      </c>
      <c r="AJ21" s="22">
        <f t="shared" ref="AJ21:AJ31" si="15">P21/($B$1*$B$2)</f>
        <v>0.36790409801749691</v>
      </c>
      <c r="AK21" s="21">
        <v>-1.6399771018031</v>
      </c>
      <c r="AL21" s="21">
        <f t="shared" ref="AL21:AL26" si="16">AI21*(1 + $AK$21*AI21^1 + $AK$22*AI21^2 + $AK$23*AI21^3)</f>
        <v>0.31597272149251471</v>
      </c>
      <c r="AM21" s="21">
        <f t="shared" ref="AM21:AM31" si="17">AJ21-AL21</f>
        <v>5.1931376524982198E-2</v>
      </c>
      <c r="AN21" s="21">
        <f t="shared" ref="AN21:AN31" si="18">AM21*AM21</f>
        <v>2.6968678677794719E-3</v>
      </c>
    </row>
    <row r="22" spans="1:40" ht="15.75" customHeight="1" x14ac:dyDescent="0.2">
      <c r="D22" s="2"/>
      <c r="E22" s="23">
        <f>E21</f>
        <v>3.9810717055349657E-6</v>
      </c>
      <c r="F22" s="23">
        <f t="shared" si="0"/>
        <v>2.5118864315095845E-9</v>
      </c>
      <c r="G22" s="24">
        <f>G21</f>
        <v>-9.1</v>
      </c>
      <c r="H22" s="24">
        <v>55.2</v>
      </c>
      <c r="I22" s="25">
        <f t="shared" si="1"/>
        <v>8.3636363636363639E-4</v>
      </c>
      <c r="J22" s="26">
        <f t="shared" si="2"/>
        <v>836.36363636363637</v>
      </c>
      <c r="K22" s="27">
        <f t="shared" si="3"/>
        <v>1.070461322075119E-6</v>
      </c>
      <c r="L22" s="8">
        <v>3</v>
      </c>
      <c r="M22" s="27">
        <f t="shared" si="4"/>
        <v>3.8396982204868396E-3</v>
      </c>
      <c r="N22" s="27">
        <f t="shared" ref="N22:N31" si="19">N21</f>
        <v>3.0764544999999999E-4</v>
      </c>
      <c r="O22" s="24">
        <v>175</v>
      </c>
      <c r="P22" s="24">
        <f t="shared" si="5"/>
        <v>1716.1637499999999</v>
      </c>
      <c r="Q22" s="24">
        <f t="shared" si="6"/>
        <v>2660.9364825880079</v>
      </c>
      <c r="R22" s="22">
        <f t="shared" si="7"/>
        <v>0.64494728124095291</v>
      </c>
      <c r="S22" s="28">
        <f t="shared" si="8"/>
        <v>-0.35505271875904709</v>
      </c>
      <c r="T22" s="28">
        <f t="shared" si="9"/>
        <v>-0.33589384409489625</v>
      </c>
      <c r="U22" s="29">
        <v>-1877620.10441567</v>
      </c>
      <c r="V22" s="21">
        <f t="shared" si="10"/>
        <v>-1.9158874664150838E-2</v>
      </c>
      <c r="W22" s="21">
        <f t="shared" si="11"/>
        <v>3.6706247839664085E-4</v>
      </c>
      <c r="X22" s="30">
        <f t="shared" si="12"/>
        <v>0.26054262851250692</v>
      </c>
      <c r="Y22" s="31">
        <f t="shared" si="13"/>
        <v>0.26054262851250692</v>
      </c>
      <c r="AI22" s="21">
        <f t="shared" si="14"/>
        <v>0.83636363636363642</v>
      </c>
      <c r="AJ22" s="22">
        <f t="shared" si="15"/>
        <v>0.69229265755980607</v>
      </c>
      <c r="AK22" s="21">
        <v>1.9075371955635401</v>
      </c>
      <c r="AL22" s="21">
        <f t="shared" si="16"/>
        <v>0.60137226401400101</v>
      </c>
      <c r="AM22" s="21">
        <f t="shared" si="17"/>
        <v>9.0920393545805056E-2</v>
      </c>
      <c r="AN22" s="21">
        <f t="shared" si="18"/>
        <v>8.2665179625240701E-3</v>
      </c>
    </row>
    <row r="23" spans="1:40" ht="15.75" customHeight="1" x14ac:dyDescent="0.2">
      <c r="D23" s="2"/>
      <c r="E23" s="23">
        <f>E22</f>
        <v>3.9810717055349657E-6</v>
      </c>
      <c r="F23" s="23">
        <f t="shared" si="0"/>
        <v>2.5118864315095845E-9</v>
      </c>
      <c r="G23" s="24">
        <f>G22</f>
        <v>-9.1</v>
      </c>
      <c r="H23" s="24">
        <v>73.5</v>
      </c>
      <c r="I23" s="25">
        <f t="shared" si="1"/>
        <v>1.1136363636363637E-3</v>
      </c>
      <c r="J23" s="26">
        <f t="shared" si="2"/>
        <v>1113.6363636363637</v>
      </c>
      <c r="K23" s="27">
        <f t="shared" si="3"/>
        <v>1.4501649029972856E-6</v>
      </c>
      <c r="L23" s="8">
        <v>3</v>
      </c>
      <c r="M23" s="27">
        <f t="shared" si="4"/>
        <v>3.9065666774620754E-3</v>
      </c>
      <c r="N23" s="27">
        <f t="shared" si="19"/>
        <v>3.0764544999999999E-4</v>
      </c>
      <c r="O23" s="24">
        <v>295</v>
      </c>
      <c r="P23" s="24">
        <f t="shared" si="5"/>
        <v>2892.9617499999999</v>
      </c>
      <c r="Q23" s="24">
        <f t="shared" si="6"/>
        <v>3611.6557579208597</v>
      </c>
      <c r="R23" s="22">
        <f t="shared" si="7"/>
        <v>0.80100705712479248</v>
      </c>
      <c r="S23" s="28">
        <f t="shared" si="8"/>
        <v>-0.19899294287520752</v>
      </c>
      <c r="T23" s="28">
        <f t="shared" si="9"/>
        <v>-0.21563220606054323</v>
      </c>
      <c r="U23" s="29">
        <v>2536312708486.3799</v>
      </c>
      <c r="V23" s="21">
        <f t="shared" si="10"/>
        <v>1.6639263185335706E-2</v>
      </c>
      <c r="W23" s="21">
        <f t="shared" si="11"/>
        <v>2.7686507935086816E-4</v>
      </c>
      <c r="X23" s="30">
        <f t="shared" si="12"/>
        <v>0.28009374620449301</v>
      </c>
      <c r="Y23" s="31">
        <f t="shared" si="13"/>
        <v>0.28009374620449301</v>
      </c>
      <c r="AI23" s="21">
        <f t="shared" si="14"/>
        <v>1.1136363636363638</v>
      </c>
      <c r="AJ23" s="22">
        <f t="shared" si="15"/>
        <v>1.167007622743673</v>
      </c>
      <c r="AK23" s="21">
        <v>-0.41652016711742601</v>
      </c>
      <c r="AL23" s="21">
        <f t="shared" si="16"/>
        <v>1.0736567679995117</v>
      </c>
      <c r="AM23" s="21">
        <f t="shared" si="17"/>
        <v>9.3350854744161271E-2</v>
      </c>
      <c r="AN23" s="21">
        <f t="shared" si="18"/>
        <v>8.7143820814654972E-3</v>
      </c>
    </row>
    <row r="24" spans="1:40" ht="15.75" customHeight="1" x14ac:dyDescent="0.2">
      <c r="D24" s="2"/>
      <c r="E24" s="23">
        <f>E23</f>
        <v>3.9810717055349657E-6</v>
      </c>
      <c r="F24" s="23">
        <f t="shared" si="0"/>
        <v>2.5118864315095845E-9</v>
      </c>
      <c r="G24" s="24">
        <f>G23</f>
        <v>-9.1</v>
      </c>
      <c r="H24" s="24">
        <v>89.8</v>
      </c>
      <c r="I24" s="25">
        <f t="shared" si="1"/>
        <v>1.3606060606060606E-3</v>
      </c>
      <c r="J24" s="26">
        <f t="shared" si="2"/>
        <v>1360.6060606060607</v>
      </c>
      <c r="K24" s="27">
        <f t="shared" si="3"/>
        <v>1.7996823166695985E-6</v>
      </c>
      <c r="L24" s="8">
        <v>3</v>
      </c>
      <c r="M24" s="27">
        <f t="shared" si="4"/>
        <v>3.9681191392046825E-3</v>
      </c>
      <c r="N24" s="27">
        <f t="shared" si="19"/>
        <v>3.0764544999999999E-4</v>
      </c>
      <c r="O24" s="24">
        <v>393.5</v>
      </c>
      <c r="P24" s="24">
        <f t="shared" si="5"/>
        <v>3858.9167749999997</v>
      </c>
      <c r="Q24" s="24">
        <f t="shared" si="6"/>
        <v>4489.7143417028919</v>
      </c>
      <c r="R24" s="22">
        <f t="shared" si="7"/>
        <v>0.85950162556140741</v>
      </c>
      <c r="S24" s="28">
        <f t="shared" si="8"/>
        <v>-0.14049837443859259</v>
      </c>
      <c r="T24" s="28">
        <f t="shared" si="9"/>
        <v>-0.14959015176241497</v>
      </c>
      <c r="U24" s="29">
        <v>-1.22389220432653E+18</v>
      </c>
      <c r="V24" s="21">
        <f t="shared" si="10"/>
        <v>9.0917773238223809E-3</v>
      </c>
      <c r="W24" s="21">
        <f t="shared" si="11"/>
        <v>8.2660414905970852E-5</v>
      </c>
      <c r="X24" s="30">
        <f t="shared" si="12"/>
        <v>0.28563393672190485</v>
      </c>
      <c r="Y24" s="31">
        <f t="shared" si="13"/>
        <v>0.28563393672190485</v>
      </c>
      <c r="AI24" s="21">
        <f t="shared" si="14"/>
        <v>1.3606060606060606</v>
      </c>
      <c r="AJ24" s="22">
        <f t="shared" si="15"/>
        <v>1.5566694899987636</v>
      </c>
      <c r="AL24" s="21">
        <f t="shared" si="16"/>
        <v>1.7018783920277036</v>
      </c>
      <c r="AM24" s="21">
        <f t="shared" si="17"/>
        <v>-0.14520890202893999</v>
      </c>
      <c r="AN24" s="21">
        <f t="shared" si="18"/>
        <v>2.1085625228450294E-2</v>
      </c>
    </row>
    <row r="25" spans="1:40" ht="15.75" customHeight="1" x14ac:dyDescent="0.2">
      <c r="D25" s="2"/>
      <c r="E25" s="23">
        <f>E24</f>
        <v>3.9810717055349657E-6</v>
      </c>
      <c r="F25" s="23">
        <f t="shared" si="0"/>
        <v>2.5118864315095845E-9</v>
      </c>
      <c r="G25" s="24">
        <f>G24</f>
        <v>-9.1</v>
      </c>
      <c r="H25" s="24">
        <v>93.5</v>
      </c>
      <c r="I25" s="25">
        <f t="shared" si="1"/>
        <v>1.4166666666666668E-3</v>
      </c>
      <c r="J25" s="26">
        <f t="shared" si="2"/>
        <v>1416.6666666666667</v>
      </c>
      <c r="K25" s="27">
        <f t="shared" si="3"/>
        <v>1.8805599547326221E-6</v>
      </c>
      <c r="L25" s="8">
        <v>3</v>
      </c>
      <c r="M25" s="27">
        <f t="shared" si="4"/>
        <v>3.9823622570808468E-3</v>
      </c>
      <c r="N25" s="27">
        <f t="shared" si="19"/>
        <v>3.0764544999999999E-4</v>
      </c>
      <c r="O25" s="24">
        <v>405</v>
      </c>
      <c r="P25" s="24">
        <f t="shared" si="5"/>
        <v>3971.6932499999998</v>
      </c>
      <c r="Q25" s="24">
        <f t="shared" si="6"/>
        <v>4693.2799784112976</v>
      </c>
      <c r="R25" s="22">
        <f t="shared" si="7"/>
        <v>0.84625107989923087</v>
      </c>
      <c r="S25" s="28">
        <f t="shared" si="8"/>
        <v>-0.15374892010076913</v>
      </c>
      <c r="T25" s="28">
        <f t="shared" si="9"/>
        <v>-0.13910317125168081</v>
      </c>
      <c r="U25" s="29">
        <v>2.04833024888078E+23</v>
      </c>
      <c r="V25" s="21">
        <f t="shared" si="10"/>
        <v>-1.4645748849088314E-2</v>
      </c>
      <c r="W25" s="21">
        <f t="shared" si="11"/>
        <v>2.1449795935057166E-4</v>
      </c>
      <c r="X25" s="30">
        <f t="shared" si="12"/>
        <v>0.28009146465224805</v>
      </c>
      <c r="Y25" s="31">
        <f t="shared" si="13"/>
        <v>0.28009146465224805</v>
      </c>
      <c r="AI25" s="21">
        <f t="shared" si="14"/>
        <v>1.4166666666666667</v>
      </c>
      <c r="AJ25" s="22">
        <f t="shared" si="15"/>
        <v>1.6021630074955511</v>
      </c>
      <c r="AK25" s="21">
        <f>SUM(AN21:AN26)</f>
        <v>0.66171561241649857</v>
      </c>
      <c r="AL25" s="21">
        <f t="shared" si="16"/>
        <v>1.8711079743051566</v>
      </c>
      <c r="AM25" s="21">
        <f t="shared" si="17"/>
        <v>-0.26894496680960556</v>
      </c>
      <c r="AN25" s="21">
        <f t="shared" si="18"/>
        <v>7.2331395172219828E-2</v>
      </c>
    </row>
    <row r="26" spans="1:40" ht="15.75" customHeight="1" x14ac:dyDescent="0.2">
      <c r="D26" s="2"/>
      <c r="E26" s="32">
        <f>E25</f>
        <v>3.9810717055349657E-6</v>
      </c>
      <c r="F26" s="32">
        <f t="shared" si="0"/>
        <v>2.5118864315095845E-9</v>
      </c>
      <c r="G26" s="33">
        <f>G25</f>
        <v>-9.1</v>
      </c>
      <c r="H26" s="33">
        <v>122.8</v>
      </c>
      <c r="I26" s="34">
        <f t="shared" si="1"/>
        <v>1.8606060606060606E-3</v>
      </c>
      <c r="J26" s="35">
        <f t="shared" si="2"/>
        <v>1860.6060606060607</v>
      </c>
      <c r="K26" s="36">
        <f t="shared" si="3"/>
        <v>2.5421267040389547E-6</v>
      </c>
      <c r="L26" s="37">
        <v>3</v>
      </c>
      <c r="M26" s="36">
        <f t="shared" si="4"/>
        <v>4.0988687898999435E-3</v>
      </c>
      <c r="N26" s="36">
        <f t="shared" si="19"/>
        <v>3.0764544999999999E-4</v>
      </c>
      <c r="O26" s="33">
        <v>692</v>
      </c>
      <c r="P26" s="33">
        <f t="shared" si="5"/>
        <v>6786.2017999999998</v>
      </c>
      <c r="Q26" s="33">
        <f t="shared" si="6"/>
        <v>6363.5883720826841</v>
      </c>
      <c r="R26" s="38">
        <f t="shared" si="7"/>
        <v>1.066411182371779</v>
      </c>
      <c r="S26" s="39">
        <f t="shared" si="8"/>
        <v>6.641118237177901E-2</v>
      </c>
      <c r="T26" s="39">
        <f t="shared" si="9"/>
        <v>6.5504102765583383E-2</v>
      </c>
      <c r="U26" s="40">
        <f>SUM(W21:W26)</f>
        <v>1.0059697012242935E-3</v>
      </c>
      <c r="V26" s="41">
        <f t="shared" si="10"/>
        <v>9.0707960619562655E-4</v>
      </c>
      <c r="W26" s="41">
        <f t="shared" si="11"/>
        <v>8.2279341197601299E-7</v>
      </c>
      <c r="X26" s="42">
        <f t="shared" si="12"/>
        <v>0.34131927956157632</v>
      </c>
      <c r="Y26" s="43">
        <f t="shared" si="13"/>
        <v>0.34131927956157632</v>
      </c>
      <c r="AI26" s="21">
        <f t="shared" si="14"/>
        <v>1.8606060606060606</v>
      </c>
      <c r="AJ26" s="22">
        <f t="shared" si="15"/>
        <v>2.7375229658936329</v>
      </c>
      <c r="AL26" s="21">
        <f t="shared" si="16"/>
        <v>3.4782123907567528</v>
      </c>
      <c r="AM26" s="21">
        <f t="shared" si="17"/>
        <v>-0.74068942486311995</v>
      </c>
      <c r="AN26" s="21">
        <f t="shared" si="18"/>
        <v>0.54862082410405943</v>
      </c>
    </row>
    <row r="27" spans="1:40" ht="15.75" customHeight="1" x14ac:dyDescent="0.2">
      <c r="D27" s="2">
        <v>7.4</v>
      </c>
      <c r="E27" s="9">
        <f>10^-D27</f>
        <v>3.981071705534957E-8</v>
      </c>
      <c r="F27" s="9">
        <f t="shared" si="0"/>
        <v>2.5118864315095897E-7</v>
      </c>
      <c r="G27" s="10">
        <v>-20.399999999999999</v>
      </c>
      <c r="H27" s="10">
        <v>33.4</v>
      </c>
      <c r="I27" s="11">
        <f t="shared" si="1"/>
        <v>5.0606060606060601E-4</v>
      </c>
      <c r="J27" s="12">
        <f t="shared" si="2"/>
        <v>506.06060606060601</v>
      </c>
      <c r="K27" s="13">
        <f t="shared" si="3"/>
        <v>7.4381583651669469E-7</v>
      </c>
      <c r="L27" s="14">
        <v>5</v>
      </c>
      <c r="M27" s="13">
        <f t="shared" si="4"/>
        <v>7.3490786242667444E-3</v>
      </c>
      <c r="N27" s="13">
        <f t="shared" si="19"/>
        <v>3.0764544999999999E-4</v>
      </c>
      <c r="O27" s="10">
        <v>127</v>
      </c>
      <c r="P27" s="10">
        <f t="shared" si="5"/>
        <v>1245.4445499999999</v>
      </c>
      <c r="Q27" s="10">
        <f t="shared" si="6"/>
        <v>1857.7139216544001</v>
      </c>
      <c r="R27" s="15">
        <f t="shared" si="7"/>
        <v>0.67041783747352257</v>
      </c>
      <c r="S27" s="16">
        <f t="shared" si="8"/>
        <v>-0.32958216252647743</v>
      </c>
      <c r="T27" s="16">
        <f>$U$27 + $U$28*K27 + $U$29*K27*K27 + $U$30*K27*K27*K27 + $U$31*K27*K27*K27*K27</f>
        <v>-0.32946848696231418</v>
      </c>
      <c r="U27" s="17">
        <v>0</v>
      </c>
      <c r="V27" s="18">
        <f t="shared" si="10"/>
        <v>-1.1367556416325142E-4</v>
      </c>
      <c r="W27" s="18">
        <f t="shared" si="11"/>
        <v>1.292213388783349E-8</v>
      </c>
      <c r="X27" s="19">
        <f>EXP(S27+$U$28*K27+$U$29*K27*K27/2+$U$30*K27*K27*K27/3+$U$31*K27*K27*K27*K27/4)</f>
        <v>0.44203137678293108</v>
      </c>
      <c r="Y27" s="20">
        <f t="shared" si="13"/>
        <v>0.44203137678293108</v>
      </c>
      <c r="AI27" s="21">
        <f t="shared" si="14"/>
        <v>0.50606060606060599</v>
      </c>
      <c r="AJ27" s="22">
        <f t="shared" si="15"/>
        <v>0.50240667148625917</v>
      </c>
      <c r="AK27" s="21">
        <v>1.65000536516241</v>
      </c>
      <c r="AL27" s="21">
        <f>AI27*(1 + $AK$27*AI27^1 + $AK$28*AI27^2 + $AK$29*AI27^3)</f>
        <v>0.70184916511572215</v>
      </c>
      <c r="AM27" s="21">
        <f t="shared" si="17"/>
        <v>-0.19944249362946298</v>
      </c>
      <c r="AN27" s="21">
        <f t="shared" si="18"/>
        <v>3.9777308265138381E-2</v>
      </c>
    </row>
    <row r="28" spans="1:40" ht="15.75" customHeight="1" x14ac:dyDescent="0.2">
      <c r="D28" s="2"/>
      <c r="E28" s="23">
        <f>E27</f>
        <v>3.981071705534957E-8</v>
      </c>
      <c r="F28" s="23">
        <f t="shared" si="0"/>
        <v>2.5118864315095897E-7</v>
      </c>
      <c r="G28" s="24">
        <f>G27</f>
        <v>-20.399999999999999</v>
      </c>
      <c r="H28" s="24">
        <v>68.900000000000006</v>
      </c>
      <c r="I28" s="25">
        <f t="shared" si="1"/>
        <v>1.0439393939393939E-3</v>
      </c>
      <c r="J28" s="26">
        <f t="shared" si="2"/>
        <v>1043.939393939394</v>
      </c>
      <c r="K28" s="27">
        <f t="shared" si="3"/>
        <v>1.5952278772159379E-6</v>
      </c>
      <c r="L28" s="8">
        <v>5</v>
      </c>
      <c r="M28" s="27">
        <f t="shared" si="4"/>
        <v>7.6404237950835922E-3</v>
      </c>
      <c r="N28" s="27">
        <f t="shared" si="19"/>
        <v>3.0764544999999999E-4</v>
      </c>
      <c r="O28" s="24">
        <v>283</v>
      </c>
      <c r="P28" s="24">
        <f t="shared" si="5"/>
        <v>2775.2819500000001</v>
      </c>
      <c r="Q28" s="24">
        <f t="shared" si="6"/>
        <v>4028.2809824184192</v>
      </c>
      <c r="R28" s="22">
        <f t="shared" si="7"/>
        <v>0.68894944570967631</v>
      </c>
      <c r="S28" s="28">
        <f t="shared" si="8"/>
        <v>-0.31105055429032369</v>
      </c>
      <c r="T28" s="28">
        <f>$U$27 + $U$28*K28 + $U$29*K28*K28 + $U$30*K28*K28*K28 + $U$31*K28*K28*K28*K28</f>
        <v>-0.31127520440245526</v>
      </c>
      <c r="U28" s="29">
        <v>-914043.67853527504</v>
      </c>
      <c r="V28" s="21">
        <f t="shared" si="10"/>
        <v>2.2465011213157471E-4</v>
      </c>
      <c r="W28" s="21">
        <f t="shared" si="11"/>
        <v>5.046767288072909E-8</v>
      </c>
      <c r="X28" s="30">
        <f>EXP(S28+$U$28*K28+$U$29*K28*K28/2+$U$30*K28*K28*K28/3+$U$31*K28*K28*K28*K28/4)</f>
        <v>0.34925946409071773</v>
      </c>
      <c r="Y28" s="31">
        <f t="shared" si="13"/>
        <v>0.34925946409071773</v>
      </c>
      <c r="AI28" s="21">
        <f t="shared" si="14"/>
        <v>1.0439393939393939</v>
      </c>
      <c r="AJ28" s="22">
        <f t="shared" si="15"/>
        <v>1.1195361262252863</v>
      </c>
      <c r="AK28" s="21">
        <v>-2.1098019513856201</v>
      </c>
      <c r="AL28" s="21">
        <f>AI28*(1 + $AK$27*AI28^1 + $AK$28*AI28^2 + $AK$29*AI28^3)</f>
        <v>1.2867525265879565</v>
      </c>
      <c r="AM28" s="21">
        <f t="shared" si="17"/>
        <v>-0.16721640036267016</v>
      </c>
      <c r="AN28" s="21">
        <f t="shared" si="18"/>
        <v>2.7961324550248797E-2</v>
      </c>
    </row>
    <row r="29" spans="1:40" ht="15.75" customHeight="1" x14ac:dyDescent="0.2">
      <c r="D29" s="2"/>
      <c r="E29" s="23">
        <f>E28</f>
        <v>3.981071705534957E-8</v>
      </c>
      <c r="F29" s="23">
        <f t="shared" si="0"/>
        <v>2.5118864315095897E-7</v>
      </c>
      <c r="G29" s="24">
        <f>G28</f>
        <v>-20.399999999999999</v>
      </c>
      <c r="H29" s="24">
        <v>100.1</v>
      </c>
      <c r="I29" s="25">
        <f t="shared" si="1"/>
        <v>1.5166666666666666E-3</v>
      </c>
      <c r="J29" s="26">
        <f t="shared" si="2"/>
        <v>1516.6666666666665</v>
      </c>
      <c r="K29" s="27">
        <f t="shared" si="3"/>
        <v>2.4012595355301004E-6</v>
      </c>
      <c r="L29" s="8">
        <v>5</v>
      </c>
      <c r="M29" s="27">
        <f t="shared" si="4"/>
        <v>7.9162402270223104E-3</v>
      </c>
      <c r="N29" s="27">
        <f t="shared" si="19"/>
        <v>3.0764544999999999E-4</v>
      </c>
      <c r="O29" s="24">
        <v>435</v>
      </c>
      <c r="P29" s="24">
        <f t="shared" si="5"/>
        <v>4265.89275</v>
      </c>
      <c r="Q29" s="24">
        <f t="shared" si="6"/>
        <v>6122.0552943112525</v>
      </c>
      <c r="R29" s="47">
        <f t="shared" si="7"/>
        <v>0.69680728855290819</v>
      </c>
      <c r="S29" s="28">
        <f t="shared" si="8"/>
        <v>-0.30319271144709181</v>
      </c>
      <c r="T29" s="28">
        <f>$U$27 + $U$28*K29 + $U$29*K29*K29 + $U$30*K29*K29*K29 + $U$31*K29*K29*K29*K29</f>
        <v>-0.3029682226889705</v>
      </c>
      <c r="U29" s="29">
        <v>837717917281.27405</v>
      </c>
      <c r="V29" s="21">
        <f t="shared" si="10"/>
        <v>-2.2448875812131064E-4</v>
      </c>
      <c r="W29" s="21">
        <f t="shared" si="11"/>
        <v>5.0395202522848312E-8</v>
      </c>
      <c r="X29" s="30">
        <f>EXP(S29+$U$28*K29+$U$29*K29*K29/2+$U$30*K29*K29*K29/3+$U$31*K29*K29*K29*K29/4)</f>
        <v>0.31133701195747898</v>
      </c>
      <c r="Y29" s="31">
        <f t="shared" si="13"/>
        <v>0.31133701195747898</v>
      </c>
      <c r="AI29" s="21">
        <f t="shared" si="14"/>
        <v>1.5166666666666666</v>
      </c>
      <c r="AJ29" s="22">
        <f t="shared" si="15"/>
        <v>1.720841748791518</v>
      </c>
      <c r="AK29" s="21">
        <v>0.71141178794729198</v>
      </c>
      <c r="AL29" s="21">
        <f>AI29*(1 + $AK$27*AI29^1 + $AK$28*AI29^2 + $AK$29*AI29^3)</f>
        <v>1.7158334551732042</v>
      </c>
      <c r="AM29" s="21">
        <f t="shared" si="17"/>
        <v>5.0082936183137861E-3</v>
      </c>
      <c r="AN29" s="21">
        <f t="shared" si="18"/>
        <v>2.5083004967242594E-5</v>
      </c>
    </row>
    <row r="30" spans="1:40" ht="15.75" customHeight="1" x14ac:dyDescent="0.2">
      <c r="D30" s="2"/>
      <c r="E30" s="23">
        <f>E29</f>
        <v>3.981071705534957E-8</v>
      </c>
      <c r="F30" s="23">
        <f t="shared" si="0"/>
        <v>2.5118864315095897E-7</v>
      </c>
      <c r="G30" s="24">
        <f>G29</f>
        <v>-20.399999999999999</v>
      </c>
      <c r="H30" s="24">
        <v>133.5</v>
      </c>
      <c r="I30" s="25">
        <f t="shared" si="1"/>
        <v>2.0227272727272728E-3</v>
      </c>
      <c r="J30" s="26">
        <f t="shared" si="2"/>
        <v>2022.7272727272727</v>
      </c>
      <c r="K30" s="27">
        <f t="shared" si="3"/>
        <v>3.3312141415682222E-6</v>
      </c>
      <c r="L30" s="8">
        <v>5</v>
      </c>
      <c r="M30" s="27">
        <f t="shared" si="4"/>
        <v>8.2344619229776286E-3</v>
      </c>
      <c r="N30" s="27">
        <f t="shared" si="19"/>
        <v>3.0764544999999999E-4</v>
      </c>
      <c r="O30" s="24">
        <v>615</v>
      </c>
      <c r="P30" s="24">
        <f t="shared" si="5"/>
        <v>6031.0897500000001</v>
      </c>
      <c r="Q30" s="24">
        <f t="shared" si="6"/>
        <v>8579.6877481752836</v>
      </c>
      <c r="R30" s="22">
        <f t="shared" si="7"/>
        <v>0.70294979572918426</v>
      </c>
      <c r="S30" s="28">
        <f t="shared" si="8"/>
        <v>-0.29705020427081574</v>
      </c>
      <c r="T30" s="28">
        <f>$U$27 + $U$28*K30 + $U$29*K30*K30 + $U$30*K30*K30*K30 + $U$31*K30*K30*K30*K30</f>
        <v>-0.29719013490416657</v>
      </c>
      <c r="U30" s="29">
        <v>-3.0280665797595898E+17</v>
      </c>
      <c r="V30" s="21">
        <f t="shared" si="10"/>
        <v>1.3993063335082656E-4</v>
      </c>
      <c r="W30" s="21">
        <f t="shared" si="11"/>
        <v>1.9580582149963455E-8</v>
      </c>
      <c r="X30" s="30">
        <f>EXP(S30+$U$28*K30+$U$29*K30*K30/2+$U$30*K30*K30*K30/3+$U$31*K30*K30*K30*K30/4)</f>
        <v>0.28258528488773987</v>
      </c>
      <c r="Y30" s="31">
        <f t="shared" si="13"/>
        <v>0.28258528488773987</v>
      </c>
      <c r="AI30" s="21">
        <f t="shared" si="14"/>
        <v>2.0227272727272729</v>
      </c>
      <c r="AJ30" s="22">
        <f t="shared" si="15"/>
        <v>2.4329141965673182</v>
      </c>
      <c r="AL30" s="21">
        <f>AI30*(1 + $AK$27*AI30^1 + $AK$28*AI30^2 + $AK$29*AI30^3)</f>
        <v>3.2220870977092519</v>
      </c>
      <c r="AM30" s="21">
        <f t="shared" si="17"/>
        <v>-0.78917290114193372</v>
      </c>
      <c r="AN30" s="21">
        <f t="shared" si="18"/>
        <v>0.62279386789677627</v>
      </c>
    </row>
    <row r="31" spans="1:40" ht="15.75" customHeight="1" x14ac:dyDescent="0.2">
      <c r="D31" s="2"/>
      <c r="E31" s="23">
        <f>E30</f>
        <v>3.981071705534957E-8</v>
      </c>
      <c r="F31" s="23">
        <f t="shared" si="0"/>
        <v>2.5118864315095897E-7</v>
      </c>
      <c r="G31" s="24">
        <f>G30</f>
        <v>-20.399999999999999</v>
      </c>
      <c r="H31" s="24">
        <v>150</v>
      </c>
      <c r="I31" s="25">
        <f t="shared" si="1"/>
        <v>2.2727272727272726E-3</v>
      </c>
      <c r="J31" s="26">
        <f t="shared" si="2"/>
        <v>2272.7272727272725</v>
      </c>
      <c r="K31" s="27">
        <f t="shared" si="3"/>
        <v>3.8187726588751412E-6</v>
      </c>
      <c r="L31" s="8">
        <v>5</v>
      </c>
      <c r="M31" s="27">
        <f t="shared" si="4"/>
        <v>8.4012998495253104E-3</v>
      </c>
      <c r="N31" s="27">
        <f t="shared" si="19"/>
        <v>3.0764544999999999E-4</v>
      </c>
      <c r="O31" s="24">
        <v>892</v>
      </c>
      <c r="P31" s="24">
        <f t="shared" si="5"/>
        <v>8747.5317999999988</v>
      </c>
      <c r="Q31" s="24">
        <f t="shared" si="6"/>
        <v>9884.5134172322778</v>
      </c>
      <c r="R31" s="22">
        <f t="shared" si="7"/>
        <v>0.88497343579400589</v>
      </c>
      <c r="S31" s="28">
        <f t="shared" si="8"/>
        <v>-0.11502656420599411</v>
      </c>
      <c r="T31" s="28">
        <f>$U$27 + $U$28*K31 + $U$29*K31*K31 + $U$30*K31*K31*K31 + $U$31*K31*K31*K31*K31</f>
        <v>-0.11497395631637453</v>
      </c>
      <c r="U31" s="29">
        <v>3.7722155815718101E+22</v>
      </c>
      <c r="V31" s="21">
        <f t="shared" si="10"/>
        <v>-5.2607889619582515E-5</v>
      </c>
      <c r="W31" s="21">
        <f t="shared" si="11"/>
        <v>2.7675900502261776E-9</v>
      </c>
      <c r="X31" s="30">
        <f>EXP(S31+$U$28*K31+$U$29*K31*K31/2+$U$30*K31*K31*K31/3+$U$31*K31*K31*K31*K31/4)</f>
        <v>0.32863584116286276</v>
      </c>
      <c r="Y31" s="31">
        <f t="shared" si="13"/>
        <v>0.32863584116286276</v>
      </c>
      <c r="AI31" s="21">
        <f t="shared" si="14"/>
        <v>2.2727272727272725</v>
      </c>
      <c r="AJ31" s="22">
        <f t="shared" si="15"/>
        <v>3.528714574533411</v>
      </c>
      <c r="AK31" s="21">
        <f>SUM(AN27:AN31)</f>
        <v>2.8803682773054899</v>
      </c>
      <c r="AL31" s="21">
        <f>AI31*(1 + $AK$27*AI31^1 + $AK$28*AI31^2 + $AK$29*AI31^3)</f>
        <v>5.0085154711368558</v>
      </c>
      <c r="AM31" s="21">
        <f t="shared" si="17"/>
        <v>-1.4798008966034448</v>
      </c>
      <c r="AN31" s="21">
        <f t="shared" si="18"/>
        <v>2.1898106935883592</v>
      </c>
    </row>
    <row r="32" spans="1:40" ht="15.75" customHeight="1" x14ac:dyDescent="0.2">
      <c r="D32" s="2"/>
      <c r="E32" s="32"/>
      <c r="F32" s="32"/>
      <c r="G32" s="33"/>
      <c r="H32" s="33"/>
      <c r="I32" s="34"/>
      <c r="J32" s="35"/>
      <c r="K32" s="36"/>
      <c r="L32" s="37"/>
      <c r="M32" s="36"/>
      <c r="N32" s="36"/>
      <c r="O32" s="33"/>
      <c r="P32" s="33"/>
      <c r="Q32" s="33"/>
      <c r="R32" s="38"/>
      <c r="S32" s="39"/>
      <c r="T32" s="39"/>
      <c r="U32" s="40">
        <f>SUM(W27:W31)</f>
        <v>1.3613318149160055E-7</v>
      </c>
      <c r="V32" s="41"/>
      <c r="W32" s="41"/>
      <c r="X32" s="42"/>
      <c r="Y32" s="43"/>
      <c r="AI32" s="21"/>
      <c r="AJ32" s="22"/>
      <c r="AL32" s="21"/>
    </row>
    <row r="33" spans="4:40" ht="15.75" customHeight="1" x14ac:dyDescent="0.2">
      <c r="D33" s="2">
        <v>5.4</v>
      </c>
      <c r="E33" s="9">
        <f>10^-D33</f>
        <v>3.9810717055349657E-6</v>
      </c>
      <c r="F33" s="9">
        <f>0.00000000000001/E33</f>
        <v>2.5118864315095845E-9</v>
      </c>
      <c r="G33" s="10">
        <v>-9.1</v>
      </c>
      <c r="H33" s="10">
        <v>30.1</v>
      </c>
      <c r="I33" s="11">
        <f>H33/$B$17</f>
        <v>4.560606060606061E-4</v>
      </c>
      <c r="J33" s="12">
        <f>1000000*I33</f>
        <v>456.06060606060612</v>
      </c>
      <c r="K33" s="13">
        <f>I33/($B$10*(1-I33*$B$17*$B$5/1000) - L33*($B$12+$B$13) - E33*$B$14 - F33*$B$15 - N33*65.0099)</f>
        <v>6.6795743023489277E-7</v>
      </c>
      <c r="L33" s="14">
        <v>5</v>
      </c>
      <c r="M33" s="13">
        <f>L33/($B$10*(1-I33*$B$17*$B$5/1000) - L33*($B$12+$B$13) - E33*$B$14 - F33*$B$15 - N33*65.0099)</f>
        <v>7.3231213281566314E-3</v>
      </c>
      <c r="N33" s="13">
        <f>N31</f>
        <v>3.0764544999999999E-4</v>
      </c>
      <c r="O33" s="10">
        <v>67</v>
      </c>
      <c r="P33" s="10">
        <f>O33*9.80665</f>
        <v>657.04554999999993</v>
      </c>
      <c r="Q33" s="10">
        <f>$B$1*$B$2*$B$10*1000*(K33+0.25*G33*G33*K33*K33/M33)</f>
        <v>1653.9876234213018</v>
      </c>
      <c r="R33" s="15">
        <f>P33/Q33</f>
        <v>0.39724937520444675</v>
      </c>
      <c r="S33" s="16">
        <f>R33-1</f>
        <v>-0.60275062479555319</v>
      </c>
      <c r="T33" s="16">
        <f>$U$33 + $U$34*K33 + $U$35*K33*K33 + $U$36*K33*K33*K33 + $U$37*K33*K33*K33*K33</f>
        <v>-0.6098303546405005</v>
      </c>
      <c r="U33" s="17">
        <v>0</v>
      </c>
      <c r="V33" s="18">
        <f>S33-T33</f>
        <v>7.0797298449473134E-3</v>
      </c>
      <c r="W33" s="18">
        <f>V33*V33</f>
        <v>5.0122574677437709E-5</v>
      </c>
      <c r="X33" s="19">
        <f>EXP(S33+$U$34*K33+$U$35*K33*K33/2+$U$36*K33*K33*K33/3+$U$37*K33*K33*K33*K33/4)</f>
        <v>0.22564844916812116</v>
      </c>
      <c r="Y33" s="20">
        <f>X33</f>
        <v>0.22564844916812116</v>
      </c>
      <c r="AI33" s="21">
        <f>I33*1000</f>
        <v>0.45606060606060611</v>
      </c>
      <c r="AJ33" s="22">
        <f>P33/($B$1*$B$2)</f>
        <v>0.26504918889432572</v>
      </c>
      <c r="AK33" s="21">
        <v>-2.4274260738445999</v>
      </c>
      <c r="AL33" s="21">
        <f>AI33*(1 + $AK$33*AI33^1 + $AK$34*AI33^2 + $AK$35*AI33^3)</f>
        <v>0.16550189953067679</v>
      </c>
      <c r="AM33" s="21">
        <f>AJ33-AL33</f>
        <v>9.9547289363648928E-2</v>
      </c>
      <c r="AN33" s="21">
        <f>AM33*AM33</f>
        <v>9.9096628196500506E-3</v>
      </c>
    </row>
    <row r="34" spans="4:40" ht="15.75" customHeight="1" x14ac:dyDescent="0.2">
      <c r="D34" s="2"/>
      <c r="E34" s="23">
        <f>E33</f>
        <v>3.9810717055349657E-6</v>
      </c>
      <c r="F34" s="23">
        <f>0.00000000000001/E34</f>
        <v>2.5118864315095845E-9</v>
      </c>
      <c r="G34" s="24">
        <f>G33</f>
        <v>-9.1</v>
      </c>
      <c r="H34" s="24">
        <v>49.5</v>
      </c>
      <c r="I34" s="25">
        <f>H34/$B$17</f>
        <v>7.5000000000000002E-4</v>
      </c>
      <c r="J34" s="26">
        <f>1000000*I34</f>
        <v>750</v>
      </c>
      <c r="K34" s="27">
        <f>I34/($B$10*(1-I34*$B$17*$B$5/1000) - L34*($B$12+$B$13) - E34*$B$14 - F34*$B$15 - N34*65.0099)</f>
        <v>1.1217613128976449E-6</v>
      </c>
      <c r="L34" s="8">
        <v>5</v>
      </c>
      <c r="M34" s="27">
        <f>L34/($B$10*(1-I34*$B$17*$B$5/1000) - L34*($B$12+$B$13) - E34*$B$14 - F34*$B$15 - N34*65.0099)</f>
        <v>7.4784087526509665E-3</v>
      </c>
      <c r="N34" s="27">
        <f>N33</f>
        <v>3.0764544999999999E-4</v>
      </c>
      <c r="O34" s="24">
        <v>100</v>
      </c>
      <c r="P34" s="24">
        <f>O34*9.80665</f>
        <v>980.66499999999996</v>
      </c>
      <c r="Q34" s="24">
        <f>$B$1*$B$2*$B$10*1000*(K34+0.25*G34*G34*K34*K34/M34)</f>
        <v>2781.0652124799544</v>
      </c>
      <c r="R34" s="22">
        <f>P34/Q34</f>
        <v>0.35262208005741558</v>
      </c>
      <c r="S34" s="28">
        <f>R34-1</f>
        <v>-0.64737791994258442</v>
      </c>
      <c r="T34" s="28">
        <f>$U$33 + $U$34*K34 + $U$35*K34*K34 + $U$36*K34*K34*K34 + $U$37*K34*K34*K34*K34</f>
        <v>-0.61873248930285196</v>
      </c>
      <c r="U34" s="29">
        <v>-1828188.51963182</v>
      </c>
      <c r="V34" s="21">
        <f>S34-T34</f>
        <v>-2.8645430639732461E-2</v>
      </c>
      <c r="W34" s="21">
        <f>V34*V34</f>
        <v>8.2056069653572321E-4</v>
      </c>
      <c r="X34" s="30">
        <f>EXP(S34+$U$34*K34+$U$35*K34*K34/2+$U$36*K34*K34*K34/3+$U$37*K34*K34*K34*K34/4)</f>
        <v>0.1557983858867111</v>
      </c>
      <c r="Y34" s="31">
        <f>X34</f>
        <v>0.1557983858867111</v>
      </c>
      <c r="AI34" s="21">
        <f>I34*1000</f>
        <v>0.75</v>
      </c>
      <c r="AJ34" s="22">
        <f>P34/($B$1*$B$2)</f>
        <v>0.39559580431988917</v>
      </c>
      <c r="AK34" s="21">
        <v>2.5017123057665902</v>
      </c>
      <c r="AL34" s="21">
        <f>AI34*(1 + $AK$33*AI34^1 + $AK$34*AI34^2 + $AK$35*AI34^3)</f>
        <v>0.27191252189627813</v>
      </c>
      <c r="AM34" s="21">
        <f>AJ34-AL34</f>
        <v>0.12368328242361104</v>
      </c>
      <c r="AN34" s="21">
        <f>AM34*AM34</f>
        <v>1.5297554351078732E-2</v>
      </c>
    </row>
    <row r="35" spans="4:40" ht="15.75" customHeight="1" x14ac:dyDescent="0.2">
      <c r="D35" s="2"/>
      <c r="E35" s="23">
        <f>E34</f>
        <v>3.9810717055349657E-6</v>
      </c>
      <c r="F35" s="23">
        <f>0.00000000000001/E35</f>
        <v>2.5118864315095845E-9</v>
      </c>
      <c r="G35" s="24">
        <f>G34</f>
        <v>-9.1</v>
      </c>
      <c r="H35" s="24">
        <v>58.9</v>
      </c>
      <c r="I35" s="25">
        <f>H35/$B$17</f>
        <v>8.9242424242424242E-4</v>
      </c>
      <c r="J35" s="26">
        <f>1000000*I35</f>
        <v>892.42424242424238</v>
      </c>
      <c r="K35" s="27">
        <f>I35/($B$10*(1-I35*$B$17*$B$5/1000) - L35*($B$12+$B$13) - E35*$B$14 - F35*$B$15 - N35*65.0099)</f>
        <v>1.3486394238825269E-6</v>
      </c>
      <c r="L35" s="8">
        <v>5</v>
      </c>
      <c r="M35" s="27">
        <f>L35/($B$10*(1-I35*$B$17*$B$5/1000) - L35*($B$12+$B$13) - E35*$B$14 - F35*$B$15 - N35*65.0099)</f>
        <v>7.5560443103774846E-3</v>
      </c>
      <c r="N35" s="27">
        <f>N34</f>
        <v>3.0764544999999999E-4</v>
      </c>
      <c r="O35" s="24">
        <v>154</v>
      </c>
      <c r="P35" s="24">
        <f>O35*9.80665</f>
        <v>1510.2240999999999</v>
      </c>
      <c r="Q35" s="24">
        <f>$B$1*$B$2*$B$10*1000*(K35+0.25*G35*G35*K35*K35/M35)</f>
        <v>3345.5059332188034</v>
      </c>
      <c r="R35" s="22">
        <f>P35/Q35</f>
        <v>0.45141874805972071</v>
      </c>
      <c r="S35" s="28">
        <f>R35-1</f>
        <v>-0.54858125194027929</v>
      </c>
      <c r="T35" s="28">
        <f>$U$33 + $U$34*K35 + $U$35*K35*K35 + $U$36*K35*K35*K35 + $U$37*K35*K35*K35*K35</f>
        <v>-0.57758779075456768</v>
      </c>
      <c r="U35" s="29">
        <v>1789543537569.3701</v>
      </c>
      <c r="V35" s="21">
        <f>S35-T35</f>
        <v>2.9006538814288385E-2</v>
      </c>
      <c r="W35" s="21">
        <f>V35*V35</f>
        <v>8.4137929398481865E-4</v>
      </c>
      <c r="X35" s="30">
        <f>EXP(S35+$U$34*K35+$U$35*K35*K35/2+$U$36*K35*K35*K35/3+$U$37*K35*K35*K35*K35/4)</f>
        <v>0.1539788543653445</v>
      </c>
      <c r="Y35" s="31">
        <f>X35</f>
        <v>0.1539788543653445</v>
      </c>
      <c r="AI35" s="21">
        <f>I35*1000</f>
        <v>0.89242424242424245</v>
      </c>
      <c r="AJ35" s="22">
        <f>P35/($B$1*$B$2)</f>
        <v>0.60921753865262929</v>
      </c>
      <c r="AK35" s="21">
        <v>-0.53118479979903899</v>
      </c>
      <c r="AL35" s="21">
        <f>AI35*(1 + $AK$33*AI35^1 + $AK$34*AI35^2 + $AK$35*AI35^3)</f>
        <v>0.40032834472664414</v>
      </c>
      <c r="AM35" s="21">
        <f>AJ35-AL35</f>
        <v>0.20888919392598515</v>
      </c>
      <c r="AN35" s="21">
        <f>AM35*AM35</f>
        <v>4.3634695339047833E-2</v>
      </c>
    </row>
    <row r="36" spans="4:40" ht="15.75" customHeight="1" x14ac:dyDescent="0.2">
      <c r="D36" s="2"/>
      <c r="E36" s="23">
        <f>E35</f>
        <v>3.9810717055349657E-6</v>
      </c>
      <c r="F36" s="23">
        <f>0.00000000000001/E36</f>
        <v>2.5118864315095845E-9</v>
      </c>
      <c r="G36" s="24">
        <f>G35</f>
        <v>-9.1</v>
      </c>
      <c r="H36" s="24">
        <v>77.3</v>
      </c>
      <c r="I36" s="25">
        <f>H36/$B$17</f>
        <v>1.1712121212121211E-3</v>
      </c>
      <c r="J36" s="26">
        <f>1000000*I36</f>
        <v>1171.212121212121</v>
      </c>
      <c r="K36" s="27">
        <f>I36/($B$10*(1-I36*$B$17*$B$5/1000) - L36*($B$12+$B$13) - E36*$B$14 - F36*$B$15 - N36*65.0099)</f>
        <v>1.8066589466963294E-6</v>
      </c>
      <c r="L36" s="8">
        <v>5</v>
      </c>
      <c r="M36" s="27">
        <f>L36/($B$10*(1-I36*$B$17*$B$5/1000) - L36*($B$12+$B$13) - E36*$B$14 - F36*$B$15 - N36*65.0099)</f>
        <v>7.7127742873193883E-3</v>
      </c>
      <c r="N36" s="27">
        <f>N35</f>
        <v>3.0764544999999999E-4</v>
      </c>
      <c r="O36" s="24">
        <v>240</v>
      </c>
      <c r="P36" s="24">
        <f>O36*9.80665</f>
        <v>2353.596</v>
      </c>
      <c r="Q36" s="24">
        <f>$B$1*$B$2*$B$10*1000*(K36+0.25*G36*G36*K36*K36/M36)</f>
        <v>4486.8475350467479</v>
      </c>
      <c r="R36" s="22">
        <f>P36/Q36</f>
        <v>0.52455448544129735</v>
      </c>
      <c r="S36" s="28">
        <f>R36-1</f>
        <v>-0.47544551455870265</v>
      </c>
      <c r="T36" s="28">
        <f>$U$33 + $U$34*K36 + $U$35*K36*K36 + $U$36*K36*K36*K36 + $U$37*K36*K36*K36*K36</f>
        <v>-0.46769964260661823</v>
      </c>
      <c r="U36" s="29">
        <v>-6.9714397314087194E+17</v>
      </c>
      <c r="V36" s="21">
        <f>S36-T36</f>
        <v>-7.7458719520844266E-3</v>
      </c>
      <c r="W36" s="21">
        <f>V36*V36</f>
        <v>5.9998532298088207E-5</v>
      </c>
      <c r="X36" s="30">
        <f>EXP(S36+$U$34*K36+$U$35*K36*K36/2+$U$36*K36*K36*K36/3+$U$37*K36*K36*K36*K36/4)</f>
        <v>0.14200876893992045</v>
      </c>
      <c r="Y36" s="31">
        <f>X36</f>
        <v>0.14200876893992045</v>
      </c>
      <c r="AI36" s="21">
        <f>I36*1000</f>
        <v>1.1712121212121211</v>
      </c>
      <c r="AJ36" s="22">
        <f>P36/($B$1*$B$2)</f>
        <v>0.94942993036773404</v>
      </c>
      <c r="AL36" s="21">
        <f>AI36*(1 + $AK$33*AI36^1 + $AK$34*AI36^2 + $AK$35*AI36^3)</f>
        <v>0.86114918776834493</v>
      </c>
      <c r="AM36" s="21">
        <f>AJ36-AL36</f>
        <v>8.8280742599389117E-2</v>
      </c>
      <c r="AN36" s="21">
        <f>AM36*AM36</f>
        <v>7.7934895138995963E-3</v>
      </c>
    </row>
    <row r="37" spans="4:40" ht="15.75" customHeight="1" x14ac:dyDescent="0.2">
      <c r="D37" s="2"/>
      <c r="E37" s="23">
        <f>E36</f>
        <v>3.9810717055349657E-6</v>
      </c>
      <c r="F37" s="23">
        <f>0.00000000000001/E37</f>
        <v>2.5118864315095845E-9</v>
      </c>
      <c r="G37" s="24">
        <f>G36</f>
        <v>-9.1</v>
      </c>
      <c r="H37" s="24">
        <v>99.1</v>
      </c>
      <c r="I37" s="25">
        <f>H37/$B$17</f>
        <v>1.5015151515151515E-3</v>
      </c>
      <c r="J37" s="26">
        <f>1000000*I37</f>
        <v>1501.5151515151515</v>
      </c>
      <c r="K37" s="27">
        <f>I37/($B$10*(1-I37*$B$17*$B$5/1000) - L37*($B$12+$B$13) - E37*$B$14 - F37*$B$15 - N37*65.0099)</f>
        <v>2.374523777526755E-6</v>
      </c>
      <c r="L37" s="8">
        <v>5</v>
      </c>
      <c r="M37" s="27">
        <f>L37/($B$10*(1-I37*$B$17*$B$5/1000) - L37*($B$12+$B$13) - E37*$B$14 - F37*$B$15 - N37*65.0099)</f>
        <v>7.907092296506853E-3</v>
      </c>
      <c r="N37" s="27">
        <f>N36</f>
        <v>3.0764544999999999E-4</v>
      </c>
      <c r="O37" s="24">
        <v>430</v>
      </c>
      <c r="P37" s="24">
        <f>O37*9.80665</f>
        <v>4216.8594999999996</v>
      </c>
      <c r="Q37" s="24">
        <f>$B$1*$B$2*$B$10*1000*(K37+0.25*G37*G37*K37*K37/M37)</f>
        <v>5905.1691254446123</v>
      </c>
      <c r="R37" s="22">
        <f>P37/Q37</f>
        <v>0.71409631297943621</v>
      </c>
      <c r="S37" s="28">
        <f>R37-1</f>
        <v>-0.28590368702056379</v>
      </c>
      <c r="T37" s="28">
        <f>$U$33 + $U$34*K37 + $U$35*K37*K37 + $U$36*K37*K37*K37 + $U$37*K37*K37*K37*K37</f>
        <v>-0.28686352781784619</v>
      </c>
      <c r="U37" s="29">
        <v>1.0373263647591601E+23</v>
      </c>
      <c r="V37" s="21">
        <f>S37-T37</f>
        <v>9.5984079728239635E-4</v>
      </c>
      <c r="W37" s="21">
        <f>V37*V37</f>
        <v>9.2129435612770624E-7</v>
      </c>
      <c r="X37" s="30">
        <f>EXP(S37+$U$34*K37+$U$35*K37*K37/2+$U$36*K37*K37*K37/3+$U$37*K37*K37*K37*K37/4)</f>
        <v>0.15432285171764301</v>
      </c>
      <c r="Y37" s="31">
        <f>X37</f>
        <v>0.15432285171764301</v>
      </c>
      <c r="AI37" s="21">
        <f>I37*1000</f>
        <v>1.5015151515151515</v>
      </c>
      <c r="AJ37" s="22">
        <f>P37/($B$1*$B$2)</f>
        <v>1.7010619585755233</v>
      </c>
      <c r="AK37" s="21">
        <f>SUM(AN33:AN37)</f>
        <v>8.5965244960009901E-2</v>
      </c>
      <c r="AL37" s="21">
        <f>AI37*(1 + $AK$33*AI37^1 + $AK$34*AI37^2 + $AK$35*AI37^3)</f>
        <v>1.7976530706735507</v>
      </c>
      <c r="AM37" s="21">
        <f>AJ37-AL37</f>
        <v>-9.6591112098027399E-2</v>
      </c>
      <c r="AN37" s="21">
        <f>AM37*AM37</f>
        <v>9.3298429363336943E-3</v>
      </c>
    </row>
    <row r="38" spans="4:40" ht="15.75" customHeight="1" x14ac:dyDescent="0.2">
      <c r="D38" s="2"/>
      <c r="E38" s="32"/>
      <c r="F38" s="32"/>
      <c r="G38" s="33"/>
      <c r="H38" s="33"/>
      <c r="I38" s="34"/>
      <c r="J38" s="35"/>
      <c r="K38" s="36"/>
      <c r="L38" s="37"/>
      <c r="M38" s="36"/>
      <c r="N38" s="36"/>
      <c r="O38" s="33"/>
      <c r="P38" s="33"/>
      <c r="Q38" s="33"/>
      <c r="R38" s="38"/>
      <c r="S38" s="39"/>
      <c r="T38" s="39"/>
      <c r="U38" s="40">
        <f>SUM(W33:W37)</f>
        <v>1.7729823918521952E-3</v>
      </c>
      <c r="V38" s="41"/>
      <c r="W38" s="41"/>
      <c r="X38" s="42"/>
      <c r="Y38" s="43"/>
      <c r="AH38" s="22"/>
    </row>
  </sheetData>
  <mergeCells count="6">
    <mergeCell ref="D33:D38"/>
    <mergeCell ref="D3:D8"/>
    <mergeCell ref="D9:D14"/>
    <mergeCell ref="D15:D20"/>
    <mergeCell ref="D21:D26"/>
    <mergeCell ref="D27:D32"/>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0"/>
  <sheetViews>
    <sheetView zoomScaleNormal="100" workbookViewId="0"/>
  </sheetViews>
  <sheetFormatPr baseColWidth="10" defaultColWidth="8.6640625" defaultRowHeight="16" x14ac:dyDescent="0.2"/>
  <cols>
    <col min="1" max="1" width="10" customWidth="1"/>
    <col min="2" max="3" width="45" customWidth="1"/>
    <col min="4" max="4" width="70" customWidth="1"/>
  </cols>
  <sheetData>
    <row r="1" spans="1:4" x14ac:dyDescent="0.2">
      <c r="A1" s="48" t="s">
        <v>41</v>
      </c>
    </row>
    <row r="3" spans="1:4" ht="75" customHeight="1" x14ac:dyDescent="0.2">
      <c r="A3" s="1" t="s">
        <v>42</v>
      </c>
      <c r="B3" s="1"/>
      <c r="C3" s="1"/>
      <c r="D3" s="1"/>
    </row>
    <row r="4" spans="1:4" ht="90" customHeight="1" x14ac:dyDescent="0.2">
      <c r="A4" s="1" t="s">
        <v>43</v>
      </c>
      <c r="B4" s="1"/>
      <c r="C4" s="1"/>
      <c r="D4" s="1"/>
    </row>
    <row r="5" spans="1:4" ht="30" customHeight="1" x14ac:dyDescent="0.2">
      <c r="A5" s="1" t="s">
        <v>44</v>
      </c>
      <c r="B5" s="1"/>
      <c r="C5" s="1"/>
      <c r="D5" s="1"/>
    </row>
    <row r="6" spans="1:4" ht="30" customHeight="1" x14ac:dyDescent="0.2">
      <c r="A6" s="1" t="s">
        <v>45</v>
      </c>
      <c r="B6" s="1"/>
      <c r="C6" s="1"/>
      <c r="D6" s="1"/>
    </row>
    <row r="7" spans="1:4" ht="45" customHeight="1" x14ac:dyDescent="0.2">
      <c r="A7" s="1" t="s">
        <v>46</v>
      </c>
      <c r="B7" s="1"/>
      <c r="C7" s="1"/>
      <c r="D7" s="1"/>
    </row>
    <row r="9" spans="1:4" x14ac:dyDescent="0.2">
      <c r="A9" s="49" t="s">
        <v>47</v>
      </c>
      <c r="B9" s="49" t="s">
        <v>48</v>
      </c>
      <c r="C9" s="49" t="s">
        <v>49</v>
      </c>
      <c r="D9" s="49" t="s">
        <v>50</v>
      </c>
    </row>
    <row r="10" spans="1:4" ht="26" x14ac:dyDescent="0.2">
      <c r="A10" s="50" t="s">
        <v>51</v>
      </c>
      <c r="B10" s="51" t="s">
        <v>52</v>
      </c>
      <c r="C10" s="51" t="s">
        <v>53</v>
      </c>
      <c r="D10" s="51" t="s">
        <v>54</v>
      </c>
    </row>
    <row r="11" spans="1:4" ht="26" x14ac:dyDescent="0.2">
      <c r="A11" s="50" t="s">
        <v>55</v>
      </c>
      <c r="B11" s="51" t="s">
        <v>56</v>
      </c>
      <c r="C11" s="51" t="s">
        <v>57</v>
      </c>
      <c r="D11" s="51" t="s">
        <v>58</v>
      </c>
    </row>
    <row r="12" spans="1:4" ht="26" x14ac:dyDescent="0.2">
      <c r="A12" s="50" t="s">
        <v>59</v>
      </c>
      <c r="B12" s="51" t="s">
        <v>60</v>
      </c>
      <c r="C12" s="51" t="s">
        <v>61</v>
      </c>
      <c r="D12" s="51" t="s">
        <v>54</v>
      </c>
    </row>
    <row r="13" spans="1:4" ht="26" x14ac:dyDescent="0.2">
      <c r="A13" s="50" t="s">
        <v>62</v>
      </c>
      <c r="B13" s="51" t="s">
        <v>63</v>
      </c>
      <c r="C13" s="51" t="s">
        <v>64</v>
      </c>
      <c r="D13" s="51" t="s">
        <v>58</v>
      </c>
    </row>
    <row r="14" spans="1:4" ht="26" x14ac:dyDescent="0.2">
      <c r="A14" s="50" t="s">
        <v>65</v>
      </c>
      <c r="B14" s="51" t="s">
        <v>66</v>
      </c>
      <c r="C14" s="51" t="s">
        <v>67</v>
      </c>
      <c r="D14" s="51" t="s">
        <v>54</v>
      </c>
    </row>
    <row r="15" spans="1:4" ht="26" x14ac:dyDescent="0.2">
      <c r="A15" s="50" t="s">
        <v>68</v>
      </c>
      <c r="B15" s="51" t="s">
        <v>69</v>
      </c>
      <c r="C15" s="51" t="s">
        <v>70</v>
      </c>
      <c r="D15" s="51" t="s">
        <v>58</v>
      </c>
    </row>
    <row r="16" spans="1:4" ht="26" x14ac:dyDescent="0.2">
      <c r="A16" s="50" t="s">
        <v>71</v>
      </c>
      <c r="B16" s="51" t="s">
        <v>72</v>
      </c>
      <c r="C16" s="51" t="s">
        <v>73</v>
      </c>
      <c r="D16" s="51" t="s">
        <v>54</v>
      </c>
    </row>
    <row r="17" spans="1:4" ht="26" x14ac:dyDescent="0.2">
      <c r="A17" s="50" t="s">
        <v>74</v>
      </c>
      <c r="B17" s="51" t="s">
        <v>75</v>
      </c>
      <c r="C17" s="51" t="s">
        <v>76</v>
      </c>
      <c r="D17" s="51" t="s">
        <v>58</v>
      </c>
    </row>
    <row r="18" spans="1:4" ht="26" x14ac:dyDescent="0.2">
      <c r="A18" s="50" t="s">
        <v>77</v>
      </c>
      <c r="B18" s="51" t="s">
        <v>78</v>
      </c>
      <c r="C18" s="51" t="s">
        <v>79</v>
      </c>
      <c r="D18" s="51" t="s">
        <v>54</v>
      </c>
    </row>
    <row r="19" spans="1:4" ht="26" x14ac:dyDescent="0.2">
      <c r="A19" s="50" t="s">
        <v>80</v>
      </c>
      <c r="B19" s="51" t="s">
        <v>81</v>
      </c>
      <c r="C19" s="51" t="s">
        <v>82</v>
      </c>
      <c r="D19" s="51" t="s">
        <v>58</v>
      </c>
    </row>
    <row r="20" spans="1:4" ht="26" x14ac:dyDescent="0.2">
      <c r="A20" s="50" t="s">
        <v>83</v>
      </c>
      <c r="B20" s="51" t="s">
        <v>84</v>
      </c>
      <c r="C20" s="51" t="s">
        <v>85</v>
      </c>
      <c r="D20" s="51" t="s">
        <v>54</v>
      </c>
    </row>
    <row r="21" spans="1:4" ht="26" x14ac:dyDescent="0.2">
      <c r="A21" s="50" t="s">
        <v>86</v>
      </c>
      <c r="B21" s="51" t="s">
        <v>87</v>
      </c>
      <c r="C21" s="51" t="s">
        <v>88</v>
      </c>
      <c r="D21" s="51" t="s">
        <v>58</v>
      </c>
    </row>
    <row r="22" spans="1:4" ht="26" x14ac:dyDescent="0.2">
      <c r="A22" s="50" t="s">
        <v>89</v>
      </c>
      <c r="B22" s="51" t="s">
        <v>90</v>
      </c>
      <c r="C22" s="51" t="s">
        <v>91</v>
      </c>
      <c r="D22" s="51" t="s">
        <v>54</v>
      </c>
    </row>
    <row r="23" spans="1:4" ht="26" x14ac:dyDescent="0.2">
      <c r="A23" s="50" t="s">
        <v>92</v>
      </c>
      <c r="B23" s="51" t="s">
        <v>93</v>
      </c>
      <c r="C23" s="51" t="s">
        <v>94</v>
      </c>
      <c r="D23" s="51" t="s">
        <v>58</v>
      </c>
    </row>
    <row r="24" spans="1:4" ht="26" x14ac:dyDescent="0.2">
      <c r="A24" s="50" t="s">
        <v>95</v>
      </c>
      <c r="B24" s="51" t="s">
        <v>96</v>
      </c>
      <c r="C24" s="51" t="s">
        <v>97</v>
      </c>
      <c r="D24" s="51" t="s">
        <v>54</v>
      </c>
    </row>
    <row r="25" spans="1:4" ht="26" x14ac:dyDescent="0.2">
      <c r="A25" s="50" t="s">
        <v>98</v>
      </c>
      <c r="B25" s="51" t="s">
        <v>99</v>
      </c>
      <c r="C25" s="51" t="s">
        <v>100</v>
      </c>
      <c r="D25" s="51" t="s">
        <v>58</v>
      </c>
    </row>
    <row r="26" spans="1:4" ht="26" x14ac:dyDescent="0.2">
      <c r="A26" s="50" t="s">
        <v>101</v>
      </c>
      <c r="B26" s="51" t="s">
        <v>102</v>
      </c>
      <c r="C26" s="51" t="s">
        <v>103</v>
      </c>
      <c r="D26" s="51" t="s">
        <v>54</v>
      </c>
    </row>
    <row r="27" spans="1:4" ht="26" x14ac:dyDescent="0.2">
      <c r="A27" s="50" t="s">
        <v>104</v>
      </c>
      <c r="B27" s="51" t="s">
        <v>105</v>
      </c>
      <c r="C27" s="51" t="s">
        <v>106</v>
      </c>
      <c r="D27" s="51" t="s">
        <v>58</v>
      </c>
    </row>
    <row r="28" spans="1:4" ht="26" x14ac:dyDescent="0.2">
      <c r="A28" s="50" t="s">
        <v>107</v>
      </c>
      <c r="B28" s="51" t="s">
        <v>108</v>
      </c>
      <c r="C28" s="51" t="s">
        <v>109</v>
      </c>
      <c r="D28" s="51" t="s">
        <v>54</v>
      </c>
    </row>
    <row r="29" spans="1:4" ht="26" x14ac:dyDescent="0.2">
      <c r="A29" s="50" t="s">
        <v>110</v>
      </c>
      <c r="B29" s="51" t="s">
        <v>111</v>
      </c>
      <c r="C29" s="51" t="s">
        <v>112</v>
      </c>
      <c r="D29" s="51" t="s">
        <v>58</v>
      </c>
    </row>
    <row r="30" spans="1:4" ht="26" x14ac:dyDescent="0.2">
      <c r="A30" s="50" t="s">
        <v>113</v>
      </c>
      <c r="B30" s="51" t="s">
        <v>114</v>
      </c>
      <c r="C30" s="51" t="s">
        <v>115</v>
      </c>
      <c r="D30" s="51" t="s">
        <v>54</v>
      </c>
    </row>
    <row r="31" spans="1:4" ht="26" x14ac:dyDescent="0.2">
      <c r="A31" s="50" t="s">
        <v>116</v>
      </c>
      <c r="B31" s="51" t="s">
        <v>117</v>
      </c>
      <c r="C31" s="51" t="s">
        <v>118</v>
      </c>
      <c r="D31" s="51" t="s">
        <v>58</v>
      </c>
    </row>
    <row r="32" spans="1:4" ht="26" x14ac:dyDescent="0.2">
      <c r="A32" s="50" t="s">
        <v>119</v>
      </c>
      <c r="B32" s="51" t="s">
        <v>120</v>
      </c>
      <c r="C32" s="51" t="s">
        <v>121</v>
      </c>
      <c r="D32" s="51" t="s">
        <v>54</v>
      </c>
    </row>
    <row r="33" spans="1:4" ht="26" x14ac:dyDescent="0.2">
      <c r="A33" s="50" t="s">
        <v>122</v>
      </c>
      <c r="B33" s="51" t="s">
        <v>123</v>
      </c>
      <c r="C33" s="51" t="s">
        <v>124</v>
      </c>
      <c r="D33" s="51" t="s">
        <v>58</v>
      </c>
    </row>
    <row r="34" spans="1:4" ht="26" x14ac:dyDescent="0.2">
      <c r="A34" s="50" t="s">
        <v>125</v>
      </c>
      <c r="B34" s="51" t="s">
        <v>126</v>
      </c>
      <c r="C34" s="51" t="s">
        <v>127</v>
      </c>
      <c r="D34" s="51" t="s">
        <v>54</v>
      </c>
    </row>
    <row r="35" spans="1:4" ht="26" x14ac:dyDescent="0.2">
      <c r="A35" s="50" t="s">
        <v>128</v>
      </c>
      <c r="B35" s="51" t="s">
        <v>129</v>
      </c>
      <c r="C35" s="51" t="s">
        <v>130</v>
      </c>
      <c r="D35" s="51" t="s">
        <v>58</v>
      </c>
    </row>
    <row r="36" spans="1:4" ht="26" x14ac:dyDescent="0.2">
      <c r="A36" s="50" t="s">
        <v>131</v>
      </c>
      <c r="B36" s="51" t="s">
        <v>132</v>
      </c>
      <c r="C36" s="51" t="s">
        <v>133</v>
      </c>
      <c r="D36" s="51" t="s">
        <v>54</v>
      </c>
    </row>
    <row r="37" spans="1:4" ht="26" x14ac:dyDescent="0.2">
      <c r="A37" s="50" t="s">
        <v>134</v>
      </c>
      <c r="B37" s="51" t="s">
        <v>135</v>
      </c>
      <c r="C37" s="51" t="s">
        <v>136</v>
      </c>
      <c r="D37" s="51" t="s">
        <v>58</v>
      </c>
    </row>
    <row r="38" spans="1:4" ht="26" x14ac:dyDescent="0.2">
      <c r="A38" s="50" t="s">
        <v>137</v>
      </c>
      <c r="B38" s="51" t="s">
        <v>138</v>
      </c>
      <c r="C38" s="51" t="s">
        <v>139</v>
      </c>
      <c r="D38" s="51" t="s">
        <v>54</v>
      </c>
    </row>
    <row r="39" spans="1:4" ht="26" x14ac:dyDescent="0.2">
      <c r="A39" s="50" t="s">
        <v>140</v>
      </c>
      <c r="B39" s="51" t="s">
        <v>141</v>
      </c>
      <c r="C39" s="51" t="s">
        <v>142</v>
      </c>
      <c r="D39" s="51" t="s">
        <v>58</v>
      </c>
    </row>
    <row r="40" spans="1:4" ht="26" x14ac:dyDescent="0.2">
      <c r="A40" s="50" t="s">
        <v>143</v>
      </c>
      <c r="B40" s="51" t="s">
        <v>144</v>
      </c>
      <c r="C40" s="51" t="s">
        <v>145</v>
      </c>
      <c r="D40" s="51" t="s">
        <v>54</v>
      </c>
    </row>
    <row r="41" spans="1:4" ht="26" x14ac:dyDescent="0.2">
      <c r="A41" s="50" t="s">
        <v>146</v>
      </c>
      <c r="B41" s="51" t="s">
        <v>147</v>
      </c>
      <c r="C41" s="51" t="s">
        <v>148</v>
      </c>
      <c r="D41" s="51" t="s">
        <v>58</v>
      </c>
    </row>
    <row r="42" spans="1:4" ht="26" x14ac:dyDescent="0.2">
      <c r="A42" s="50" t="s">
        <v>149</v>
      </c>
      <c r="B42" s="51" t="s">
        <v>150</v>
      </c>
      <c r="C42" s="51" t="s">
        <v>151</v>
      </c>
      <c r="D42" s="51" t="s">
        <v>54</v>
      </c>
    </row>
    <row r="43" spans="1:4" ht="26" x14ac:dyDescent="0.2">
      <c r="A43" s="50" t="s">
        <v>152</v>
      </c>
      <c r="B43" s="51" t="s">
        <v>153</v>
      </c>
      <c r="C43" s="51" t="s">
        <v>154</v>
      </c>
      <c r="D43" s="51" t="s">
        <v>58</v>
      </c>
    </row>
    <row r="44" spans="1:4" ht="26" x14ac:dyDescent="0.2">
      <c r="A44" s="50" t="s">
        <v>155</v>
      </c>
      <c r="B44" s="51" t="s">
        <v>156</v>
      </c>
      <c r="C44" s="51" t="s">
        <v>157</v>
      </c>
      <c r="D44" s="51" t="s">
        <v>54</v>
      </c>
    </row>
    <row r="45" spans="1:4" ht="26" x14ac:dyDescent="0.2">
      <c r="A45" s="50" t="s">
        <v>158</v>
      </c>
      <c r="B45" s="51" t="s">
        <v>159</v>
      </c>
      <c r="C45" s="51" t="s">
        <v>160</v>
      </c>
      <c r="D45" s="51" t="s">
        <v>58</v>
      </c>
    </row>
    <row r="46" spans="1:4" ht="26" x14ac:dyDescent="0.2">
      <c r="A46" s="50" t="s">
        <v>161</v>
      </c>
      <c r="B46" s="51" t="s">
        <v>162</v>
      </c>
      <c r="C46" s="51" t="s">
        <v>163</v>
      </c>
      <c r="D46" s="51" t="s">
        <v>54</v>
      </c>
    </row>
    <row r="47" spans="1:4" ht="26" x14ac:dyDescent="0.2">
      <c r="A47" s="50" t="s">
        <v>164</v>
      </c>
      <c r="B47" s="51" t="s">
        <v>165</v>
      </c>
      <c r="C47" s="51" t="s">
        <v>166</v>
      </c>
      <c r="D47" s="51" t="s">
        <v>58</v>
      </c>
    </row>
    <row r="48" spans="1:4" ht="26" x14ac:dyDescent="0.2">
      <c r="A48" s="50" t="s">
        <v>167</v>
      </c>
      <c r="B48" s="51" t="s">
        <v>168</v>
      </c>
      <c r="C48" s="51" t="s">
        <v>169</v>
      </c>
      <c r="D48" s="51" t="s">
        <v>54</v>
      </c>
    </row>
    <row r="49" spans="1:4" ht="26" x14ac:dyDescent="0.2">
      <c r="A49" s="50" t="s">
        <v>170</v>
      </c>
      <c r="B49" s="51" t="s">
        <v>171</v>
      </c>
      <c r="C49" s="51" t="s">
        <v>172</v>
      </c>
      <c r="D49" s="51" t="s">
        <v>58</v>
      </c>
    </row>
    <row r="50" spans="1:4" ht="26" x14ac:dyDescent="0.2">
      <c r="A50" s="50" t="s">
        <v>173</v>
      </c>
      <c r="B50" s="51" t="s">
        <v>174</v>
      </c>
      <c r="C50" s="51" t="s">
        <v>175</v>
      </c>
      <c r="D50" s="51" t="s">
        <v>54</v>
      </c>
    </row>
    <row r="51" spans="1:4" ht="26" x14ac:dyDescent="0.2">
      <c r="A51" s="50" t="s">
        <v>176</v>
      </c>
      <c r="B51" s="51" t="s">
        <v>177</v>
      </c>
      <c r="C51" s="51" t="s">
        <v>178</v>
      </c>
      <c r="D51" s="51" t="s">
        <v>58</v>
      </c>
    </row>
    <row r="52" spans="1:4" ht="26" x14ac:dyDescent="0.2">
      <c r="A52" s="50" t="s">
        <v>179</v>
      </c>
      <c r="B52" s="51" t="s">
        <v>180</v>
      </c>
      <c r="C52" s="51" t="s">
        <v>181</v>
      </c>
      <c r="D52" s="51" t="s">
        <v>54</v>
      </c>
    </row>
    <row r="53" spans="1:4" ht="26" x14ac:dyDescent="0.2">
      <c r="A53" s="50" t="s">
        <v>182</v>
      </c>
      <c r="B53" s="51" t="s">
        <v>183</v>
      </c>
      <c r="C53" s="51" t="s">
        <v>184</v>
      </c>
      <c r="D53" s="51" t="s">
        <v>58</v>
      </c>
    </row>
    <row r="54" spans="1:4" ht="26" x14ac:dyDescent="0.2">
      <c r="A54" s="50" t="s">
        <v>185</v>
      </c>
      <c r="B54" s="51" t="s">
        <v>186</v>
      </c>
      <c r="C54" s="51" t="s">
        <v>187</v>
      </c>
      <c r="D54" s="51" t="s">
        <v>54</v>
      </c>
    </row>
    <row r="55" spans="1:4" ht="26" x14ac:dyDescent="0.2">
      <c r="A55" s="50" t="s">
        <v>188</v>
      </c>
      <c r="B55" s="51" t="s">
        <v>189</v>
      </c>
      <c r="C55" s="51" t="s">
        <v>190</v>
      </c>
      <c r="D55" s="51" t="s">
        <v>58</v>
      </c>
    </row>
    <row r="56" spans="1:4" ht="26" x14ac:dyDescent="0.2">
      <c r="A56" s="50" t="s">
        <v>191</v>
      </c>
      <c r="B56" s="51" t="s">
        <v>192</v>
      </c>
      <c r="C56" s="51" t="s">
        <v>193</v>
      </c>
      <c r="D56" s="51" t="s">
        <v>54</v>
      </c>
    </row>
    <row r="57" spans="1:4" ht="26" x14ac:dyDescent="0.2">
      <c r="A57" s="50" t="s">
        <v>194</v>
      </c>
      <c r="B57" s="51" t="s">
        <v>195</v>
      </c>
      <c r="C57" s="51" t="s">
        <v>196</v>
      </c>
      <c r="D57" s="51" t="s">
        <v>58</v>
      </c>
    </row>
    <row r="58" spans="1:4" ht="26" x14ac:dyDescent="0.2">
      <c r="A58" s="50" t="s">
        <v>197</v>
      </c>
      <c r="B58" s="51" t="s">
        <v>198</v>
      </c>
      <c r="C58" s="51" t="s">
        <v>199</v>
      </c>
      <c r="D58" s="51" t="s">
        <v>54</v>
      </c>
    </row>
    <row r="59" spans="1:4" ht="26" x14ac:dyDescent="0.2">
      <c r="A59" s="50" t="s">
        <v>200</v>
      </c>
      <c r="B59" s="51" t="s">
        <v>201</v>
      </c>
      <c r="C59" s="51" t="s">
        <v>202</v>
      </c>
      <c r="D59" s="51" t="s">
        <v>58</v>
      </c>
    </row>
    <row r="60" spans="1:4" ht="26" x14ac:dyDescent="0.2">
      <c r="A60" s="50" t="s">
        <v>203</v>
      </c>
      <c r="B60" s="51" t="s">
        <v>204</v>
      </c>
      <c r="C60" s="51" t="s">
        <v>205</v>
      </c>
      <c r="D60" s="51" t="s">
        <v>54</v>
      </c>
    </row>
    <row r="61" spans="1:4" ht="26" x14ac:dyDescent="0.2">
      <c r="A61" s="50" t="s">
        <v>206</v>
      </c>
      <c r="B61" s="51" t="s">
        <v>207</v>
      </c>
      <c r="C61" s="51" t="s">
        <v>208</v>
      </c>
      <c r="D61" s="51" t="s">
        <v>58</v>
      </c>
    </row>
    <row r="62" spans="1:4" ht="26" x14ac:dyDescent="0.2">
      <c r="A62" s="50" t="s">
        <v>209</v>
      </c>
      <c r="B62" s="51" t="s">
        <v>210</v>
      </c>
      <c r="C62" s="51" t="s">
        <v>211</v>
      </c>
      <c r="D62" s="51" t="s">
        <v>54</v>
      </c>
    </row>
    <row r="63" spans="1:4" ht="26" x14ac:dyDescent="0.2">
      <c r="A63" s="50" t="s">
        <v>212</v>
      </c>
      <c r="B63" s="51" t="s">
        <v>213</v>
      </c>
      <c r="C63" s="51" t="s">
        <v>214</v>
      </c>
      <c r="D63" s="51" t="s">
        <v>58</v>
      </c>
    </row>
    <row r="64" spans="1:4" ht="26" x14ac:dyDescent="0.2">
      <c r="A64" s="50" t="s">
        <v>215</v>
      </c>
      <c r="B64" s="51" t="s">
        <v>216</v>
      </c>
      <c r="C64" s="51" t="s">
        <v>217</v>
      </c>
      <c r="D64" s="51" t="s">
        <v>54</v>
      </c>
    </row>
    <row r="65" spans="1:4" ht="26" x14ac:dyDescent="0.2">
      <c r="A65" s="50" t="s">
        <v>218</v>
      </c>
      <c r="B65" s="51" t="s">
        <v>219</v>
      </c>
      <c r="C65" s="51" t="s">
        <v>220</v>
      </c>
      <c r="D65" s="51" t="s">
        <v>58</v>
      </c>
    </row>
    <row r="66" spans="1:4" ht="26" x14ac:dyDescent="0.2">
      <c r="A66" s="50" t="s">
        <v>221</v>
      </c>
      <c r="B66" s="51" t="s">
        <v>222</v>
      </c>
      <c r="C66" s="51" t="s">
        <v>223</v>
      </c>
      <c r="D66" s="51" t="s">
        <v>54</v>
      </c>
    </row>
    <row r="67" spans="1:4" ht="26" x14ac:dyDescent="0.2">
      <c r="A67" s="50" t="s">
        <v>224</v>
      </c>
      <c r="B67" s="51" t="s">
        <v>225</v>
      </c>
      <c r="C67" s="51" t="s">
        <v>226</v>
      </c>
      <c r="D67" s="51" t="s">
        <v>58</v>
      </c>
    </row>
    <row r="68" spans="1:4" ht="26" x14ac:dyDescent="0.2">
      <c r="A68" s="50" t="s">
        <v>227</v>
      </c>
      <c r="B68" s="51" t="s">
        <v>228</v>
      </c>
      <c r="C68" s="51" t="s">
        <v>229</v>
      </c>
      <c r="D68" s="51" t="s">
        <v>54</v>
      </c>
    </row>
    <row r="69" spans="1:4" ht="26" x14ac:dyDescent="0.2">
      <c r="A69" s="50" t="s">
        <v>230</v>
      </c>
      <c r="B69" s="51" t="s">
        <v>231</v>
      </c>
      <c r="C69" s="51" t="s">
        <v>232</v>
      </c>
      <c r="D69" s="51" t="s">
        <v>58</v>
      </c>
    </row>
    <row r="70" spans="1:4" ht="26" x14ac:dyDescent="0.2">
      <c r="A70" s="50" t="s">
        <v>233</v>
      </c>
      <c r="B70" s="51" t="s">
        <v>234</v>
      </c>
      <c r="C70" s="51" t="s">
        <v>235</v>
      </c>
      <c r="D70" s="51" t="s">
        <v>54</v>
      </c>
    </row>
    <row r="71" spans="1:4" ht="26" x14ac:dyDescent="0.2">
      <c r="A71" s="50" t="s">
        <v>236</v>
      </c>
      <c r="B71" s="51" t="s">
        <v>237</v>
      </c>
      <c r="C71" s="51" t="s">
        <v>238</v>
      </c>
      <c r="D71" s="51" t="s">
        <v>58</v>
      </c>
    </row>
    <row r="72" spans="1:4" ht="26" x14ac:dyDescent="0.2">
      <c r="A72" s="50" t="s">
        <v>239</v>
      </c>
      <c r="B72" s="51" t="s">
        <v>240</v>
      </c>
      <c r="C72" s="51" t="s">
        <v>241</v>
      </c>
      <c r="D72" s="51" t="s">
        <v>242</v>
      </c>
    </row>
    <row r="73" spans="1:4" ht="26" x14ac:dyDescent="0.2">
      <c r="A73" s="50" t="s">
        <v>243</v>
      </c>
      <c r="B73" s="51" t="s">
        <v>244</v>
      </c>
      <c r="C73" s="51" t="s">
        <v>245</v>
      </c>
      <c r="D73" s="51" t="s">
        <v>242</v>
      </c>
    </row>
    <row r="74" spans="1:4" ht="26" x14ac:dyDescent="0.2">
      <c r="A74" s="50" t="s">
        <v>246</v>
      </c>
      <c r="B74" s="51" t="s">
        <v>247</v>
      </c>
      <c r="C74" s="51" t="s">
        <v>248</v>
      </c>
      <c r="D74" s="51" t="s">
        <v>242</v>
      </c>
    </row>
    <row r="75" spans="1:4" ht="26" x14ac:dyDescent="0.2">
      <c r="A75" s="50" t="s">
        <v>249</v>
      </c>
      <c r="B75" s="51" t="s">
        <v>250</v>
      </c>
      <c r="C75" s="51" t="s">
        <v>251</v>
      </c>
      <c r="D75" s="51" t="s">
        <v>242</v>
      </c>
    </row>
    <row r="76" spans="1:4" ht="26" x14ac:dyDescent="0.2">
      <c r="A76" s="50" t="s">
        <v>252</v>
      </c>
      <c r="B76" s="51" t="s">
        <v>253</v>
      </c>
      <c r="C76" s="51" t="s">
        <v>254</v>
      </c>
      <c r="D76" s="51" t="s">
        <v>242</v>
      </c>
    </row>
    <row r="77" spans="1:4" ht="26" x14ac:dyDescent="0.2">
      <c r="A77" s="50" t="s">
        <v>255</v>
      </c>
      <c r="B77" s="51" t="s">
        <v>256</v>
      </c>
      <c r="C77" s="51" t="s">
        <v>257</v>
      </c>
      <c r="D77" s="51" t="s">
        <v>242</v>
      </c>
    </row>
    <row r="78" spans="1:4" ht="26" x14ac:dyDescent="0.2">
      <c r="A78" s="50" t="s">
        <v>258</v>
      </c>
      <c r="B78" s="51" t="s">
        <v>259</v>
      </c>
      <c r="C78" s="51" t="s">
        <v>260</v>
      </c>
      <c r="D78" s="51" t="s">
        <v>242</v>
      </c>
    </row>
    <row r="79" spans="1:4" ht="26" x14ac:dyDescent="0.2">
      <c r="A79" s="50" t="s">
        <v>261</v>
      </c>
      <c r="B79" s="51" t="s">
        <v>262</v>
      </c>
      <c r="C79" s="51" t="s">
        <v>263</v>
      </c>
      <c r="D79" s="51" t="s">
        <v>242</v>
      </c>
    </row>
    <row r="80" spans="1:4" ht="26" x14ac:dyDescent="0.2">
      <c r="A80" s="50" t="s">
        <v>264</v>
      </c>
      <c r="B80" s="51" t="s">
        <v>265</v>
      </c>
      <c r="C80" s="51" t="s">
        <v>266</v>
      </c>
      <c r="D80" s="51" t="s">
        <v>242</v>
      </c>
    </row>
    <row r="81" spans="1:4" ht="26" x14ac:dyDescent="0.2">
      <c r="A81" s="50" t="s">
        <v>267</v>
      </c>
      <c r="B81" s="51" t="s">
        <v>268</v>
      </c>
      <c r="C81" s="51" t="s">
        <v>269</v>
      </c>
      <c r="D81" s="51" t="s">
        <v>242</v>
      </c>
    </row>
    <row r="82" spans="1:4" ht="26" x14ac:dyDescent="0.2">
      <c r="A82" s="50" t="s">
        <v>270</v>
      </c>
      <c r="B82" s="51" t="s">
        <v>271</v>
      </c>
      <c r="C82" s="51" t="s">
        <v>272</v>
      </c>
      <c r="D82" s="51" t="s">
        <v>242</v>
      </c>
    </row>
    <row r="83" spans="1:4" ht="26" x14ac:dyDescent="0.2">
      <c r="A83" s="50" t="s">
        <v>273</v>
      </c>
      <c r="B83" s="51" t="s">
        <v>274</v>
      </c>
      <c r="C83" s="51" t="s">
        <v>275</v>
      </c>
      <c r="D83" s="51" t="s">
        <v>242</v>
      </c>
    </row>
    <row r="84" spans="1:4" ht="26" x14ac:dyDescent="0.2">
      <c r="A84" s="50" t="s">
        <v>276</v>
      </c>
      <c r="B84" s="51" t="s">
        <v>277</v>
      </c>
      <c r="C84" s="51" t="s">
        <v>278</v>
      </c>
      <c r="D84" s="51" t="s">
        <v>242</v>
      </c>
    </row>
    <row r="85" spans="1:4" ht="26" x14ac:dyDescent="0.2">
      <c r="A85" s="50" t="s">
        <v>279</v>
      </c>
      <c r="B85" s="51" t="s">
        <v>280</v>
      </c>
      <c r="C85" s="51" t="s">
        <v>281</v>
      </c>
      <c r="D85" s="51" t="s">
        <v>242</v>
      </c>
    </row>
    <row r="86" spans="1:4" ht="26" x14ac:dyDescent="0.2">
      <c r="A86" s="50" t="s">
        <v>282</v>
      </c>
      <c r="B86" s="51" t="s">
        <v>283</v>
      </c>
      <c r="C86" s="51" t="s">
        <v>284</v>
      </c>
      <c r="D86" s="51" t="s">
        <v>242</v>
      </c>
    </row>
    <row r="87" spans="1:4" ht="26" x14ac:dyDescent="0.2">
      <c r="A87" s="50" t="s">
        <v>285</v>
      </c>
      <c r="B87" s="51" t="s">
        <v>286</v>
      </c>
      <c r="C87" s="51" t="s">
        <v>287</v>
      </c>
      <c r="D87" s="51" t="s">
        <v>242</v>
      </c>
    </row>
    <row r="88" spans="1:4" ht="26" x14ac:dyDescent="0.2">
      <c r="A88" s="50" t="s">
        <v>288</v>
      </c>
      <c r="B88" s="51" t="s">
        <v>289</v>
      </c>
      <c r="C88" s="51" t="s">
        <v>290</v>
      </c>
      <c r="D88" s="51" t="s">
        <v>242</v>
      </c>
    </row>
    <row r="89" spans="1:4" ht="26" x14ac:dyDescent="0.2">
      <c r="A89" s="50" t="s">
        <v>291</v>
      </c>
      <c r="B89" s="51" t="s">
        <v>292</v>
      </c>
      <c r="C89" s="51" t="s">
        <v>293</v>
      </c>
      <c r="D89" s="51" t="s">
        <v>242</v>
      </c>
    </row>
    <row r="90" spans="1:4" ht="26" x14ac:dyDescent="0.2">
      <c r="A90" s="50" t="s">
        <v>294</v>
      </c>
      <c r="B90" s="51" t="s">
        <v>295</v>
      </c>
      <c r="C90" s="51" t="s">
        <v>296</v>
      </c>
      <c r="D90" s="51" t="s">
        <v>242</v>
      </c>
    </row>
    <row r="91" spans="1:4" ht="26" x14ac:dyDescent="0.2">
      <c r="A91" s="50" t="s">
        <v>297</v>
      </c>
      <c r="B91" s="51" t="s">
        <v>298</v>
      </c>
      <c r="C91" s="51" t="s">
        <v>299</v>
      </c>
      <c r="D91" s="51" t="s">
        <v>242</v>
      </c>
    </row>
    <row r="92" spans="1:4" ht="26" x14ac:dyDescent="0.2">
      <c r="A92" s="50" t="s">
        <v>300</v>
      </c>
      <c r="B92" s="51" t="s">
        <v>301</v>
      </c>
      <c r="C92" s="51" t="s">
        <v>302</v>
      </c>
      <c r="D92" s="51" t="s">
        <v>242</v>
      </c>
    </row>
    <row r="93" spans="1:4" ht="26" x14ac:dyDescent="0.2">
      <c r="A93" s="50" t="s">
        <v>303</v>
      </c>
      <c r="B93" s="51" t="s">
        <v>304</v>
      </c>
      <c r="C93" s="51" t="s">
        <v>305</v>
      </c>
      <c r="D93" s="51" t="s">
        <v>242</v>
      </c>
    </row>
    <row r="94" spans="1:4" ht="26" x14ac:dyDescent="0.2">
      <c r="A94" s="50" t="s">
        <v>306</v>
      </c>
      <c r="B94" s="51" t="s">
        <v>307</v>
      </c>
      <c r="C94" s="51" t="s">
        <v>308</v>
      </c>
      <c r="D94" s="51" t="s">
        <v>242</v>
      </c>
    </row>
    <row r="95" spans="1:4" ht="26" x14ac:dyDescent="0.2">
      <c r="A95" s="50" t="s">
        <v>309</v>
      </c>
      <c r="B95" s="51" t="s">
        <v>310</v>
      </c>
      <c r="C95" s="51" t="s">
        <v>311</v>
      </c>
      <c r="D95" s="51" t="s">
        <v>242</v>
      </c>
    </row>
    <row r="96" spans="1:4" ht="26" x14ac:dyDescent="0.2">
      <c r="A96" s="50" t="s">
        <v>312</v>
      </c>
      <c r="B96" s="51" t="s">
        <v>313</v>
      </c>
      <c r="C96" s="51" t="s">
        <v>314</v>
      </c>
      <c r="D96" s="51" t="s">
        <v>242</v>
      </c>
    </row>
    <row r="97" spans="1:4" ht="26" x14ac:dyDescent="0.2">
      <c r="A97" s="50" t="s">
        <v>315</v>
      </c>
      <c r="B97" s="51" t="s">
        <v>316</v>
      </c>
      <c r="C97" s="51" t="s">
        <v>317</v>
      </c>
      <c r="D97" s="51" t="s">
        <v>242</v>
      </c>
    </row>
    <row r="98" spans="1:4" ht="26" x14ac:dyDescent="0.2">
      <c r="A98" s="50" t="s">
        <v>318</v>
      </c>
      <c r="B98" s="51" t="s">
        <v>319</v>
      </c>
      <c r="C98" s="51" t="s">
        <v>320</v>
      </c>
      <c r="D98" s="51" t="s">
        <v>242</v>
      </c>
    </row>
    <row r="99" spans="1:4" ht="26" x14ac:dyDescent="0.2">
      <c r="A99" s="50" t="s">
        <v>321</v>
      </c>
      <c r="B99" s="51" t="s">
        <v>322</v>
      </c>
      <c r="C99" s="51" t="s">
        <v>323</v>
      </c>
      <c r="D99" s="51" t="s">
        <v>242</v>
      </c>
    </row>
    <row r="100" spans="1:4" ht="26" x14ac:dyDescent="0.2">
      <c r="A100" s="50" t="s">
        <v>324</v>
      </c>
      <c r="B100" s="51" t="s">
        <v>325</v>
      </c>
      <c r="C100" s="51" t="s">
        <v>326</v>
      </c>
      <c r="D100" s="51" t="s">
        <v>242</v>
      </c>
    </row>
    <row r="101" spans="1:4" ht="26" x14ac:dyDescent="0.2">
      <c r="A101" s="50" t="s">
        <v>327</v>
      </c>
      <c r="B101" s="51" t="s">
        <v>328</v>
      </c>
      <c r="C101" s="51" t="s">
        <v>329</v>
      </c>
      <c r="D101" s="51" t="s">
        <v>242</v>
      </c>
    </row>
    <row r="102" spans="1:4" ht="26" x14ac:dyDescent="0.2">
      <c r="A102" s="50" t="s">
        <v>330</v>
      </c>
      <c r="B102" s="51" t="s">
        <v>331</v>
      </c>
      <c r="C102" s="51" t="s">
        <v>332</v>
      </c>
      <c r="D102" s="51" t="s">
        <v>242</v>
      </c>
    </row>
    <row r="103" spans="1:4" x14ac:dyDescent="0.2">
      <c r="A103" s="50" t="s">
        <v>333</v>
      </c>
      <c r="B103" s="51" t="s">
        <v>334</v>
      </c>
      <c r="C103" s="51" t="s">
        <v>24</v>
      </c>
      <c r="D103" s="51" t="s">
        <v>335</v>
      </c>
    </row>
    <row r="104" spans="1:4" x14ac:dyDescent="0.2">
      <c r="A104" s="50" t="s">
        <v>336</v>
      </c>
      <c r="B104" s="51" t="s">
        <v>337</v>
      </c>
      <c r="C104" s="51" t="s">
        <v>338</v>
      </c>
      <c r="D104" s="51" t="s">
        <v>339</v>
      </c>
    </row>
    <row r="105" spans="1:4" x14ac:dyDescent="0.2">
      <c r="A105" s="50" t="s">
        <v>340</v>
      </c>
      <c r="B105" s="51" t="s">
        <v>341</v>
      </c>
      <c r="C105" s="51" t="s">
        <v>341</v>
      </c>
      <c r="D105" s="51" t="s">
        <v>339</v>
      </c>
    </row>
    <row r="106" spans="1:4" x14ac:dyDescent="0.2">
      <c r="A106" s="50" t="s">
        <v>342</v>
      </c>
      <c r="B106" s="51" t="s">
        <v>343</v>
      </c>
      <c r="C106" s="51" t="s">
        <v>344</v>
      </c>
      <c r="D106" s="51" t="s">
        <v>345</v>
      </c>
    </row>
    <row r="107" spans="1:4" ht="26" x14ac:dyDescent="0.2">
      <c r="A107" s="50" t="s">
        <v>346</v>
      </c>
      <c r="B107" s="51" t="s">
        <v>347</v>
      </c>
      <c r="C107" s="51" t="s">
        <v>348</v>
      </c>
      <c r="D107" s="51" t="s">
        <v>349</v>
      </c>
    </row>
    <row r="108" spans="1:4" x14ac:dyDescent="0.2">
      <c r="A108" s="50" t="s">
        <v>350</v>
      </c>
      <c r="B108" s="51" t="s">
        <v>351</v>
      </c>
      <c r="C108" s="51" t="s">
        <v>352</v>
      </c>
      <c r="D108" s="51" t="s">
        <v>345</v>
      </c>
    </row>
    <row r="109" spans="1:4" ht="26" x14ac:dyDescent="0.2">
      <c r="A109" s="50" t="s">
        <v>353</v>
      </c>
      <c r="B109" s="51" t="s">
        <v>354</v>
      </c>
      <c r="C109" s="51" t="s">
        <v>355</v>
      </c>
      <c r="D109" s="51" t="s">
        <v>349</v>
      </c>
    </row>
    <row r="110" spans="1:4" x14ac:dyDescent="0.2">
      <c r="A110" s="50" t="s">
        <v>356</v>
      </c>
      <c r="B110" s="51" t="s">
        <v>357</v>
      </c>
      <c r="C110" s="51" t="s">
        <v>358</v>
      </c>
      <c r="D110" s="51" t="s">
        <v>345</v>
      </c>
    </row>
    <row r="111" spans="1:4" ht="26" x14ac:dyDescent="0.2">
      <c r="A111" s="50" t="s">
        <v>359</v>
      </c>
      <c r="B111" s="51" t="s">
        <v>360</v>
      </c>
      <c r="C111" s="51" t="s">
        <v>361</v>
      </c>
      <c r="D111" s="51" t="s">
        <v>349</v>
      </c>
    </row>
    <row r="112" spans="1:4" x14ac:dyDescent="0.2">
      <c r="A112" s="50" t="s">
        <v>362</v>
      </c>
      <c r="B112" s="51" t="s">
        <v>363</v>
      </c>
      <c r="C112" s="51" t="s">
        <v>364</v>
      </c>
      <c r="D112" s="51" t="s">
        <v>345</v>
      </c>
    </row>
    <row r="113" spans="1:4" ht="26" x14ac:dyDescent="0.2">
      <c r="A113" s="50" t="s">
        <v>365</v>
      </c>
      <c r="B113" s="51" t="s">
        <v>366</v>
      </c>
      <c r="C113" s="51" t="s">
        <v>367</v>
      </c>
      <c r="D113" s="51" t="s">
        <v>349</v>
      </c>
    </row>
    <row r="114" spans="1:4" x14ac:dyDescent="0.2">
      <c r="A114" s="50" t="s">
        <v>368</v>
      </c>
      <c r="B114" s="51" t="s">
        <v>369</v>
      </c>
      <c r="C114" s="51" t="s">
        <v>370</v>
      </c>
      <c r="D114" s="51" t="s">
        <v>345</v>
      </c>
    </row>
    <row r="115" spans="1:4" ht="26" x14ac:dyDescent="0.2">
      <c r="A115" s="50" t="s">
        <v>371</v>
      </c>
      <c r="B115" s="51" t="s">
        <v>372</v>
      </c>
      <c r="C115" s="51" t="s">
        <v>373</v>
      </c>
      <c r="D115" s="51" t="s">
        <v>349</v>
      </c>
    </row>
    <row r="116" spans="1:4" x14ac:dyDescent="0.2">
      <c r="A116" s="50" t="s">
        <v>374</v>
      </c>
      <c r="B116" s="51" t="s">
        <v>375</v>
      </c>
      <c r="C116" s="51" t="s">
        <v>376</v>
      </c>
      <c r="D116" s="51" t="s">
        <v>345</v>
      </c>
    </row>
    <row r="117" spans="1:4" ht="26" x14ac:dyDescent="0.2">
      <c r="A117" s="50" t="s">
        <v>377</v>
      </c>
      <c r="B117" s="51" t="s">
        <v>378</v>
      </c>
      <c r="C117" s="51" t="s">
        <v>379</v>
      </c>
      <c r="D117" s="51" t="s">
        <v>349</v>
      </c>
    </row>
    <row r="118" spans="1:4" x14ac:dyDescent="0.2">
      <c r="A118" s="50" t="s">
        <v>380</v>
      </c>
      <c r="B118" s="51" t="s">
        <v>381</v>
      </c>
      <c r="C118" s="51" t="s">
        <v>382</v>
      </c>
      <c r="D118" s="51" t="s">
        <v>345</v>
      </c>
    </row>
    <row r="119" spans="1:4" ht="26" x14ac:dyDescent="0.2">
      <c r="A119" s="50" t="s">
        <v>383</v>
      </c>
      <c r="B119" s="51" t="s">
        <v>384</v>
      </c>
      <c r="C119" s="51" t="s">
        <v>385</v>
      </c>
      <c r="D119" s="51" t="s">
        <v>349</v>
      </c>
    </row>
    <row r="120" spans="1:4" x14ac:dyDescent="0.2">
      <c r="A120" s="50" t="s">
        <v>386</v>
      </c>
      <c r="B120" s="51" t="s">
        <v>387</v>
      </c>
      <c r="C120" s="51" t="s">
        <v>388</v>
      </c>
      <c r="D120" s="51" t="s">
        <v>345</v>
      </c>
    </row>
    <row r="121" spans="1:4" ht="26" x14ac:dyDescent="0.2">
      <c r="A121" s="50" t="s">
        <v>389</v>
      </c>
      <c r="B121" s="51" t="s">
        <v>390</v>
      </c>
      <c r="C121" s="51" t="s">
        <v>391</v>
      </c>
      <c r="D121" s="51" t="s">
        <v>349</v>
      </c>
    </row>
    <row r="122" spans="1:4" x14ac:dyDescent="0.2">
      <c r="A122" s="50" t="s">
        <v>392</v>
      </c>
      <c r="B122" s="51" t="s">
        <v>393</v>
      </c>
      <c r="C122" s="51" t="s">
        <v>394</v>
      </c>
      <c r="D122" s="51" t="s">
        <v>345</v>
      </c>
    </row>
    <row r="123" spans="1:4" ht="26" x14ac:dyDescent="0.2">
      <c r="A123" s="50" t="s">
        <v>395</v>
      </c>
      <c r="B123" s="51" t="s">
        <v>396</v>
      </c>
      <c r="C123" s="51" t="s">
        <v>397</v>
      </c>
      <c r="D123" s="51" t="s">
        <v>349</v>
      </c>
    </row>
    <row r="124" spans="1:4" x14ac:dyDescent="0.2">
      <c r="A124" s="50" t="s">
        <v>398</v>
      </c>
      <c r="B124" s="51" t="s">
        <v>399</v>
      </c>
      <c r="C124" s="51" t="s">
        <v>400</v>
      </c>
      <c r="D124" s="51" t="s">
        <v>345</v>
      </c>
    </row>
    <row r="125" spans="1:4" ht="26" x14ac:dyDescent="0.2">
      <c r="A125" s="50" t="s">
        <v>401</v>
      </c>
      <c r="B125" s="51" t="s">
        <v>402</v>
      </c>
      <c r="C125" s="51" t="s">
        <v>403</v>
      </c>
      <c r="D125" s="51" t="s">
        <v>349</v>
      </c>
    </row>
    <row r="126" spans="1:4" x14ac:dyDescent="0.2">
      <c r="A126" s="50" t="s">
        <v>404</v>
      </c>
      <c r="B126" s="51" t="s">
        <v>405</v>
      </c>
      <c r="C126" s="51" t="s">
        <v>406</v>
      </c>
      <c r="D126" s="51" t="s">
        <v>345</v>
      </c>
    </row>
    <row r="127" spans="1:4" ht="26" x14ac:dyDescent="0.2">
      <c r="A127" s="50" t="s">
        <v>407</v>
      </c>
      <c r="B127" s="51" t="s">
        <v>408</v>
      </c>
      <c r="C127" s="51" t="s">
        <v>409</v>
      </c>
      <c r="D127" s="51" t="s">
        <v>349</v>
      </c>
    </row>
    <row r="128" spans="1:4" x14ac:dyDescent="0.2">
      <c r="A128" s="50" t="s">
        <v>410</v>
      </c>
      <c r="B128" s="51" t="s">
        <v>411</v>
      </c>
      <c r="C128" s="51" t="s">
        <v>412</v>
      </c>
      <c r="D128" s="51" t="s">
        <v>345</v>
      </c>
    </row>
    <row r="129" spans="1:4" ht="26" x14ac:dyDescent="0.2">
      <c r="A129" s="50" t="s">
        <v>413</v>
      </c>
      <c r="B129" s="51" t="s">
        <v>414</v>
      </c>
      <c r="C129" s="51" t="s">
        <v>415</v>
      </c>
      <c r="D129" s="51" t="s">
        <v>349</v>
      </c>
    </row>
    <row r="130" spans="1:4" x14ac:dyDescent="0.2">
      <c r="A130" s="50" t="s">
        <v>416</v>
      </c>
      <c r="B130" s="51" t="s">
        <v>417</v>
      </c>
      <c r="C130" s="51" t="s">
        <v>418</v>
      </c>
      <c r="D130" s="51" t="s">
        <v>345</v>
      </c>
    </row>
    <row r="131" spans="1:4" ht="26" x14ac:dyDescent="0.2">
      <c r="A131" s="50" t="s">
        <v>419</v>
      </c>
      <c r="B131" s="51" t="s">
        <v>420</v>
      </c>
      <c r="C131" s="51" t="s">
        <v>421</v>
      </c>
      <c r="D131" s="51" t="s">
        <v>349</v>
      </c>
    </row>
    <row r="132" spans="1:4" x14ac:dyDescent="0.2">
      <c r="A132" s="50" t="s">
        <v>422</v>
      </c>
      <c r="B132" s="51" t="s">
        <v>423</v>
      </c>
      <c r="C132" s="51" t="s">
        <v>424</v>
      </c>
      <c r="D132" s="51" t="s">
        <v>345</v>
      </c>
    </row>
    <row r="133" spans="1:4" ht="26" x14ac:dyDescent="0.2">
      <c r="A133" s="50" t="s">
        <v>425</v>
      </c>
      <c r="B133" s="51" t="s">
        <v>426</v>
      </c>
      <c r="C133" s="51" t="s">
        <v>427</v>
      </c>
      <c r="D133" s="51" t="s">
        <v>349</v>
      </c>
    </row>
    <row r="134" spans="1:4" x14ac:dyDescent="0.2">
      <c r="A134" s="50" t="s">
        <v>428</v>
      </c>
      <c r="B134" s="51" t="s">
        <v>429</v>
      </c>
      <c r="C134" s="51" t="s">
        <v>430</v>
      </c>
      <c r="D134" s="51" t="s">
        <v>345</v>
      </c>
    </row>
    <row r="135" spans="1:4" ht="26" x14ac:dyDescent="0.2">
      <c r="A135" s="50" t="s">
        <v>431</v>
      </c>
      <c r="B135" s="51" t="s">
        <v>432</v>
      </c>
      <c r="C135" s="51" t="s">
        <v>433</v>
      </c>
      <c r="D135" s="51" t="s">
        <v>349</v>
      </c>
    </row>
    <row r="136" spans="1:4" x14ac:dyDescent="0.2">
      <c r="A136" s="50" t="s">
        <v>434</v>
      </c>
      <c r="B136" s="51" t="s">
        <v>435</v>
      </c>
      <c r="C136" s="51" t="s">
        <v>436</v>
      </c>
      <c r="D136" s="51" t="s">
        <v>345</v>
      </c>
    </row>
    <row r="137" spans="1:4" ht="26" x14ac:dyDescent="0.2">
      <c r="A137" s="50" t="s">
        <v>437</v>
      </c>
      <c r="B137" s="51" t="s">
        <v>438</v>
      </c>
      <c r="C137" s="51" t="s">
        <v>439</v>
      </c>
      <c r="D137" s="51" t="s">
        <v>349</v>
      </c>
    </row>
    <row r="138" spans="1:4" x14ac:dyDescent="0.2">
      <c r="A138" s="50" t="s">
        <v>440</v>
      </c>
      <c r="B138" s="51" t="s">
        <v>441</v>
      </c>
      <c r="C138" s="51" t="s">
        <v>442</v>
      </c>
      <c r="D138" s="51" t="s">
        <v>345</v>
      </c>
    </row>
    <row r="139" spans="1:4" ht="26" x14ac:dyDescent="0.2">
      <c r="A139" s="50" t="s">
        <v>443</v>
      </c>
      <c r="B139" s="51" t="s">
        <v>444</v>
      </c>
      <c r="C139" s="51" t="s">
        <v>445</v>
      </c>
      <c r="D139" s="51" t="s">
        <v>349</v>
      </c>
    </row>
    <row r="140" spans="1:4" x14ac:dyDescent="0.2">
      <c r="A140" s="50" t="s">
        <v>446</v>
      </c>
      <c r="B140" s="51" t="s">
        <v>447</v>
      </c>
      <c r="C140" s="51" t="s">
        <v>448</v>
      </c>
      <c r="D140" s="51" t="s">
        <v>345</v>
      </c>
    </row>
    <row r="141" spans="1:4" ht="26" x14ac:dyDescent="0.2">
      <c r="A141" s="50" t="s">
        <v>449</v>
      </c>
      <c r="B141" s="51" t="s">
        <v>450</v>
      </c>
      <c r="C141" s="51" t="s">
        <v>451</v>
      </c>
      <c r="D141" s="51" t="s">
        <v>349</v>
      </c>
    </row>
    <row r="142" spans="1:4" x14ac:dyDescent="0.2">
      <c r="A142" s="50" t="s">
        <v>452</v>
      </c>
      <c r="B142" s="51" t="s">
        <v>453</v>
      </c>
      <c r="C142" s="51" t="s">
        <v>454</v>
      </c>
      <c r="D142" s="51" t="s">
        <v>345</v>
      </c>
    </row>
    <row r="143" spans="1:4" ht="26" x14ac:dyDescent="0.2">
      <c r="A143" s="50" t="s">
        <v>455</v>
      </c>
      <c r="B143" s="51" t="s">
        <v>456</v>
      </c>
      <c r="C143" s="51" t="s">
        <v>457</v>
      </c>
      <c r="D143" s="51" t="s">
        <v>349</v>
      </c>
    </row>
    <row r="144" spans="1:4" x14ac:dyDescent="0.2">
      <c r="A144" s="50" t="s">
        <v>458</v>
      </c>
      <c r="B144" s="51" t="s">
        <v>459</v>
      </c>
      <c r="C144" s="51" t="s">
        <v>460</v>
      </c>
      <c r="D144" s="51" t="s">
        <v>345</v>
      </c>
    </row>
    <row r="145" spans="1:4" ht="26" x14ac:dyDescent="0.2">
      <c r="A145" s="50" t="s">
        <v>461</v>
      </c>
      <c r="B145" s="51" t="s">
        <v>462</v>
      </c>
      <c r="C145" s="51" t="s">
        <v>463</v>
      </c>
      <c r="D145" s="51" t="s">
        <v>349</v>
      </c>
    </row>
    <row r="146" spans="1:4" x14ac:dyDescent="0.2">
      <c r="A146" s="50" t="s">
        <v>464</v>
      </c>
      <c r="B146" s="51" t="s">
        <v>465</v>
      </c>
      <c r="C146" s="51" t="s">
        <v>466</v>
      </c>
      <c r="D146" s="51" t="s">
        <v>345</v>
      </c>
    </row>
    <row r="147" spans="1:4" ht="26" x14ac:dyDescent="0.2">
      <c r="A147" s="50" t="s">
        <v>467</v>
      </c>
      <c r="B147" s="51" t="s">
        <v>468</v>
      </c>
      <c r="C147" s="51" t="s">
        <v>469</v>
      </c>
      <c r="D147" s="51" t="s">
        <v>349</v>
      </c>
    </row>
    <row r="148" spans="1:4" x14ac:dyDescent="0.2">
      <c r="A148" s="50" t="s">
        <v>470</v>
      </c>
      <c r="B148" s="51" t="s">
        <v>471</v>
      </c>
      <c r="C148" s="51" t="s">
        <v>472</v>
      </c>
      <c r="D148" s="51" t="s">
        <v>345</v>
      </c>
    </row>
    <row r="149" spans="1:4" ht="26" x14ac:dyDescent="0.2">
      <c r="A149" s="50" t="s">
        <v>473</v>
      </c>
      <c r="B149" s="51" t="s">
        <v>474</v>
      </c>
      <c r="C149" s="51" t="s">
        <v>475</v>
      </c>
      <c r="D149" s="51" t="s">
        <v>349</v>
      </c>
    </row>
    <row r="150" spans="1:4" x14ac:dyDescent="0.2">
      <c r="A150" s="50" t="s">
        <v>476</v>
      </c>
      <c r="B150" s="51" t="s">
        <v>477</v>
      </c>
      <c r="C150" s="51" t="s">
        <v>478</v>
      </c>
      <c r="D150" s="51" t="s">
        <v>345</v>
      </c>
    </row>
    <row r="151" spans="1:4" ht="26" x14ac:dyDescent="0.2">
      <c r="A151" s="50" t="s">
        <v>479</v>
      </c>
      <c r="B151" s="51" t="s">
        <v>480</v>
      </c>
      <c r="C151" s="51" t="s">
        <v>481</v>
      </c>
      <c r="D151" s="51" t="s">
        <v>349</v>
      </c>
    </row>
    <row r="152" spans="1:4" x14ac:dyDescent="0.2">
      <c r="A152" s="50" t="s">
        <v>482</v>
      </c>
      <c r="B152" s="51" t="s">
        <v>483</v>
      </c>
      <c r="C152" s="51" t="s">
        <v>484</v>
      </c>
      <c r="D152" s="51" t="s">
        <v>345</v>
      </c>
    </row>
    <row r="153" spans="1:4" ht="26" x14ac:dyDescent="0.2">
      <c r="A153" s="50" t="s">
        <v>485</v>
      </c>
      <c r="B153" s="51" t="s">
        <v>486</v>
      </c>
      <c r="C153" s="51" t="s">
        <v>487</v>
      </c>
      <c r="D153" s="51" t="s">
        <v>349</v>
      </c>
    </row>
    <row r="154" spans="1:4" x14ac:dyDescent="0.2">
      <c r="A154" s="50" t="s">
        <v>488</v>
      </c>
      <c r="B154" s="51" t="s">
        <v>489</v>
      </c>
      <c r="C154" s="51" t="s">
        <v>490</v>
      </c>
      <c r="D154" s="51" t="s">
        <v>345</v>
      </c>
    </row>
    <row r="155" spans="1:4" ht="26" x14ac:dyDescent="0.2">
      <c r="A155" s="50" t="s">
        <v>491</v>
      </c>
      <c r="B155" s="51" t="s">
        <v>492</v>
      </c>
      <c r="C155" s="51" t="s">
        <v>493</v>
      </c>
      <c r="D155" s="51" t="s">
        <v>349</v>
      </c>
    </row>
    <row r="156" spans="1:4" x14ac:dyDescent="0.2">
      <c r="A156" s="50" t="s">
        <v>494</v>
      </c>
      <c r="B156" s="51" t="s">
        <v>495</v>
      </c>
      <c r="C156" s="51" t="s">
        <v>496</v>
      </c>
      <c r="D156" s="51" t="s">
        <v>345</v>
      </c>
    </row>
    <row r="157" spans="1:4" ht="26" x14ac:dyDescent="0.2">
      <c r="A157" s="50" t="s">
        <v>497</v>
      </c>
      <c r="B157" s="51" t="s">
        <v>498</v>
      </c>
      <c r="C157" s="51" t="s">
        <v>499</v>
      </c>
      <c r="D157" s="51" t="s">
        <v>349</v>
      </c>
    </row>
    <row r="158" spans="1:4" x14ac:dyDescent="0.2">
      <c r="A158" s="50" t="s">
        <v>500</v>
      </c>
      <c r="B158" s="51" t="s">
        <v>501</v>
      </c>
      <c r="C158" s="51" t="s">
        <v>502</v>
      </c>
      <c r="D158" s="51" t="s">
        <v>345</v>
      </c>
    </row>
    <row r="159" spans="1:4" ht="26" x14ac:dyDescent="0.2">
      <c r="A159" s="50" t="s">
        <v>503</v>
      </c>
      <c r="B159" s="51" t="s">
        <v>504</v>
      </c>
      <c r="C159" s="51" t="s">
        <v>505</v>
      </c>
      <c r="D159" s="51" t="s">
        <v>349</v>
      </c>
    </row>
    <row r="160" spans="1:4" x14ac:dyDescent="0.2">
      <c r="A160" s="50" t="s">
        <v>506</v>
      </c>
      <c r="B160" s="51" t="s">
        <v>507</v>
      </c>
      <c r="C160" s="51" t="s">
        <v>508</v>
      </c>
      <c r="D160" s="51" t="s">
        <v>345</v>
      </c>
    </row>
    <row r="161" spans="1:4" ht="26" x14ac:dyDescent="0.2">
      <c r="A161" s="50" t="s">
        <v>509</v>
      </c>
      <c r="B161" s="51" t="s">
        <v>510</v>
      </c>
      <c r="C161" s="51" t="s">
        <v>511</v>
      </c>
      <c r="D161" s="51" t="s">
        <v>349</v>
      </c>
    </row>
    <row r="162" spans="1:4" x14ac:dyDescent="0.2">
      <c r="A162" s="50" t="s">
        <v>512</v>
      </c>
      <c r="B162" s="51" t="s">
        <v>513</v>
      </c>
      <c r="C162" s="51" t="s">
        <v>514</v>
      </c>
      <c r="D162" s="51" t="s">
        <v>345</v>
      </c>
    </row>
    <row r="163" spans="1:4" ht="26" x14ac:dyDescent="0.2">
      <c r="A163" s="50" t="s">
        <v>515</v>
      </c>
      <c r="B163" s="51" t="s">
        <v>516</v>
      </c>
      <c r="C163" s="51" t="s">
        <v>517</v>
      </c>
      <c r="D163" s="51" t="s">
        <v>349</v>
      </c>
    </row>
    <row r="164" spans="1:4" x14ac:dyDescent="0.2">
      <c r="A164" s="50" t="s">
        <v>518</v>
      </c>
      <c r="B164" s="51" t="s">
        <v>519</v>
      </c>
      <c r="C164" s="51" t="s">
        <v>520</v>
      </c>
      <c r="D164" s="51" t="s">
        <v>345</v>
      </c>
    </row>
    <row r="165" spans="1:4" ht="26" x14ac:dyDescent="0.2">
      <c r="A165" s="50" t="s">
        <v>521</v>
      </c>
      <c r="B165" s="51" t="s">
        <v>522</v>
      </c>
      <c r="C165" s="51" t="s">
        <v>523</v>
      </c>
      <c r="D165" s="51" t="s">
        <v>349</v>
      </c>
    </row>
    <row r="166" spans="1:4" x14ac:dyDescent="0.2">
      <c r="A166" s="50" t="s">
        <v>524</v>
      </c>
      <c r="B166" s="51" t="s">
        <v>525</v>
      </c>
      <c r="C166" s="51" t="s">
        <v>526</v>
      </c>
      <c r="D166" s="51" t="s">
        <v>345</v>
      </c>
    </row>
    <row r="167" spans="1:4" ht="26" x14ac:dyDescent="0.2">
      <c r="A167" s="50" t="s">
        <v>527</v>
      </c>
      <c r="B167" s="51" t="s">
        <v>528</v>
      </c>
      <c r="C167" s="51" t="s">
        <v>529</v>
      </c>
      <c r="D167" s="51" t="s">
        <v>349</v>
      </c>
    </row>
    <row r="168" spans="1:4" x14ac:dyDescent="0.2">
      <c r="A168" s="50" t="s">
        <v>530</v>
      </c>
      <c r="B168" s="51" t="s">
        <v>531</v>
      </c>
      <c r="C168" s="51" t="s">
        <v>532</v>
      </c>
      <c r="D168" s="51" t="s">
        <v>533</v>
      </c>
    </row>
    <row r="169" spans="1:4" x14ac:dyDescent="0.2">
      <c r="A169" s="50" t="s">
        <v>534</v>
      </c>
      <c r="B169" s="51" t="s">
        <v>535</v>
      </c>
      <c r="C169" s="51" t="s">
        <v>536</v>
      </c>
      <c r="D169" s="51" t="s">
        <v>533</v>
      </c>
    </row>
    <row r="170" spans="1:4" x14ac:dyDescent="0.2">
      <c r="A170" s="50" t="s">
        <v>537</v>
      </c>
      <c r="B170" s="51" t="s">
        <v>538</v>
      </c>
      <c r="C170" s="51" t="s">
        <v>539</v>
      </c>
      <c r="D170" s="51" t="s">
        <v>533</v>
      </c>
    </row>
    <row r="171" spans="1:4" x14ac:dyDescent="0.2">
      <c r="A171" s="50" t="s">
        <v>540</v>
      </c>
      <c r="B171" s="51" t="s">
        <v>541</v>
      </c>
      <c r="C171" s="51" t="s">
        <v>542</v>
      </c>
      <c r="D171" s="51" t="s">
        <v>533</v>
      </c>
    </row>
    <row r="172" spans="1:4" x14ac:dyDescent="0.2">
      <c r="A172" s="50" t="s">
        <v>543</v>
      </c>
      <c r="B172" s="51" t="s">
        <v>544</v>
      </c>
      <c r="C172" s="51" t="s">
        <v>545</v>
      </c>
      <c r="D172" s="51" t="s">
        <v>546</v>
      </c>
    </row>
    <row r="173" spans="1:4" x14ac:dyDescent="0.2">
      <c r="A173" s="50" t="s">
        <v>547</v>
      </c>
      <c r="B173" s="51" t="s">
        <v>548</v>
      </c>
      <c r="C173" s="51" t="s">
        <v>549</v>
      </c>
      <c r="D173" s="51" t="s">
        <v>546</v>
      </c>
    </row>
    <row r="174" spans="1:4" x14ac:dyDescent="0.2">
      <c r="A174" s="50" t="s">
        <v>550</v>
      </c>
      <c r="B174" s="51" t="s">
        <v>551</v>
      </c>
      <c r="C174" s="51" t="s">
        <v>552</v>
      </c>
      <c r="D174" s="51" t="s">
        <v>546</v>
      </c>
    </row>
    <row r="175" spans="1:4" x14ac:dyDescent="0.2">
      <c r="A175" s="50" t="s">
        <v>553</v>
      </c>
      <c r="B175" s="51" t="s">
        <v>554</v>
      </c>
      <c r="C175" s="51" t="s">
        <v>555</v>
      </c>
      <c r="D175" s="51" t="s">
        <v>546</v>
      </c>
    </row>
    <row r="176" spans="1:4" x14ac:dyDescent="0.2">
      <c r="A176" s="50" t="s">
        <v>556</v>
      </c>
      <c r="B176" s="51" t="s">
        <v>557</v>
      </c>
      <c r="C176" s="51" t="s">
        <v>558</v>
      </c>
      <c r="D176" s="51" t="s">
        <v>559</v>
      </c>
    </row>
    <row r="177" spans="1:4" x14ac:dyDescent="0.2">
      <c r="A177" s="50" t="s">
        <v>560</v>
      </c>
      <c r="B177" s="51" t="s">
        <v>561</v>
      </c>
      <c r="C177" s="51" t="s">
        <v>562</v>
      </c>
      <c r="D177" s="51" t="s">
        <v>559</v>
      </c>
    </row>
    <row r="178" spans="1:4" x14ac:dyDescent="0.2">
      <c r="A178" s="50" t="s">
        <v>563</v>
      </c>
      <c r="B178" s="51" t="s">
        <v>564</v>
      </c>
      <c r="C178" s="51" t="s">
        <v>565</v>
      </c>
      <c r="D178" s="51" t="s">
        <v>559</v>
      </c>
    </row>
    <row r="179" spans="1:4" x14ac:dyDescent="0.2">
      <c r="A179" s="50" t="s">
        <v>566</v>
      </c>
      <c r="B179" s="51" t="s">
        <v>567</v>
      </c>
      <c r="C179" s="51" t="s">
        <v>568</v>
      </c>
      <c r="D179" s="51" t="s">
        <v>559</v>
      </c>
    </row>
    <row r="180" spans="1:4" x14ac:dyDescent="0.2">
      <c r="A180" s="50" t="s">
        <v>569</v>
      </c>
      <c r="B180" s="51" t="s">
        <v>570</v>
      </c>
      <c r="C180" s="51" t="s">
        <v>571</v>
      </c>
      <c r="D180" s="51" t="s">
        <v>572</v>
      </c>
    </row>
    <row r="181" spans="1:4" x14ac:dyDescent="0.2">
      <c r="A181" s="50" t="s">
        <v>573</v>
      </c>
      <c r="B181" s="51" t="s">
        <v>574</v>
      </c>
      <c r="C181" s="51" t="s">
        <v>575</v>
      </c>
      <c r="D181" s="51" t="s">
        <v>572</v>
      </c>
    </row>
    <row r="182" spans="1:4" x14ac:dyDescent="0.2">
      <c r="A182" s="50" t="s">
        <v>576</v>
      </c>
      <c r="B182" s="51" t="s">
        <v>577</v>
      </c>
      <c r="C182" s="51" t="s">
        <v>578</v>
      </c>
      <c r="D182" s="51" t="s">
        <v>572</v>
      </c>
    </row>
    <row r="183" spans="1:4" x14ac:dyDescent="0.2">
      <c r="A183" s="50" t="s">
        <v>579</v>
      </c>
      <c r="B183" s="51" t="s">
        <v>580</v>
      </c>
      <c r="C183" s="51" t="s">
        <v>581</v>
      </c>
      <c r="D183" s="51" t="s">
        <v>572</v>
      </c>
    </row>
    <row r="184" spans="1:4" x14ac:dyDescent="0.2">
      <c r="A184" s="50" t="s">
        <v>582</v>
      </c>
      <c r="B184" s="51" t="s">
        <v>583</v>
      </c>
      <c r="C184" s="51" t="s">
        <v>584</v>
      </c>
      <c r="D184" s="51" t="s">
        <v>585</v>
      </c>
    </row>
    <row r="185" spans="1:4" x14ac:dyDescent="0.2">
      <c r="A185" s="50" t="s">
        <v>586</v>
      </c>
      <c r="B185" s="51" t="s">
        <v>587</v>
      </c>
      <c r="C185" s="51" t="s">
        <v>588</v>
      </c>
      <c r="D185" s="51" t="s">
        <v>585</v>
      </c>
    </row>
    <row r="186" spans="1:4" x14ac:dyDescent="0.2">
      <c r="A186" s="50" t="s">
        <v>589</v>
      </c>
      <c r="B186" s="51" t="s">
        <v>590</v>
      </c>
      <c r="C186" s="51" t="s">
        <v>591</v>
      </c>
      <c r="D186" s="51" t="s">
        <v>585</v>
      </c>
    </row>
    <row r="187" spans="1:4" x14ac:dyDescent="0.2">
      <c r="A187" s="50" t="s">
        <v>592</v>
      </c>
      <c r="B187" s="51" t="s">
        <v>593</v>
      </c>
      <c r="C187" s="51" t="s">
        <v>594</v>
      </c>
      <c r="D187" s="51" t="s">
        <v>585</v>
      </c>
    </row>
    <row r="188" spans="1:4" x14ac:dyDescent="0.2">
      <c r="A188" s="50" t="s">
        <v>595</v>
      </c>
      <c r="B188" s="51" t="s">
        <v>596</v>
      </c>
      <c r="C188" s="51" t="s">
        <v>597</v>
      </c>
      <c r="D188" s="51" t="s">
        <v>598</v>
      </c>
    </row>
    <row r="189" spans="1:4" x14ac:dyDescent="0.2">
      <c r="A189" s="50" t="s">
        <v>599</v>
      </c>
      <c r="B189" s="51" t="s">
        <v>600</v>
      </c>
      <c r="C189" s="51" t="s">
        <v>601</v>
      </c>
      <c r="D189" s="51" t="s">
        <v>598</v>
      </c>
    </row>
    <row r="190" spans="1:4" x14ac:dyDescent="0.2">
      <c r="A190" s="50" t="s">
        <v>602</v>
      </c>
      <c r="B190" s="51" t="s">
        <v>603</v>
      </c>
      <c r="C190" s="51" t="s">
        <v>604</v>
      </c>
      <c r="D190" s="51" t="s">
        <v>598</v>
      </c>
    </row>
    <row r="191" spans="1:4" x14ac:dyDescent="0.2">
      <c r="A191" s="50" t="s">
        <v>605</v>
      </c>
      <c r="B191" s="51" t="s">
        <v>606</v>
      </c>
      <c r="C191" s="51" t="s">
        <v>607</v>
      </c>
      <c r="D191" s="51" t="s">
        <v>598</v>
      </c>
    </row>
    <row r="192" spans="1:4" x14ac:dyDescent="0.2">
      <c r="A192" s="50" t="s">
        <v>608</v>
      </c>
      <c r="B192" s="51" t="s">
        <v>609</v>
      </c>
      <c r="C192" s="51" t="s">
        <v>610</v>
      </c>
      <c r="D192" s="51" t="s">
        <v>611</v>
      </c>
    </row>
    <row r="193" spans="1:4" x14ac:dyDescent="0.2">
      <c r="A193" s="50" t="s">
        <v>612</v>
      </c>
      <c r="B193" s="51" t="s">
        <v>613</v>
      </c>
      <c r="C193" s="51" t="s">
        <v>614</v>
      </c>
      <c r="D193" s="51" t="s">
        <v>611</v>
      </c>
    </row>
    <row r="194" spans="1:4" x14ac:dyDescent="0.2">
      <c r="A194" s="50" t="s">
        <v>615</v>
      </c>
      <c r="B194" s="51" t="s">
        <v>616</v>
      </c>
      <c r="C194" s="51" t="s">
        <v>617</v>
      </c>
      <c r="D194" s="51" t="s">
        <v>611</v>
      </c>
    </row>
    <row r="195" spans="1:4" x14ac:dyDescent="0.2">
      <c r="A195" s="50" t="s">
        <v>618</v>
      </c>
      <c r="B195" s="51" t="s">
        <v>619</v>
      </c>
      <c r="C195" s="51" t="s">
        <v>620</v>
      </c>
      <c r="D195" s="51" t="s">
        <v>611</v>
      </c>
    </row>
    <row r="196" spans="1:4" x14ac:dyDescent="0.2">
      <c r="A196" s="50" t="s">
        <v>621</v>
      </c>
      <c r="B196" s="51" t="s">
        <v>622</v>
      </c>
      <c r="C196" s="51" t="s">
        <v>623</v>
      </c>
      <c r="D196" s="51" t="s">
        <v>611</v>
      </c>
    </row>
    <row r="197" spans="1:4" x14ac:dyDescent="0.2">
      <c r="A197" s="50" t="s">
        <v>624</v>
      </c>
      <c r="B197" s="51" t="s">
        <v>625</v>
      </c>
      <c r="C197" s="51" t="s">
        <v>626</v>
      </c>
      <c r="D197" s="51" t="s">
        <v>611</v>
      </c>
    </row>
    <row r="198" spans="1:4" x14ac:dyDescent="0.2">
      <c r="A198" s="50" t="s">
        <v>627</v>
      </c>
      <c r="B198" s="51" t="s">
        <v>628</v>
      </c>
      <c r="C198" s="51" t="s">
        <v>629</v>
      </c>
      <c r="D198" s="51" t="s">
        <v>611</v>
      </c>
    </row>
    <row r="199" spans="1:4" x14ac:dyDescent="0.2">
      <c r="A199" s="50" t="s">
        <v>630</v>
      </c>
      <c r="B199" s="51" t="s">
        <v>631</v>
      </c>
      <c r="C199" s="51" t="s">
        <v>632</v>
      </c>
      <c r="D199" s="51" t="s">
        <v>611</v>
      </c>
    </row>
    <row r="200" spans="1:4" x14ac:dyDescent="0.2">
      <c r="A200" s="50" t="s">
        <v>633</v>
      </c>
      <c r="B200" s="51" t="s">
        <v>634</v>
      </c>
      <c r="C200" s="51" t="s">
        <v>635</v>
      </c>
      <c r="D200" s="51" t="s">
        <v>611</v>
      </c>
    </row>
    <row r="201" spans="1:4" x14ac:dyDescent="0.2">
      <c r="A201" s="50" t="s">
        <v>636</v>
      </c>
      <c r="B201" s="51" t="s">
        <v>637</v>
      </c>
      <c r="C201" s="51" t="s">
        <v>638</v>
      </c>
      <c r="D201" s="51" t="s">
        <v>611</v>
      </c>
    </row>
    <row r="202" spans="1:4" x14ac:dyDescent="0.2">
      <c r="A202" s="50" t="s">
        <v>639</v>
      </c>
      <c r="B202" s="51" t="s">
        <v>640</v>
      </c>
      <c r="C202" s="51" t="s">
        <v>641</v>
      </c>
      <c r="D202" s="51" t="s">
        <v>611</v>
      </c>
    </row>
    <row r="203" spans="1:4" x14ac:dyDescent="0.2">
      <c r="A203" s="50" t="s">
        <v>642</v>
      </c>
      <c r="B203" s="51" t="s">
        <v>643</v>
      </c>
      <c r="C203" s="51" t="s">
        <v>644</v>
      </c>
      <c r="D203" s="51" t="s">
        <v>611</v>
      </c>
    </row>
    <row r="204" spans="1:4" x14ac:dyDescent="0.2">
      <c r="A204" s="50" t="s">
        <v>645</v>
      </c>
      <c r="B204" s="51" t="s">
        <v>646</v>
      </c>
      <c r="C204" s="51" t="s">
        <v>647</v>
      </c>
      <c r="D204" s="51" t="s">
        <v>611</v>
      </c>
    </row>
    <row r="205" spans="1:4" x14ac:dyDescent="0.2">
      <c r="A205" s="50" t="s">
        <v>648</v>
      </c>
      <c r="B205" s="51" t="s">
        <v>649</v>
      </c>
      <c r="C205" s="51" t="s">
        <v>650</v>
      </c>
      <c r="D205" s="51" t="s">
        <v>611</v>
      </c>
    </row>
    <row r="206" spans="1:4" x14ac:dyDescent="0.2">
      <c r="A206" s="50" t="s">
        <v>651</v>
      </c>
      <c r="B206" s="51" t="s">
        <v>652</v>
      </c>
      <c r="C206" s="51" t="s">
        <v>653</v>
      </c>
      <c r="D206" s="51" t="s">
        <v>611</v>
      </c>
    </row>
    <row r="207" spans="1:4" x14ac:dyDescent="0.2">
      <c r="A207" s="50" t="s">
        <v>654</v>
      </c>
      <c r="B207" s="51" t="s">
        <v>655</v>
      </c>
      <c r="C207" s="51" t="s">
        <v>656</v>
      </c>
      <c r="D207" s="51" t="s">
        <v>611</v>
      </c>
    </row>
    <row r="208" spans="1:4" x14ac:dyDescent="0.2">
      <c r="A208" s="50" t="s">
        <v>657</v>
      </c>
      <c r="B208" s="51" t="s">
        <v>658</v>
      </c>
      <c r="C208" s="51" t="s">
        <v>659</v>
      </c>
      <c r="D208" s="51" t="s">
        <v>611</v>
      </c>
    </row>
    <row r="209" spans="1:4" x14ac:dyDescent="0.2">
      <c r="A209" s="50" t="s">
        <v>660</v>
      </c>
      <c r="B209" s="51" t="s">
        <v>661</v>
      </c>
      <c r="C209" s="51" t="s">
        <v>662</v>
      </c>
      <c r="D209" s="51" t="s">
        <v>611</v>
      </c>
    </row>
    <row r="210" spans="1:4" x14ac:dyDescent="0.2">
      <c r="A210" s="50" t="s">
        <v>663</v>
      </c>
      <c r="B210" s="51" t="s">
        <v>664</v>
      </c>
      <c r="C210" s="51" t="s">
        <v>665</v>
      </c>
      <c r="D210" s="51" t="s">
        <v>611</v>
      </c>
    </row>
  </sheetData>
  <mergeCells count="5">
    <mergeCell ref="A3:D3"/>
    <mergeCell ref="A4:D4"/>
    <mergeCell ref="A5:D5"/>
    <mergeCell ref="A6:D6"/>
    <mergeCell ref="A7:D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BSA</vt:lpstr>
      <vt:lpstr>Corrections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Filipe Menezes</dc:creator>
  <dc:description/>
  <cp:lastModifiedBy>Dr Filipe Menezes</cp:lastModifiedBy>
  <cp:revision>2</cp:revision>
  <dcterms:created xsi:type="dcterms:W3CDTF">2023-04-12T21:19:53Z</dcterms:created>
  <dcterms:modified xsi:type="dcterms:W3CDTF">2026-10-09T22:17:37Z</dcterms:modified>
  <dc:language>en-US</dc:language>
</cp:coreProperties>
</file>