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sirius/MolPhys/Activities/review/corrections/"/>
    </mc:Choice>
  </mc:AlternateContent>
  <xr:revisionPtr revIDLastSave="0" documentId="13_ncr:1_{62594D40-03CC-AC48-83D1-CC32A42E3F08}" xr6:coauthVersionLast="47" xr6:coauthVersionMax="47" xr10:uidLastSave="{00000000-0000-0000-0000-000000000000}"/>
  <bookViews>
    <workbookView xWindow="6200" yWindow="660" windowWidth="29380" windowHeight="19880" tabRatio="500" xr2:uid="{00000000-000D-0000-FFFF-FFFF00000000}"/>
  </bookViews>
  <sheets>
    <sheet name="NaHPO4" sheetId="1" r:id="rId1"/>
    <sheet name="Corrections log" sheetId="2" r:id="rId2"/>
  </sheets>
  <definedNames>
    <definedName name="solver_adj" localSheetId="0" hidden="1">NaHPO4!$U$35:$U$38</definedName>
    <definedName name="solver_cvg" localSheetId="0" hidden="1">0.0001</definedName>
    <definedName name="solver_drv" localSheetId="0" hidden="1">2</definedName>
    <definedName name="solver_eng" localSheetId="0" hidden="1">1</definedName>
    <definedName name="solver_itr" localSheetId="0" hidden="1">2147483647</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0</definedName>
    <definedName name="solver_opt" localSheetId="0" hidden="1">NaHPO4!$U$39</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2</definedName>
    <definedName name="solver_val" localSheetId="0" hidden="1">0</definedName>
    <definedName name="solver_ver" localSheetId="0" hidden="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38" i="1" l="1"/>
  <c r="P37" i="1"/>
  <c r="P36" i="1"/>
  <c r="P35" i="1"/>
  <c r="P34" i="1"/>
  <c r="M34" i="1"/>
  <c r="L34" i="1" s="1"/>
  <c r="E34" i="1"/>
  <c r="E35" i="1" s="1"/>
  <c r="P33" i="1"/>
  <c r="P32" i="1"/>
  <c r="P31" i="1"/>
  <c r="P30" i="1"/>
  <c r="P29" i="1"/>
  <c r="M29" i="1"/>
  <c r="L29" i="1" s="1"/>
  <c r="E29" i="1"/>
  <c r="E30" i="1" s="1"/>
  <c r="P28" i="1"/>
  <c r="F28" i="1"/>
  <c r="E28" i="1"/>
  <c r="M28" i="1" s="1"/>
  <c r="L28" i="1" s="1"/>
  <c r="P27" i="1"/>
  <c r="P26" i="1"/>
  <c r="P25" i="1"/>
  <c r="P24" i="1"/>
  <c r="P23" i="1"/>
  <c r="H22" i="1"/>
  <c r="F22" i="1"/>
  <c r="E22" i="1"/>
  <c r="E23" i="1" s="1"/>
  <c r="P21" i="1"/>
  <c r="P20" i="1"/>
  <c r="P19" i="1"/>
  <c r="H19" i="1"/>
  <c r="P18" i="1"/>
  <c r="P17" i="1"/>
  <c r="AE16" i="1"/>
  <c r="AF16" i="1" s="1"/>
  <c r="AG16" i="1" s="1"/>
  <c r="AH16" i="1" s="1"/>
  <c r="P16" i="1"/>
  <c r="H16" i="1"/>
  <c r="E16" i="1"/>
  <c r="F16" i="1" s="1"/>
  <c r="P15" i="1"/>
  <c r="AE14" i="1"/>
  <c r="AF14" i="1" s="1"/>
  <c r="AG14" i="1" s="1"/>
  <c r="AH14" i="1" s="1"/>
  <c r="P14" i="1"/>
  <c r="AE13" i="1"/>
  <c r="AF13" i="1" s="1"/>
  <c r="AG13" i="1" s="1"/>
  <c r="AH13" i="1" s="1"/>
  <c r="P13" i="1"/>
  <c r="AE12" i="1"/>
  <c r="AF12" i="1" s="1"/>
  <c r="AG12" i="1" s="1"/>
  <c r="AH12" i="1" s="1"/>
  <c r="P12" i="1"/>
  <c r="P11" i="1"/>
  <c r="P10" i="1"/>
  <c r="I10" i="1"/>
  <c r="H10" i="1"/>
  <c r="E10" i="1"/>
  <c r="F10" i="1" s="1"/>
  <c r="P9" i="1"/>
  <c r="AH8" i="1"/>
  <c r="AG8" i="1"/>
  <c r="AE8" i="1"/>
  <c r="H37" i="1" s="1"/>
  <c r="P8" i="1"/>
  <c r="AH7" i="1"/>
  <c r="AG7" i="1"/>
  <c r="AE7" i="1"/>
  <c r="H32" i="1" s="1"/>
  <c r="P7" i="1"/>
  <c r="AH6" i="1"/>
  <c r="AG6" i="1"/>
  <c r="AE6" i="1"/>
  <c r="H27" i="1" s="1"/>
  <c r="P6" i="1"/>
  <c r="AH5" i="1"/>
  <c r="AG5" i="1"/>
  <c r="AE5" i="1"/>
  <c r="H17" i="1" s="1"/>
  <c r="P5" i="1"/>
  <c r="E5" i="1"/>
  <c r="F5" i="1" s="1"/>
  <c r="AH4" i="1"/>
  <c r="AG4" i="1"/>
  <c r="AE4" i="1"/>
  <c r="H11" i="1" s="1"/>
  <c r="P4" i="1"/>
  <c r="F4" i="1"/>
  <c r="E4" i="1"/>
  <c r="M4" i="1" s="1"/>
  <c r="L4" i="1" s="1"/>
  <c r="AH3" i="1"/>
  <c r="AG3" i="1"/>
  <c r="AE3" i="1"/>
  <c r="AE11" i="1" s="1"/>
  <c r="AF11" i="1" s="1"/>
  <c r="AG11" i="1" s="1"/>
  <c r="AH11" i="1" s="1"/>
  <c r="B2" i="1"/>
  <c r="N4" i="1" l="1"/>
  <c r="I27" i="1"/>
  <c r="I11" i="1"/>
  <c r="I32" i="1"/>
  <c r="F35" i="1"/>
  <c r="E36" i="1"/>
  <c r="M35" i="1"/>
  <c r="L35" i="1" s="1"/>
  <c r="N35" i="1" s="1"/>
  <c r="I17" i="1"/>
  <c r="I37" i="1"/>
  <c r="F30" i="1"/>
  <c r="E31" i="1"/>
  <c r="M30" i="1"/>
  <c r="L30" i="1" s="1"/>
  <c r="N30" i="1" s="1"/>
  <c r="M23" i="1"/>
  <c r="L23" i="1" s="1"/>
  <c r="F23" i="1"/>
  <c r="E24" i="1"/>
  <c r="M16" i="1"/>
  <c r="L16" i="1" s="1"/>
  <c r="N16" i="1" s="1"/>
  <c r="F29" i="1"/>
  <c r="F34" i="1"/>
  <c r="H18" i="1"/>
  <c r="I22" i="1"/>
  <c r="H24" i="1"/>
  <c r="H29" i="1"/>
  <c r="H34" i="1"/>
  <c r="AE15" i="1"/>
  <c r="AF15" i="1" s="1"/>
  <c r="AG15" i="1" s="1"/>
  <c r="AH15" i="1" s="1"/>
  <c r="M5" i="1"/>
  <c r="L5" i="1" s="1"/>
  <c r="H4" i="1"/>
  <c r="H9" i="1"/>
  <c r="M10" i="1"/>
  <c r="L10" i="1" s="1"/>
  <c r="H14" i="1"/>
  <c r="E11" i="1"/>
  <c r="H13" i="1"/>
  <c r="H20" i="1"/>
  <c r="H26" i="1"/>
  <c r="H31" i="1"/>
  <c r="H36" i="1"/>
  <c r="H12" i="1"/>
  <c r="E17" i="1"/>
  <c r="M22" i="1"/>
  <c r="L22" i="1" s="1"/>
  <c r="N22" i="1" s="1"/>
  <c r="H8" i="1"/>
  <c r="H33" i="1"/>
  <c r="H38" i="1"/>
  <c r="E6" i="1"/>
  <c r="H7" i="1"/>
  <c r="H23" i="1"/>
  <c r="H28" i="1"/>
  <c r="H25" i="1"/>
  <c r="H30" i="1"/>
  <c r="H35" i="1"/>
  <c r="H6" i="1"/>
  <c r="I16" i="1"/>
  <c r="I19" i="1"/>
  <c r="H5" i="1"/>
  <c r="I20" i="1" l="1"/>
  <c r="E25" i="1"/>
  <c r="M24" i="1"/>
  <c r="L24" i="1" s="1"/>
  <c r="F24" i="1"/>
  <c r="J5" i="1"/>
  <c r="I5" i="1"/>
  <c r="J34" i="1"/>
  <c r="I34" i="1"/>
  <c r="J28" i="1"/>
  <c r="I28" i="1"/>
  <c r="J29" i="1"/>
  <c r="I29" i="1"/>
  <c r="I13" i="1"/>
  <c r="M11" i="1"/>
  <c r="L11" i="1" s="1"/>
  <c r="F11" i="1"/>
  <c r="E12" i="1"/>
  <c r="E7" i="1"/>
  <c r="M6" i="1"/>
  <c r="L6" i="1" s="1"/>
  <c r="F6" i="1"/>
  <c r="E32" i="1"/>
  <c r="M31" i="1"/>
  <c r="L31" i="1" s="1"/>
  <c r="F31" i="1"/>
  <c r="E37" i="1"/>
  <c r="M36" i="1"/>
  <c r="L36" i="1" s="1"/>
  <c r="F36" i="1"/>
  <c r="J6" i="1"/>
  <c r="I6" i="1"/>
  <c r="I25" i="1"/>
  <c r="N34" i="1"/>
  <c r="J23" i="1"/>
  <c r="I23" i="1"/>
  <c r="I7" i="1"/>
  <c r="J16" i="1"/>
  <c r="M17" i="1"/>
  <c r="L17" i="1" s="1"/>
  <c r="F17" i="1"/>
  <c r="E18" i="1"/>
  <c r="J24" i="1"/>
  <c r="I24" i="1"/>
  <c r="I12" i="1"/>
  <c r="J22" i="1"/>
  <c r="N29" i="1"/>
  <c r="I38" i="1"/>
  <c r="I8" i="1"/>
  <c r="J36" i="1"/>
  <c r="I36" i="1"/>
  <c r="I14" i="1"/>
  <c r="I18" i="1"/>
  <c r="N28" i="1"/>
  <c r="J35" i="1"/>
  <c r="I35" i="1"/>
  <c r="J10" i="1"/>
  <c r="N10" i="1"/>
  <c r="I33" i="1"/>
  <c r="J31" i="1"/>
  <c r="I31" i="1"/>
  <c r="I9" i="1"/>
  <c r="N23" i="1"/>
  <c r="J30" i="1"/>
  <c r="I30" i="1"/>
  <c r="I4" i="1"/>
  <c r="J4" i="1"/>
  <c r="I26" i="1"/>
  <c r="N5" i="1"/>
  <c r="M12" i="1" l="1"/>
  <c r="L12" i="1" s="1"/>
  <c r="F12" i="1"/>
  <c r="E13" i="1"/>
  <c r="T24" i="1"/>
  <c r="Q24" i="1"/>
  <c r="R24" i="1" s="1"/>
  <c r="S24" i="1" s="1"/>
  <c r="Y24" i="1"/>
  <c r="AA24" i="1" s="1"/>
  <c r="T31" i="1"/>
  <c r="E19" i="1"/>
  <c r="M18" i="1"/>
  <c r="L18" i="1" s="1"/>
  <c r="F18" i="1"/>
  <c r="N11" i="1"/>
  <c r="J11" i="1"/>
  <c r="T36" i="1"/>
  <c r="Y36" i="1"/>
  <c r="AA36" i="1" s="1"/>
  <c r="N17" i="1"/>
  <c r="J17" i="1"/>
  <c r="T4" i="1"/>
  <c r="Q4" i="1"/>
  <c r="R4" i="1" s="1"/>
  <c r="S4" i="1" s="1"/>
  <c r="Y4" i="1"/>
  <c r="AA4" i="1" s="1"/>
  <c r="T5" i="1"/>
  <c r="Y5" i="1"/>
  <c r="AA5" i="1" s="1"/>
  <c r="Q5" i="1"/>
  <c r="R5" i="1" s="1"/>
  <c r="S5" i="1" s="1"/>
  <c r="N24" i="1"/>
  <c r="F25" i="1"/>
  <c r="E26" i="1"/>
  <c r="M25" i="1"/>
  <c r="L25" i="1" s="1"/>
  <c r="F37" i="1"/>
  <c r="E38" i="1"/>
  <c r="M37" i="1"/>
  <c r="L37" i="1" s="1"/>
  <c r="T6" i="1"/>
  <c r="Y6" i="1"/>
  <c r="AA6" i="1" s="1"/>
  <c r="N36" i="1"/>
  <c r="Q36" i="1" s="1"/>
  <c r="R36" i="1" s="1"/>
  <c r="S36" i="1" s="1"/>
  <c r="T16" i="1"/>
  <c r="Y16" i="1"/>
  <c r="AA16" i="1" s="1"/>
  <c r="Q16" i="1"/>
  <c r="R16" i="1" s="1"/>
  <c r="S16" i="1" s="1"/>
  <c r="T10" i="1"/>
  <c r="Y10" i="1"/>
  <c r="AA10" i="1" s="1"/>
  <c r="Q10" i="1"/>
  <c r="R10" i="1" s="1"/>
  <c r="S10" i="1" s="1"/>
  <c r="T29" i="1"/>
  <c r="Q29" i="1"/>
  <c r="R29" i="1" s="1"/>
  <c r="S29" i="1" s="1"/>
  <c r="N31" i="1"/>
  <c r="Q31" i="1" s="1"/>
  <c r="R31" i="1" s="1"/>
  <c r="S31" i="1" s="1"/>
  <c r="Y29" i="1"/>
  <c r="AA29" i="1" s="1"/>
  <c r="T35" i="1"/>
  <c r="Y35" i="1"/>
  <c r="AA35" i="1" s="1"/>
  <c r="Q35" i="1"/>
  <c r="R35" i="1" s="1"/>
  <c r="S35" i="1" s="1"/>
  <c r="F32" i="1"/>
  <c r="E33" i="1"/>
  <c r="M32" i="1"/>
  <c r="L32" i="1" s="1"/>
  <c r="T28" i="1"/>
  <c r="Q28" i="1"/>
  <c r="R28" i="1" s="1"/>
  <c r="S28" i="1" s="1"/>
  <c r="Y31" i="1"/>
  <c r="AA31" i="1" s="1"/>
  <c r="T30" i="1"/>
  <c r="Q30" i="1"/>
  <c r="R30" i="1" s="1"/>
  <c r="S30" i="1" s="1"/>
  <c r="T22" i="1"/>
  <c r="Y22" i="1"/>
  <c r="AA22" i="1" s="1"/>
  <c r="Q22" i="1"/>
  <c r="R22" i="1" s="1"/>
  <c r="S22" i="1" s="1"/>
  <c r="T23" i="1"/>
  <c r="Q23" i="1"/>
  <c r="R23" i="1" s="1"/>
  <c r="S23" i="1" s="1"/>
  <c r="Y23" i="1"/>
  <c r="AA23" i="1" s="1"/>
  <c r="Y28" i="1"/>
  <c r="AA28" i="1" s="1"/>
  <c r="N6" i="1"/>
  <c r="Q6" i="1" s="1"/>
  <c r="R6" i="1" s="1"/>
  <c r="S6" i="1" s="1"/>
  <c r="T34" i="1"/>
  <c r="Q34" i="1"/>
  <c r="R34" i="1" s="1"/>
  <c r="S34" i="1" s="1"/>
  <c r="Y34" i="1"/>
  <c r="AA34" i="1" s="1"/>
  <c r="M7" i="1"/>
  <c r="L7" i="1" s="1"/>
  <c r="F7" i="1"/>
  <c r="E8" i="1"/>
  <c r="Y30" i="1"/>
  <c r="AA30" i="1" s="1"/>
  <c r="X31" i="1" l="1"/>
  <c r="Z31" i="1" s="1"/>
  <c r="V31" i="1"/>
  <c r="W31" i="1" s="1"/>
  <c r="X36" i="1"/>
  <c r="Z36" i="1" s="1"/>
  <c r="V36" i="1"/>
  <c r="W36" i="1" s="1"/>
  <c r="X6" i="1"/>
  <c r="Z6" i="1" s="1"/>
  <c r="V6" i="1"/>
  <c r="W6" i="1" s="1"/>
  <c r="N32" i="1"/>
  <c r="J32" i="1"/>
  <c r="E27" i="1"/>
  <c r="M26" i="1"/>
  <c r="L26" i="1" s="1"/>
  <c r="F26" i="1"/>
  <c r="X23" i="1"/>
  <c r="Z23" i="1" s="1"/>
  <c r="V23" i="1"/>
  <c r="W23" i="1" s="1"/>
  <c r="X35" i="1"/>
  <c r="Z35" i="1" s="1"/>
  <c r="V35" i="1"/>
  <c r="W35" i="1" s="1"/>
  <c r="V5" i="1"/>
  <c r="W5" i="1" s="1"/>
  <c r="X5" i="1"/>
  <c r="Z5" i="1" s="1"/>
  <c r="N18" i="1"/>
  <c r="J18" i="1"/>
  <c r="F19" i="1"/>
  <c r="M19" i="1"/>
  <c r="L19" i="1" s="1"/>
  <c r="E20" i="1"/>
  <c r="N7" i="1"/>
  <c r="J7" i="1"/>
  <c r="X30" i="1"/>
  <c r="Z30" i="1" s="1"/>
  <c r="V30" i="1"/>
  <c r="W30" i="1" s="1"/>
  <c r="X4" i="1"/>
  <c r="Z4" i="1" s="1"/>
  <c r="V4" i="1"/>
  <c r="W4" i="1" s="1"/>
  <c r="X29" i="1"/>
  <c r="Z29" i="1" s="1"/>
  <c r="V29" i="1"/>
  <c r="W29" i="1" s="1"/>
  <c r="N37" i="1"/>
  <c r="J37" i="1"/>
  <c r="V22" i="1"/>
  <c r="W22" i="1" s="1"/>
  <c r="X22" i="1"/>
  <c r="Z22" i="1" s="1"/>
  <c r="M8" i="1"/>
  <c r="L8" i="1" s="1"/>
  <c r="E9" i="1"/>
  <c r="F8" i="1"/>
  <c r="X34" i="1"/>
  <c r="Z34" i="1" s="1"/>
  <c r="V34" i="1"/>
  <c r="W34" i="1" s="1"/>
  <c r="M38" i="1"/>
  <c r="L38" i="1" s="1"/>
  <c r="F38" i="1"/>
  <c r="T17" i="1"/>
  <c r="Q17" i="1"/>
  <c r="R17" i="1" s="1"/>
  <c r="S17" i="1" s="1"/>
  <c r="Y17" i="1"/>
  <c r="AA17" i="1" s="1"/>
  <c r="X28" i="1"/>
  <c r="Z28" i="1" s="1"/>
  <c r="V28" i="1"/>
  <c r="W28" i="1" s="1"/>
  <c r="V10" i="1"/>
  <c r="W10" i="1" s="1"/>
  <c r="X10" i="1"/>
  <c r="Z10" i="1" s="1"/>
  <c r="X24" i="1"/>
  <c r="Z24" i="1" s="1"/>
  <c r="V24" i="1"/>
  <c r="W24" i="1" s="1"/>
  <c r="N25" i="1"/>
  <c r="J25" i="1"/>
  <c r="F13" i="1"/>
  <c r="E14" i="1"/>
  <c r="M13" i="1"/>
  <c r="L13" i="1" s="1"/>
  <c r="M33" i="1"/>
  <c r="L33" i="1" s="1"/>
  <c r="F33" i="1"/>
  <c r="X16" i="1"/>
  <c r="Z16" i="1" s="1"/>
  <c r="V16" i="1"/>
  <c r="W16" i="1" s="1"/>
  <c r="T11" i="1"/>
  <c r="Q11" i="1"/>
  <c r="R11" i="1" s="1"/>
  <c r="S11" i="1" s="1"/>
  <c r="Y11" i="1"/>
  <c r="AA11" i="1" s="1"/>
  <c r="N12" i="1"/>
  <c r="J12" i="1"/>
  <c r="M9" i="1" l="1"/>
  <c r="L9" i="1" s="1"/>
  <c r="F9" i="1"/>
  <c r="N26" i="1"/>
  <c r="J26" i="1"/>
  <c r="F27" i="1"/>
  <c r="M27" i="1"/>
  <c r="L27" i="1" s="1"/>
  <c r="T7" i="1"/>
  <c r="Q7" i="1"/>
  <c r="R7" i="1" s="1"/>
  <c r="S7" i="1" s="1"/>
  <c r="Y7" i="1"/>
  <c r="AA7" i="1" s="1"/>
  <c r="T32" i="1"/>
  <c r="Q32" i="1"/>
  <c r="R32" i="1" s="1"/>
  <c r="S32" i="1" s="1"/>
  <c r="Y32" i="1"/>
  <c r="AA32" i="1" s="1"/>
  <c r="N19" i="1"/>
  <c r="J19" i="1"/>
  <c r="N13" i="1"/>
  <c r="J13" i="1"/>
  <c r="N8" i="1"/>
  <c r="J8" i="1"/>
  <c r="T37" i="1"/>
  <c r="Q37" i="1"/>
  <c r="R37" i="1" s="1"/>
  <c r="S37" i="1" s="1"/>
  <c r="Y37" i="1"/>
  <c r="AA37" i="1" s="1"/>
  <c r="V17" i="1"/>
  <c r="W17" i="1" s="1"/>
  <c r="X17" i="1"/>
  <c r="Z17" i="1" s="1"/>
  <c r="T18" i="1"/>
  <c r="Q18" i="1"/>
  <c r="R18" i="1" s="1"/>
  <c r="S18" i="1" s="1"/>
  <c r="Y18" i="1"/>
  <c r="AA18" i="1" s="1"/>
  <c r="M14" i="1"/>
  <c r="L14" i="1" s="1"/>
  <c r="F14" i="1"/>
  <c r="T25" i="1"/>
  <c r="Y25" i="1"/>
  <c r="AA25" i="1" s="1"/>
  <c r="Q25" i="1"/>
  <c r="R25" i="1" s="1"/>
  <c r="S25" i="1" s="1"/>
  <c r="M20" i="1"/>
  <c r="L20" i="1" s="1"/>
  <c r="F20" i="1"/>
  <c r="N33" i="1"/>
  <c r="J33" i="1"/>
  <c r="T12" i="1"/>
  <c r="Y12" i="1"/>
  <c r="AA12" i="1" s="1"/>
  <c r="Q12" i="1"/>
  <c r="R12" i="1" s="1"/>
  <c r="S12" i="1" s="1"/>
  <c r="N38" i="1"/>
  <c r="J38" i="1"/>
  <c r="X11" i="1"/>
  <c r="Z11" i="1" s="1"/>
  <c r="V11" i="1"/>
  <c r="W11" i="1" s="1"/>
  <c r="T38" i="1" l="1"/>
  <c r="Q38" i="1"/>
  <c r="R38" i="1" s="1"/>
  <c r="S38" i="1" s="1"/>
  <c r="Y38" i="1"/>
  <c r="AA38" i="1" s="1"/>
  <c r="V32" i="1"/>
  <c r="W32" i="1" s="1"/>
  <c r="X32" i="1"/>
  <c r="Z32" i="1" s="1"/>
  <c r="X12" i="1"/>
  <c r="Z12" i="1" s="1"/>
  <c r="V12" i="1"/>
  <c r="W12" i="1" s="1"/>
  <c r="N14" i="1"/>
  <c r="J14" i="1"/>
  <c r="N27" i="1"/>
  <c r="J27" i="1"/>
  <c r="T13" i="1"/>
  <c r="Y13" i="1"/>
  <c r="AA13" i="1" s="1"/>
  <c r="Q13" i="1"/>
  <c r="R13" i="1" s="1"/>
  <c r="S13" i="1" s="1"/>
  <c r="X18" i="1"/>
  <c r="Z18" i="1" s="1"/>
  <c r="V18" i="1"/>
  <c r="W18" i="1" s="1"/>
  <c r="T26" i="1"/>
  <c r="Q26" i="1"/>
  <c r="R26" i="1" s="1"/>
  <c r="S26" i="1" s="1"/>
  <c r="Y26" i="1"/>
  <c r="AA26" i="1" s="1"/>
  <c r="T19" i="1"/>
  <c r="Y19" i="1"/>
  <c r="AA19" i="1" s="1"/>
  <c r="Q19" i="1"/>
  <c r="R19" i="1" s="1"/>
  <c r="S19" i="1" s="1"/>
  <c r="N20" i="1"/>
  <c r="J20" i="1"/>
  <c r="V37" i="1"/>
  <c r="W37" i="1" s="1"/>
  <c r="X37" i="1"/>
  <c r="Z37" i="1" s="1"/>
  <c r="X25" i="1"/>
  <c r="Z25" i="1" s="1"/>
  <c r="V25" i="1"/>
  <c r="W25" i="1" s="1"/>
  <c r="V7" i="1"/>
  <c r="W7" i="1" s="1"/>
  <c r="X7" i="1"/>
  <c r="Z7" i="1" s="1"/>
  <c r="T8" i="1"/>
  <c r="Q8" i="1"/>
  <c r="R8" i="1" s="1"/>
  <c r="S8" i="1" s="1"/>
  <c r="Y8" i="1"/>
  <c r="AA8" i="1" s="1"/>
  <c r="T33" i="1"/>
  <c r="Q33" i="1"/>
  <c r="R33" i="1" s="1"/>
  <c r="S33" i="1" s="1"/>
  <c r="Y33" i="1"/>
  <c r="AA33" i="1" s="1"/>
  <c r="N9" i="1"/>
  <c r="J9" i="1"/>
  <c r="T27" i="1" l="1"/>
  <c r="Y27" i="1"/>
  <c r="AA27" i="1" s="1"/>
  <c r="Q27" i="1"/>
  <c r="R27" i="1" s="1"/>
  <c r="S27" i="1" s="1"/>
  <c r="X8" i="1"/>
  <c r="Z8" i="1" s="1"/>
  <c r="V8" i="1"/>
  <c r="W8" i="1" s="1"/>
  <c r="X33" i="1"/>
  <c r="Z33" i="1" s="1"/>
  <c r="V33" i="1"/>
  <c r="W33" i="1" s="1"/>
  <c r="U33" i="1"/>
  <c r="T9" i="1"/>
  <c r="Y9" i="1"/>
  <c r="AA9" i="1" s="1"/>
  <c r="Q9" i="1"/>
  <c r="R9" i="1" s="1"/>
  <c r="S9" i="1" s="1"/>
  <c r="X13" i="1"/>
  <c r="Z13" i="1" s="1"/>
  <c r="V13" i="1"/>
  <c r="W13" i="1" s="1"/>
  <c r="U39" i="1"/>
  <c r="X19" i="1"/>
  <c r="Z19" i="1" s="1"/>
  <c r="V19" i="1"/>
  <c r="W19" i="1" s="1"/>
  <c r="T14" i="1"/>
  <c r="Y14" i="1"/>
  <c r="AA14" i="1" s="1"/>
  <c r="Q14" i="1"/>
  <c r="R14" i="1" s="1"/>
  <c r="S14" i="1" s="1"/>
  <c r="X26" i="1"/>
  <c r="Z26" i="1" s="1"/>
  <c r="V26" i="1"/>
  <c r="W26" i="1" s="1"/>
  <c r="X38" i="1"/>
  <c r="Z38" i="1" s="1"/>
  <c r="V38" i="1"/>
  <c r="W38" i="1" s="1"/>
  <c r="T20" i="1"/>
  <c r="Q20" i="1"/>
  <c r="R20" i="1" s="1"/>
  <c r="S20" i="1" s="1"/>
  <c r="Y20" i="1"/>
  <c r="AA20" i="1" s="1"/>
  <c r="V14" i="1" l="1"/>
  <c r="W14" i="1" s="1"/>
  <c r="U15" i="1" s="1"/>
  <c r="X14" i="1"/>
  <c r="Z14" i="1" s="1"/>
  <c r="X20" i="1"/>
  <c r="Z20" i="1" s="1"/>
  <c r="V20" i="1"/>
  <c r="W20" i="1" s="1"/>
  <c r="U21" i="1" s="1"/>
  <c r="V27" i="1"/>
  <c r="W27" i="1" s="1"/>
  <c r="U27" i="1" s="1"/>
  <c r="X27" i="1"/>
  <c r="Z27" i="1" s="1"/>
  <c r="X9" i="1"/>
  <c r="Z9" i="1" s="1"/>
  <c r="V9" i="1"/>
  <c r="W9" i="1" s="1"/>
  <c r="U9" i="1" s="1"/>
</calcChain>
</file>

<file path=xl/sharedStrings.xml><?xml version="1.0" encoding="utf-8"?>
<sst xmlns="http://schemas.openxmlformats.org/spreadsheetml/2006/main" count="844" uniqueCount="584">
  <si>
    <t>R</t>
  </si>
  <si>
    <t>T</t>
  </si>
  <si>
    <t>pH</t>
  </si>
  <si>
    <t>MW (kg/mol)</t>
  </si>
  <si>
    <t>MW (g/mol)</t>
  </si>
  <si>
    <t>deviation</t>
  </si>
  <si>
    <t>MWmin</t>
  </si>
  <si>
    <t xml:space="preserve">MWmax </t>
  </si>
  <si>
    <t>[H3O+]</t>
  </si>
  <si>
    <t>[OH-]</t>
  </si>
  <si>
    <t>[P] (g/L)</t>
  </si>
  <si>
    <t>[P] (mol/L)</t>
  </si>
  <si>
    <t>[P] (uM)</t>
  </si>
  <si>
    <t>mP (mol/g)</t>
  </si>
  <si>
    <t>[Buffer] (mol/L)</t>
  </si>
  <si>
    <t>[H2PO4-] (mol/L)</t>
  </si>
  <si>
    <t>[HPO4--] (mol/L)</t>
  </si>
  <si>
    <t>I (mol/g)</t>
  </si>
  <si>
    <t>𝝥 (mmH2O)</t>
  </si>
  <si>
    <t>𝝥 (Pa)</t>
  </si>
  <si>
    <t>𝝥0 (Pa)</t>
  </si>
  <si>
    <t>𝝫</t>
  </si>
  <si>
    <t>𝝫-1</t>
  </si>
  <si>
    <t>𝝫-1 fit</t>
  </si>
  <si>
    <t>polynomial</t>
  </si>
  <si>
    <t>res</t>
  </si>
  <si>
    <t>res2</t>
  </si>
  <si>
    <t>𝜸 (m)</t>
  </si>
  <si>
    <t>𝜸 Agena (m)</t>
  </si>
  <si>
    <t>𝜸 (m) [plotted]</t>
  </si>
  <si>
    <t>𝜸 Agena (m) [plotted]</t>
  </si>
  <si>
    <t>Partial</t>
  </si>
  <si>
    <t>mL/g</t>
  </si>
  <si>
    <t>Specific</t>
  </si>
  <si>
    <t>10.1016/S0021-9258(18)56031-2</t>
  </si>
  <si>
    <t>Volume</t>
  </si>
  <si>
    <t>Rho(H2O)</t>
  </si>
  <si>
    <t>g/L</t>
  </si>
  <si>
    <t>B2 (L.mol/g.g)</t>
  </si>
  <si>
    <t>B2 (L/g)</t>
  </si>
  <si>
    <t>B2 (L/mol)</t>
  </si>
  <si>
    <t>B2 (mL/mol)</t>
  </si>
  <si>
    <t>D2 (g/mol)</t>
  </si>
  <si>
    <t>MW(Na)</t>
  </si>
  <si>
    <t>MW(H2PO4-)</t>
  </si>
  <si>
    <t>MW(HPO4--)</t>
  </si>
  <si>
    <t>MW(PO4---)</t>
  </si>
  <si>
    <t>MW(H3O+)</t>
  </si>
  <si>
    <t>MW(OH-)</t>
  </si>
  <si>
    <t>Charge</t>
  </si>
  <si>
    <t>pKa2</t>
  </si>
  <si>
    <t>pKa3</t>
  </si>
  <si>
    <t>Corrections applied to this workbook</t>
  </si>
  <si>
    <t>Donnan reference (equation 10): the term (Z m_P)^2/(4 m_S) is exact only for 1:1 electrolytes. For a general electrolyte, the dilute Donnan limit is (Z m_P)^2/(4 I), with I the ionic strength (both on the molal scale); for 1:1 salts I = m_S. The buffer-molality column now holds the ionic strength: I = [H2X-] + 3[HX2-] for the phosphate/sulphate/oxalate buffers.</t>
  </si>
  <si>
    <t>Molality: the original water mass per litre, rho_w - c*M - (salt masses), assumes that the solution density equals the density of water, which overestimates the volume of water displaced by the protein by a factor of about 1/(nu*rho_w) = 1.36. The protein term is now rho_w*c*M*nu (nu = protein partial specific volume, cell B5). The salt terms were kept as in the original; note that subtracting salt masses (instead of salt volumes) underestimates the water mass at high salt (by about 20% at 5 M NaCl).</t>
  </si>
  <si>
    <t>Molal versus molar scale: the original conversion in the "(c)" columns, gamma_m*rho*18.015/(rho*18.015 + sum c), differs from gamma_m by less than 1e-4, so all plotted activity coefficients are in fact on the molality scale (per kg of water), like the virial (Agena) values. These columns now equal the molal values explicitly and are labelled accordingly. A molar-scale conversion (gamma_c = gamma_m*m*rho_w/c) would require the solution density, which is not available; with the salt-mass approximation used here it would be unreliable at high salt.</t>
  </si>
  <si>
    <t>Polynomial fits of phi-1 versus molality were recomputed by linear least squares with the same terms and the same data points as the original Solver fits (points whose residual was set to 0 in the original remain excluded).</t>
  </si>
  <si>
    <t>Cell</t>
  </si>
  <si>
    <t>Original</t>
  </si>
  <si>
    <t>Corrected</t>
  </si>
  <si>
    <t>Reason</t>
  </si>
  <si>
    <t>J4</t>
  </si>
  <si>
    <t>=H4/($B$9 - H4*$AE$3 - L4*($B$11+$B$12) - M4*(2*$B$11+$B$13) - E4*$B$15 - F4*$B$16)</t>
  </si>
  <si>
    <t>=H4/($B$9*(1-H4*$AE$3*$B$5/1000) - L4*($B$11+$B$12) - M4*(2*$B$11+$B$13) - E4*$B$15 - F4*$B$16)</t>
  </si>
  <si>
    <t>molality: protein term of the water mass uses the partial specific volume, rho_w*(1 - c*M*nu), instead of subtracting the protein mass from rho_w</t>
  </si>
  <si>
    <t>N4</t>
  </si>
  <si>
    <t>=K4/($B$9 - H4*$AE$3 - L4*($B$11+$B$12) - M4*(2*$B$11+$B$13) - E4*$B$15 - F4*$B$16)</t>
  </si>
  <si>
    <t>=K4/($B$9*(1-H4*$AE$3*$B$5/1000) - L4*($B$11+$B$12) - M4*(2*$B$11+$B$13) - E4*$B$15 - F4*$B$16)</t>
  </si>
  <si>
    <t>buffer molality: same correction</t>
  </si>
  <si>
    <t>J5</t>
  </si>
  <si>
    <t>=H5/($B$9 - H5*$AE$3 - L5*($B$11+$B$12) - M5*(2*$B$11+$B$13) - E5*$B$15 - F5*$B$16)</t>
  </si>
  <si>
    <t>=H5/($B$9*(1-H5*$AE$3*$B$5/1000) - L5*($B$11+$B$12) - M5*(2*$B$11+$B$13) - E5*$B$15 - F5*$B$16)</t>
  </si>
  <si>
    <t>N5</t>
  </si>
  <si>
    <t>=K5/($B$9 - H5*$AE$3 - L5*($B$11+$B$12) - M5*(2*$B$11+$B$13) - E5*$B$15 - F5*$B$16)</t>
  </si>
  <si>
    <t>=K5/($B$9*(1-H5*$AE$3*$B$5/1000) - L5*($B$11+$B$12) - M5*(2*$B$11+$B$13) - E5*$B$15 - F5*$B$16)</t>
  </si>
  <si>
    <t>J6</t>
  </si>
  <si>
    <t>=H6/($B$9 - H6*$AE$3 - L6*($B$11+$B$12) - M6*(2*$B$11+$B$13) - E6*$B$15 - F6*$B$16)</t>
  </si>
  <si>
    <t>=H6/($B$9*(1-H6*$AE$3*$B$5/1000) - L6*($B$11+$B$12) - M6*(2*$B$11+$B$13) - E6*$B$15 - F6*$B$16)</t>
  </si>
  <si>
    <t>N6</t>
  </si>
  <si>
    <t>=K6/($B$9 - H6*$AE$3 - L6*($B$11+$B$12) - M6*(2*$B$11+$B$13) - E6*$B$15 - F6*$B$16)</t>
  </si>
  <si>
    <t>=K6/($B$9*(1-H6*$AE$3*$B$5/1000) - L6*($B$11+$B$12) - M6*(2*$B$11+$B$13) - E6*$B$15 - F6*$B$16)</t>
  </si>
  <si>
    <t>J7</t>
  </si>
  <si>
    <t>=H7/($B$9 - H7*$AE$3 - L7*($B$11+$B$12) - M7*(2*$B$11+$B$13) - E7*$B$15 - F7*$B$16)</t>
  </si>
  <si>
    <t>=H7/($B$9*(1-H7*$AE$3*$B$5/1000) - L7*($B$11+$B$12) - M7*(2*$B$11+$B$13) - E7*$B$15 - F7*$B$16)</t>
  </si>
  <si>
    <t>N7</t>
  </si>
  <si>
    <t>=K7/($B$9 - H7*$AE$3 - L7*($B$11+$B$12) - M7*(2*$B$11+$B$13) - E7*$B$15 - F7*$B$16)</t>
  </si>
  <si>
    <t>=K7/($B$9*(1-H7*$AE$3*$B$5/1000) - L7*($B$11+$B$12) - M7*(2*$B$11+$B$13) - E7*$B$15 - F7*$B$16)</t>
  </si>
  <si>
    <t>J8</t>
  </si>
  <si>
    <t>=H8/($B$9 - H8*$AE$3 - L8*($B$11+$B$12) - M8*(2*$B$11+$B$13) - E8*$B$15 - F8*$B$16)</t>
  </si>
  <si>
    <t>=H8/($B$9*(1-H8*$AE$3*$B$5/1000) - L8*($B$11+$B$12) - M8*(2*$B$11+$B$13) - E8*$B$15 - F8*$B$16)</t>
  </si>
  <si>
    <t>N8</t>
  </si>
  <si>
    <t>=K8/($B$9 - H8*$AE$3 - L8*($B$11+$B$12) - M8*(2*$B$11+$B$13) - E8*$B$15 - F8*$B$16)</t>
  </si>
  <si>
    <t>=K8/($B$9*(1-H8*$AE$3*$B$5/1000) - L8*($B$11+$B$12) - M8*(2*$B$11+$B$13) - E8*$B$15 - F8*$B$16)</t>
  </si>
  <si>
    <t>J9</t>
  </si>
  <si>
    <t>=H9/($B$9 - H9*$AE$3 - L9*($B$11+$B$12) - M9*(2*$B$11+$B$13) - E9*$B$15 - F9*$B$16)</t>
  </si>
  <si>
    <t>=H9/($B$9*(1-H9*$AE$3*$B$5/1000) - L9*($B$11+$B$12) - M9*(2*$B$11+$B$13) - E9*$B$15 - F9*$B$16)</t>
  </si>
  <si>
    <t>N9</t>
  </si>
  <si>
    <t>=K9/($B$9 - H9*$AE$3 - L9*($B$11+$B$12) - M9*(2*$B$11+$B$13) - E9*$B$15 - F9*$B$16)</t>
  </si>
  <si>
    <t>=K9/($B$9*(1-H9*$AE$3*$B$5/1000) - L9*($B$11+$B$12) - M9*(2*$B$11+$B$13) - E9*$B$15 - F9*$B$16)</t>
  </si>
  <si>
    <t>J10</t>
  </si>
  <si>
    <t>=H10/($B$9 - H10*$AE$4 - L10*($B$11+$B$12) - M10*(2*$B$11+$B$13) - E10*$B$15 - F10*$B$16)</t>
  </si>
  <si>
    <t>=H10/($B$9*(1-H10*$AE$4*$B$5/1000) - L10*($B$11+$B$12) - M10*(2*$B$11+$B$13) - E10*$B$15 - F10*$B$16)</t>
  </si>
  <si>
    <t>N10</t>
  </si>
  <si>
    <t>=K10/($B$9 - H10*$AE$4 - L10*($B$11+$B$12) - M10*(2*$B$11+$B$13) - E10*$B$15 - F10*$B$16)</t>
  </si>
  <si>
    <t>=K10/($B$9*(1-H10*$AE$4*$B$5/1000) - L10*($B$11+$B$12) - M10*(2*$B$11+$B$13) - E10*$B$15 - F10*$B$16)</t>
  </si>
  <si>
    <t>J11</t>
  </si>
  <si>
    <t>=H11/($B$9 - H11*$AE$4 - L11*($B$11+$B$12) - M11*(2*$B$11+$B$13) - E11*$B$15 - F11*$B$16)</t>
  </si>
  <si>
    <t>=H11/($B$9*(1-H11*$AE$4*$B$5/1000) - L11*($B$11+$B$12) - M11*(2*$B$11+$B$13) - E11*$B$15 - F11*$B$16)</t>
  </si>
  <si>
    <t>N11</t>
  </si>
  <si>
    <t>=K11/($B$9 - H11*$AE$4 - L11*($B$11+$B$12) - M11*(2*$B$11+$B$13) - E11*$B$15 - F11*$B$16)</t>
  </si>
  <si>
    <t>=K11/($B$9*(1-H11*$AE$4*$B$5/1000) - L11*($B$11+$B$12) - M11*(2*$B$11+$B$13) - E11*$B$15 - F11*$B$16)</t>
  </si>
  <si>
    <t>J12</t>
  </si>
  <si>
    <t>=H12/($B$9 - H12*$AE$4 - L12*($B$11+$B$12) - M12*(2*$B$11+$B$13) - E12*$B$15 - F12*$B$16)</t>
  </si>
  <si>
    <t>=H12/($B$9*(1-H12*$AE$4*$B$5/1000) - L12*($B$11+$B$12) - M12*(2*$B$11+$B$13) - E12*$B$15 - F12*$B$16)</t>
  </si>
  <si>
    <t>N12</t>
  </si>
  <si>
    <t>=K12/($B$9 - H12*$AE$4 - L12*($B$11+$B$12) - M12*(2*$B$11+$B$13) - E12*$B$15 - F12*$B$16)</t>
  </si>
  <si>
    <t>=K12/($B$9*(1-H12*$AE$4*$B$5/1000) - L12*($B$11+$B$12) - M12*(2*$B$11+$B$13) - E12*$B$15 - F12*$B$16)</t>
  </si>
  <si>
    <t>J13</t>
  </si>
  <si>
    <t>=H13/($B$9 - H13*$AE$4 - L13*($B$11+$B$12) - M13*(2*$B$11+$B$13) - E13*$B$15 - F13*$B$16)</t>
  </si>
  <si>
    <t>=H13/($B$9*(1-H13*$AE$4*$B$5/1000) - L13*($B$11+$B$12) - M13*(2*$B$11+$B$13) - E13*$B$15 - F13*$B$16)</t>
  </si>
  <si>
    <t>N13</t>
  </si>
  <si>
    <t>=K13/($B$9 - H13*$AE$4 - L13*($B$11+$B$12) - M13*(2*$B$11+$B$13) - E13*$B$15 - F13*$B$16)</t>
  </si>
  <si>
    <t>=K13/($B$9*(1-H13*$AE$4*$B$5/1000) - L13*($B$11+$B$12) - M13*(2*$B$11+$B$13) - E13*$B$15 - F13*$B$16)</t>
  </si>
  <si>
    <t>J14</t>
  </si>
  <si>
    <t>=H14/($B$9 - H14*$AE$4 - L14*($B$11+$B$12) - M14*(2*$B$11+$B$13) - E14*$B$15 - F14*$B$16)</t>
  </si>
  <si>
    <t>=H14/($B$9*(1-H14*$AE$4*$B$5/1000) - L14*($B$11+$B$12) - M14*(2*$B$11+$B$13) - E14*$B$15 - F14*$B$16)</t>
  </si>
  <si>
    <t>N14</t>
  </si>
  <si>
    <t>=K14/($B$9 - H14*$AE$4 - L14*($B$11+$B$12) - M14*(2*$B$11+$B$13) - E14*$B$15 - F14*$B$16)</t>
  </si>
  <si>
    <t>=K14/($B$9*(1-H14*$AE$4*$B$5/1000) - L14*($B$11+$B$12) - M14*(2*$B$11+$B$13) - E14*$B$15 - F14*$B$16)</t>
  </si>
  <si>
    <t>J16</t>
  </si>
  <si>
    <t>=H16/($B$9 - H16*$AE$5 - L16*($B$11+$B$12) - M16*(2*$B$11+$B$13) - E16*$B$15 - F16*$B$16)</t>
  </si>
  <si>
    <t>=H16/($B$9*(1-H16*$AE$5*$B$5/1000) - L16*($B$11+$B$12) - M16*(2*$B$11+$B$13) - E16*$B$15 - F16*$B$16)</t>
  </si>
  <si>
    <t>N16</t>
  </si>
  <si>
    <t>=K16/($B$9 - H16*$AE$5 - L16*($B$11+$B$12) - M16*(2*$B$11+$B$13) - E16*$B$15 - F16*$B$16)</t>
  </si>
  <si>
    <t>=K16/($B$9*(1-H16*$AE$5*$B$5/1000) - L16*($B$11+$B$12) - M16*(2*$B$11+$B$13) - E16*$B$15 - F16*$B$16)</t>
  </si>
  <si>
    <t>J17</t>
  </si>
  <si>
    <t>=H17/($B$9 - H17*$AE$5 - L17*($B$11+$B$12) - M17*(2*$B$11+$B$13) - E17*$B$15 - F17*$B$16)</t>
  </si>
  <si>
    <t>=H17/($B$9*(1-H17*$AE$5*$B$5/1000) - L17*($B$11+$B$12) - M17*(2*$B$11+$B$13) - E17*$B$15 - F17*$B$16)</t>
  </si>
  <si>
    <t>N17</t>
  </si>
  <si>
    <t>=K17/($B$9 - H17*$AE$5 - L17*($B$11+$B$12) - M17*(2*$B$11+$B$13) - E17*$B$15 - F17*$B$16)</t>
  </si>
  <si>
    <t>=K17/($B$9*(1-H17*$AE$5*$B$5/1000) - L17*($B$11+$B$12) - M17*(2*$B$11+$B$13) - E17*$B$15 - F17*$B$16)</t>
  </si>
  <si>
    <t>J18</t>
  </si>
  <si>
    <t>=H18/($B$9 - H18*$AE$5 - L18*($B$11+$B$12) - M18*(2*$B$11+$B$13) - E18*$B$15 - F18*$B$16)</t>
  </si>
  <si>
    <t>=H18/($B$9*(1-H18*$AE$5*$B$5/1000) - L18*($B$11+$B$12) - M18*(2*$B$11+$B$13) - E18*$B$15 - F18*$B$16)</t>
  </si>
  <si>
    <t>N18</t>
  </si>
  <si>
    <t>=K18/($B$9 - H18*$AE$5 - L18*($B$11+$B$12) - M18*(2*$B$11+$B$13) - E18*$B$15 - F18*$B$16)</t>
  </si>
  <si>
    <t>=K18/($B$9*(1-H18*$AE$5*$B$5/1000) - L18*($B$11+$B$12) - M18*(2*$B$11+$B$13) - E18*$B$15 - F18*$B$16)</t>
  </si>
  <si>
    <t>J19</t>
  </si>
  <si>
    <t>=H19/($B$9 - H19*$AE$5 - L19*($B$11+$B$12) - M19*(2*$B$11+$B$13) - E19*$B$15 - F19*$B$16)</t>
  </si>
  <si>
    <t>=H19/($B$9*(1-H19*$AE$5*$B$5/1000) - L19*($B$11+$B$12) - M19*(2*$B$11+$B$13) - E19*$B$15 - F19*$B$16)</t>
  </si>
  <si>
    <t>N19</t>
  </si>
  <si>
    <t>=K19/($B$9 - H19*$AE$5 - L19*($B$11+$B$12) - M19*(2*$B$11+$B$13) - E19*$B$15 - F19*$B$16)</t>
  </si>
  <si>
    <t>=K19/($B$9*(1-H19*$AE$5*$B$5/1000) - L19*($B$11+$B$12) - M19*(2*$B$11+$B$13) - E19*$B$15 - F19*$B$16)</t>
  </si>
  <si>
    <t>J20</t>
  </si>
  <si>
    <t>=H20/($B$9 - H20*$AE$5 - L20*($B$11+$B$12) - M20*(2*$B$11+$B$13) - E20*$B$15 - F20*$B$16)</t>
  </si>
  <si>
    <t>=H20/($B$9*(1-H20*$AE$5*$B$5/1000) - L20*($B$11+$B$12) - M20*(2*$B$11+$B$13) - E20*$B$15 - F20*$B$16)</t>
  </si>
  <si>
    <t>N20</t>
  </si>
  <si>
    <t>=K20/($B$9 - H20*$AE$5 - L20*($B$11+$B$12) - M20*(2*$B$11+$B$13) - E20*$B$15 - F20*$B$16)</t>
  </si>
  <si>
    <t>=K20/($B$9*(1-H20*$AE$5*$B$5/1000) - L20*($B$11+$B$12) - M20*(2*$B$11+$B$13) - E20*$B$15 - F20*$B$16)</t>
  </si>
  <si>
    <t>J22</t>
  </si>
  <si>
    <t>=H22/($B$9 - H22*$AE$6 - L22*($B$11+$B$12) - M22*(2*$B$11+$B$13) - E22*$B$15 - F22*$B$16)</t>
  </si>
  <si>
    <t>=H22/($B$9*(1-H22*$AE$6*$B$5/1000) - L22*($B$11+$B$12) - M22*(2*$B$11+$B$13) - E22*$B$15 - F22*$B$16)</t>
  </si>
  <si>
    <t>N22</t>
  </si>
  <si>
    <t>=K22/($B$9 - H22*$AE$6 - L22*($B$11+$B$12) - M22*(2*$B$11+$B$13) - E22*$B$15 - F22*$B$16)</t>
  </si>
  <si>
    <t>=K22/($B$9*(1-H22*$AE$6*$B$5/1000) - L22*($B$11+$B$12) - M22*(2*$B$11+$B$13) - E22*$B$15 - F22*$B$16)</t>
  </si>
  <si>
    <t>J23</t>
  </si>
  <si>
    <t>=H23/($B$9 - H23*$AE$6 - L23*($B$11+$B$12) - M23*(2*$B$11+$B$13) - E23*$B$15 - F23*$B$16)</t>
  </si>
  <si>
    <t>=H23/($B$9*(1-H23*$AE$6*$B$5/1000) - L23*($B$11+$B$12) - M23*(2*$B$11+$B$13) - E23*$B$15 - F23*$B$16)</t>
  </si>
  <si>
    <t>N23</t>
  </si>
  <si>
    <t>=K23/($B$9 - H23*$AE$6 - L23*($B$11+$B$12) - M23*(2*$B$11+$B$13) - E23*$B$15 - F23*$B$16)</t>
  </si>
  <si>
    <t>=K23/($B$9*(1-H23*$AE$6*$B$5/1000) - L23*($B$11+$B$12) - M23*(2*$B$11+$B$13) - E23*$B$15 - F23*$B$16)</t>
  </si>
  <si>
    <t>J24</t>
  </si>
  <si>
    <t>=H24/($B$9 - H24*$AE$6 - L24*($B$11+$B$12) - M24*(2*$B$11+$B$13) - E24*$B$15 - F24*$B$16)</t>
  </si>
  <si>
    <t>=H24/($B$9*(1-H24*$AE$6*$B$5/1000) - L24*($B$11+$B$12) - M24*(2*$B$11+$B$13) - E24*$B$15 - F24*$B$16)</t>
  </si>
  <si>
    <t>N24</t>
  </si>
  <si>
    <t>=K24/($B$9 - H24*$AE$6 - L24*($B$11+$B$12) - M24*(2*$B$11+$B$13) - E24*$B$15 - F24*$B$16)</t>
  </si>
  <si>
    <t>=K24/($B$9*(1-H24*$AE$6*$B$5/1000) - L24*($B$11+$B$12) - M24*(2*$B$11+$B$13) - E24*$B$15 - F24*$B$16)</t>
  </si>
  <si>
    <t>J25</t>
  </si>
  <si>
    <t>=H25/($B$9 - H25*$AE$6 - L25*($B$11+$B$12) - M25*(2*$B$11+$B$13) - E25*$B$15 - F25*$B$16)</t>
  </si>
  <si>
    <t>=H25/($B$9*(1-H25*$AE$6*$B$5/1000) - L25*($B$11+$B$12) - M25*(2*$B$11+$B$13) - E25*$B$15 - F25*$B$16)</t>
  </si>
  <si>
    <t>N25</t>
  </si>
  <si>
    <t>=K25/($B$9 - H25*$AE$6 - L25*($B$11+$B$12) - M25*(2*$B$11+$B$13) - E25*$B$15 - F25*$B$16)</t>
  </si>
  <si>
    <t>=K25/($B$9*(1-H25*$AE$6*$B$5/1000) - L25*($B$11+$B$12) - M25*(2*$B$11+$B$13) - E25*$B$15 - F25*$B$16)</t>
  </si>
  <si>
    <t>J26</t>
  </si>
  <si>
    <t>=H26/($B$9 - H26*$AE$6 - L26*($B$11+$B$12) - M26*(2*$B$11+$B$13) - E26*$B$15 - F26*$B$16)</t>
  </si>
  <si>
    <t>=H26/($B$9*(1-H26*$AE$6*$B$5/1000) - L26*($B$11+$B$12) - M26*(2*$B$11+$B$13) - E26*$B$15 - F26*$B$16)</t>
  </si>
  <si>
    <t>N26</t>
  </si>
  <si>
    <t>=K26/($B$9 - H26*$AE$6 - L26*($B$11+$B$12) - M26*(2*$B$11+$B$13) - E26*$B$15 - F26*$B$16)</t>
  </si>
  <si>
    <t>=K26/($B$9*(1-H26*$AE$6*$B$5/1000) - L26*($B$11+$B$12) - M26*(2*$B$11+$B$13) - E26*$B$15 - F26*$B$16)</t>
  </si>
  <si>
    <t>J27</t>
  </si>
  <si>
    <t>=H27/($B$9 - H27*$AE$6 - L27*($B$11+$B$12) - M27*(2*$B$11+$B$13) - E27*$B$15 - F27*$B$16)</t>
  </si>
  <si>
    <t>=H27/($B$9*(1-H27*$AE$6*$B$5/1000) - L27*($B$11+$B$12) - M27*(2*$B$11+$B$13) - E27*$B$15 - F27*$B$16)</t>
  </si>
  <si>
    <t>N27</t>
  </si>
  <si>
    <t>=K27/($B$9 - H27*$AE$6 - L27*($B$11+$B$12) - M27*(2*$B$11+$B$13) - E27*$B$15 - F27*$B$16)</t>
  </si>
  <si>
    <t>=K27/($B$9*(1-H27*$AE$6*$B$5/1000) - L27*($B$11+$B$12) - M27*(2*$B$11+$B$13) - E27*$B$15 - F27*$B$16)</t>
  </si>
  <si>
    <t>J28</t>
  </si>
  <si>
    <t>=H28/($B$9 - H28*$AE$7 - L28*($B$11+$B$12) - M28*(2*$B$11+$B$13) - E28*$B$15 - F28*$B$16)</t>
  </si>
  <si>
    <t>=H28/($B$9*(1-H28*$AE$7*$B$5/1000) - L28*($B$11+$B$12) - M28*(2*$B$11+$B$13) - E28*$B$15 - F28*$B$16)</t>
  </si>
  <si>
    <t>N28</t>
  </si>
  <si>
    <t>=K28/($B$9 - H28*$AE$7 - L28*($B$11+$B$12) - M28*(2*$B$11+$B$13) - E28*$B$15 - F28*$B$16)</t>
  </si>
  <si>
    <t>=K28/($B$9*(1-H28*$AE$7*$B$5/1000) - L28*($B$11+$B$12) - M28*(2*$B$11+$B$13) - E28*$B$15 - F28*$B$16)</t>
  </si>
  <si>
    <t>J29</t>
  </si>
  <si>
    <t>=H29/($B$9 - H29*$AE$7 - L29*($B$11+$B$12) - M29*(2*$B$11+$B$13) - E29*$B$15 - F29*$B$16)</t>
  </si>
  <si>
    <t>=H29/($B$9*(1-H29*$AE$7*$B$5/1000) - L29*($B$11+$B$12) - M29*(2*$B$11+$B$13) - E29*$B$15 - F29*$B$16)</t>
  </si>
  <si>
    <t>N29</t>
  </si>
  <si>
    <t>=K29/($B$9 - H29*$AE$7 - L29*($B$11+$B$12) - M29*(2*$B$11+$B$13) - E29*$B$15 - F29*$B$16)</t>
  </si>
  <si>
    <t>=K29/($B$9*(1-H29*$AE$7*$B$5/1000) - L29*($B$11+$B$12) - M29*(2*$B$11+$B$13) - E29*$B$15 - F29*$B$16)</t>
  </si>
  <si>
    <t>J30</t>
  </si>
  <si>
    <t>=H30/($B$9 - H30*$AE$7 - L30*($B$11+$B$12) - M30*(2*$B$11+$B$13) - E30*$B$15 - F30*$B$16)</t>
  </si>
  <si>
    <t>=H30/($B$9*(1-H30*$AE$7*$B$5/1000) - L30*($B$11+$B$12) - M30*(2*$B$11+$B$13) - E30*$B$15 - F30*$B$16)</t>
  </si>
  <si>
    <t>N30</t>
  </si>
  <si>
    <t>=K30/($B$9 - H30*$AE$7 - L30*($B$11+$B$12) - M30*(2*$B$11+$B$13) - E30*$B$15 - F30*$B$16)</t>
  </si>
  <si>
    <t>=K30/($B$9*(1-H30*$AE$7*$B$5/1000) - L30*($B$11+$B$12) - M30*(2*$B$11+$B$13) - E30*$B$15 - F30*$B$16)</t>
  </si>
  <si>
    <t>J31</t>
  </si>
  <si>
    <t>=H31/($B$9 - H31*$AE$7 - L31*($B$11+$B$12) - M31*(2*$B$11+$B$13) - E31*$B$15 - F31*$B$16)</t>
  </si>
  <si>
    <t>=H31/($B$9*(1-H31*$AE$7*$B$5/1000) - L31*($B$11+$B$12) - M31*(2*$B$11+$B$13) - E31*$B$15 - F31*$B$16)</t>
  </si>
  <si>
    <t>N31</t>
  </si>
  <si>
    <t>=K31/($B$9 - H31*$AE$7 - L31*($B$11+$B$12) - M31*(2*$B$11+$B$13) - E31*$B$15 - F31*$B$16)</t>
  </si>
  <si>
    <t>=K31/($B$9*(1-H31*$AE$7*$B$5/1000) - L31*($B$11+$B$12) - M31*(2*$B$11+$B$13) - E31*$B$15 - F31*$B$16)</t>
  </si>
  <si>
    <t>J32</t>
  </si>
  <si>
    <t>=H32/($B$9 - H32*$AE$7 - L32*($B$11+$B$12) - M32*(2*$B$11+$B$13) - E32*$B$15 - F32*$B$16)</t>
  </si>
  <si>
    <t>=H32/($B$9*(1-H32*$AE$7*$B$5/1000) - L32*($B$11+$B$12) - M32*(2*$B$11+$B$13) - E32*$B$15 - F32*$B$16)</t>
  </si>
  <si>
    <t>N32</t>
  </si>
  <si>
    <t>=K32/($B$9 - H32*$AE$7 - L32*($B$11+$B$12) - M32*(2*$B$11+$B$13) - E32*$B$15 - F32*$B$16)</t>
  </si>
  <si>
    <t>=K32/($B$9*(1-H32*$AE$7*$B$5/1000) - L32*($B$11+$B$12) - M32*(2*$B$11+$B$13) - E32*$B$15 - F32*$B$16)</t>
  </si>
  <si>
    <t>J33</t>
  </si>
  <si>
    <t>=H33/($B$9 - H33*$AE$7 - L33*($B$11+$B$12) - M33*(2*$B$11+$B$13) - E33*$B$15 - F33*$B$16)</t>
  </si>
  <si>
    <t>=H33/($B$9*(1-H33*$AE$7*$B$5/1000) - L33*($B$11+$B$12) - M33*(2*$B$11+$B$13) - E33*$B$15 - F33*$B$16)</t>
  </si>
  <si>
    <t>N33</t>
  </si>
  <si>
    <t>=K33/($B$9 - H33*$AE$7 - L33*($B$11+$B$12) - M33*(2*$B$11+$B$13) - E33*$B$15 - F33*$B$16)</t>
  </si>
  <si>
    <t>=K33/($B$9*(1-H33*$AE$7*$B$5/1000) - L33*($B$11+$B$12) - M33*(2*$B$11+$B$13) - E33*$B$15 - F33*$B$16)</t>
  </si>
  <si>
    <t>J34</t>
  </si>
  <si>
    <t>=H34/($B$9 - H34*$AE$8 - L34*($B$11+$B$12) - M34*(2*$B$11+$B$13) - E34*$B$15 - F34*$B$16)</t>
  </si>
  <si>
    <t>=H34/($B$9*(1-H34*$AE$8*$B$5/1000) - L34*($B$11+$B$12) - M34*(2*$B$11+$B$13) - E34*$B$15 - F34*$B$16)</t>
  </si>
  <si>
    <t>N34</t>
  </si>
  <si>
    <t>=K34/($B$9 - H34*$AE$8 - L34*($B$11+$B$12) - M34*(2*$B$11+$B$13) - E34*$B$15 - F34*$B$16)</t>
  </si>
  <si>
    <t>=K34/($B$9*(1-H34*$AE$8*$B$5/1000) - L34*($B$11+$B$12) - M34*(2*$B$11+$B$13) - E34*$B$15 - F34*$B$16)</t>
  </si>
  <si>
    <t>J35</t>
  </si>
  <si>
    <t>=H35/($B$9 - H35*$AE$8 - L35*($B$11+$B$12) - M35*(2*$B$11+$B$13) - E35*$B$15 - F35*$B$16)</t>
  </si>
  <si>
    <t>=H35/($B$9*(1-H35*$AE$8*$B$5/1000) - L35*($B$11+$B$12) - M35*(2*$B$11+$B$13) - E35*$B$15 - F35*$B$16)</t>
  </si>
  <si>
    <t>N35</t>
  </si>
  <si>
    <t>=K35/($B$9 - H35*$AE$8 - L35*($B$11+$B$12) - M35*(2*$B$11+$B$13) - E35*$B$15 - F35*$B$16)</t>
  </si>
  <si>
    <t>=K35/($B$9*(1-H35*$AE$8*$B$5/1000) - L35*($B$11+$B$12) - M35*(2*$B$11+$B$13) - E35*$B$15 - F35*$B$16)</t>
  </si>
  <si>
    <t>J36</t>
  </si>
  <si>
    <t>=H36/($B$9 - H36*$AE$8 - L36*($B$11+$B$12) - M36*(2*$B$11+$B$13) - E36*$B$15 - F36*$B$16)</t>
  </si>
  <si>
    <t>=H36/($B$9*(1-H36*$AE$8*$B$5/1000) - L36*($B$11+$B$12) - M36*(2*$B$11+$B$13) - E36*$B$15 - F36*$B$16)</t>
  </si>
  <si>
    <t>N36</t>
  </si>
  <si>
    <t>=K36/($B$9 - H36*$AE$8 - L36*($B$11+$B$12) - M36*(2*$B$11+$B$13) - E36*$B$15 - F36*$B$16)</t>
  </si>
  <si>
    <t>=K36/($B$9*(1-H36*$AE$8*$B$5/1000) - L36*($B$11+$B$12) - M36*(2*$B$11+$B$13) - E36*$B$15 - F36*$B$16)</t>
  </si>
  <si>
    <t>J37</t>
  </si>
  <si>
    <t>=H37/($B$9 - H37*$AE$8 - L37*($B$11+$B$12) - M37*(2*$B$11+$B$13) - E37*$B$15 - F37*$B$16)</t>
  </si>
  <si>
    <t>=H37/($B$9*(1-H37*$AE$8*$B$5/1000) - L37*($B$11+$B$12) - M37*(2*$B$11+$B$13) - E37*$B$15 - F37*$B$16)</t>
  </si>
  <si>
    <t>N37</t>
  </si>
  <si>
    <t>=K37/($B$9 - H37*$AE$8 - L37*($B$11+$B$12) - M37*(2*$B$11+$B$13) - E37*$B$15 - F37*$B$16)</t>
  </si>
  <si>
    <t>=K37/($B$9*(1-H37*$AE$8*$B$5/1000) - L37*($B$11+$B$12) - M37*(2*$B$11+$B$13) - E37*$B$15 - F37*$B$16)</t>
  </si>
  <si>
    <t>J38</t>
  </si>
  <si>
    <t>=H38/($B$9 - H38*$AE$8 - L38*($B$11+$B$12) - M38*(2*$B$11+$B$13) - E38*$B$15 - F38*$B$16)</t>
  </si>
  <si>
    <t>=H38/($B$9*(1-H38*$AE$8*$B$5/1000) - L38*($B$11+$B$12) - M38*(2*$B$11+$B$13) - E38*$B$15 - F38*$B$16)</t>
  </si>
  <si>
    <t>N38</t>
  </si>
  <si>
    <t>=K38/($B$9 - H38*$AE$8 - L38*($B$11+$B$12) - M38*(2*$B$11+$B$13) - E38*$B$15 - F38*$B$16)</t>
  </si>
  <si>
    <t>=K38/($B$9*(1-H38*$AE$8*$B$5/1000) - L38*($B$11+$B$12) - M38*(2*$B$11+$B$13) - E38*$B$15 - F38*$B$16)</t>
  </si>
  <si>
    <t>=(L4+3*M4)/($B$9*(1-H4*$AE$3*$B$5/1000) - L4*($B$11+$B$12) - M4*(2*$B$11+$B$13) - E4*$B$15 - F4*$B$16)</t>
  </si>
  <si>
    <t>Donnan term (equation 10): ionic strength (molal) instead of salt molality, which generalises the 1:1 expression to multivalent electrolytes</t>
  </si>
  <si>
    <t>=(L5+3*M5)/($B$9*(1-H5*$AE$3*$B$5/1000) - L5*($B$11+$B$12) - M5*(2*$B$11+$B$13) - E5*$B$15 - F5*$B$16)</t>
  </si>
  <si>
    <t>=(L6+3*M6)/($B$9*(1-H6*$AE$3*$B$5/1000) - L6*($B$11+$B$12) - M6*(2*$B$11+$B$13) - E6*$B$15 - F6*$B$16)</t>
  </si>
  <si>
    <t>=(L7+3*M7)/($B$9*(1-H7*$AE$3*$B$5/1000) - L7*($B$11+$B$12) - M7*(2*$B$11+$B$13) - E7*$B$15 - F7*$B$16)</t>
  </si>
  <si>
    <t>=(L8+3*M8)/($B$9*(1-H8*$AE$3*$B$5/1000) - L8*($B$11+$B$12) - M8*(2*$B$11+$B$13) - E8*$B$15 - F8*$B$16)</t>
  </si>
  <si>
    <t>=(L9+3*M9)/($B$9*(1-H9*$AE$3*$B$5/1000) - L9*($B$11+$B$12) - M9*(2*$B$11+$B$13) - E9*$B$15 - F9*$B$16)</t>
  </si>
  <si>
    <t>=(L10+3*M10)/($B$9*(1-H10*$AE$4*$B$5/1000) - L10*($B$11+$B$12) - M10*(2*$B$11+$B$13) - E10*$B$15 - F10*$B$16)</t>
  </si>
  <si>
    <t>=(L11+3*M11)/($B$9*(1-H11*$AE$4*$B$5/1000) - L11*($B$11+$B$12) - M11*(2*$B$11+$B$13) - E11*$B$15 - F11*$B$16)</t>
  </si>
  <si>
    <t>=(L12+3*M12)/($B$9*(1-H12*$AE$4*$B$5/1000) - L12*($B$11+$B$12) - M12*(2*$B$11+$B$13) - E12*$B$15 - F12*$B$16)</t>
  </si>
  <si>
    <t>=(L13+3*M13)/($B$9*(1-H13*$AE$4*$B$5/1000) - L13*($B$11+$B$12) - M13*(2*$B$11+$B$13) - E13*$B$15 - F13*$B$16)</t>
  </si>
  <si>
    <t>=(L14+3*M14)/($B$9*(1-H14*$AE$4*$B$5/1000) - L14*($B$11+$B$12) - M14*(2*$B$11+$B$13) - E14*$B$15 - F14*$B$16)</t>
  </si>
  <si>
    <t>=(L16+3*M16)/($B$9*(1-H16*$AE$5*$B$5/1000) - L16*($B$11+$B$12) - M16*(2*$B$11+$B$13) - E16*$B$15 - F16*$B$16)</t>
  </si>
  <si>
    <t>=(L17+3*M17)/($B$9*(1-H17*$AE$5*$B$5/1000) - L17*($B$11+$B$12) - M17*(2*$B$11+$B$13) - E17*$B$15 - F17*$B$16)</t>
  </si>
  <si>
    <t>=(L18+3*M18)/($B$9*(1-H18*$AE$5*$B$5/1000) - L18*($B$11+$B$12) - M18*(2*$B$11+$B$13) - E18*$B$15 - F18*$B$16)</t>
  </si>
  <si>
    <t>=(L19+3*M19)/($B$9*(1-H19*$AE$5*$B$5/1000) - L19*($B$11+$B$12) - M19*(2*$B$11+$B$13) - E19*$B$15 - F19*$B$16)</t>
  </si>
  <si>
    <t>=(L20+3*M20)/($B$9*(1-H20*$AE$5*$B$5/1000) - L20*($B$11+$B$12) - M20*(2*$B$11+$B$13) - E20*$B$15 - F20*$B$16)</t>
  </si>
  <si>
    <t>=(L22+3*M22)/($B$9*(1-H22*$AE$6*$B$5/1000) - L22*($B$11+$B$12) - M22*(2*$B$11+$B$13) - E22*$B$15 - F22*$B$16)</t>
  </si>
  <si>
    <t>=(L23+3*M23)/($B$9*(1-H23*$AE$6*$B$5/1000) - L23*($B$11+$B$12) - M23*(2*$B$11+$B$13) - E23*$B$15 - F23*$B$16)</t>
  </si>
  <si>
    <t>=(L24+3*M24)/($B$9*(1-H24*$AE$6*$B$5/1000) - L24*($B$11+$B$12) - M24*(2*$B$11+$B$13) - E24*$B$15 - F24*$B$16)</t>
  </si>
  <si>
    <t>=(L25+3*M25)/($B$9*(1-H25*$AE$6*$B$5/1000) - L25*($B$11+$B$12) - M25*(2*$B$11+$B$13) - E25*$B$15 - F25*$B$16)</t>
  </si>
  <si>
    <t>=(L26+3*M26)/($B$9*(1-H26*$AE$6*$B$5/1000) - L26*($B$11+$B$12) - M26*(2*$B$11+$B$13) - E26*$B$15 - F26*$B$16)</t>
  </si>
  <si>
    <t>=(L27+3*M27)/($B$9*(1-H27*$AE$6*$B$5/1000) - L27*($B$11+$B$12) - M27*(2*$B$11+$B$13) - E27*$B$15 - F27*$B$16)</t>
  </si>
  <si>
    <t>=(L28+3*M28)/($B$9*(1-H28*$AE$7*$B$5/1000) - L28*($B$11+$B$12) - M28*(2*$B$11+$B$13) - E28*$B$15 - F28*$B$16)</t>
  </si>
  <si>
    <t>=(L29+3*M29)/($B$9*(1-H29*$AE$7*$B$5/1000) - L29*($B$11+$B$12) - M29*(2*$B$11+$B$13) - E29*$B$15 - F29*$B$16)</t>
  </si>
  <si>
    <t>=(L30+3*M30)/($B$9*(1-H30*$AE$7*$B$5/1000) - L30*($B$11+$B$12) - M30*(2*$B$11+$B$13) - E30*$B$15 - F30*$B$16)</t>
  </si>
  <si>
    <t>=(L31+3*M31)/($B$9*(1-H31*$AE$7*$B$5/1000) - L31*($B$11+$B$12) - M31*(2*$B$11+$B$13) - E31*$B$15 - F31*$B$16)</t>
  </si>
  <si>
    <t>=(L32+3*M32)/($B$9*(1-H32*$AE$7*$B$5/1000) - L32*($B$11+$B$12) - M32*(2*$B$11+$B$13) - E32*$B$15 - F32*$B$16)</t>
  </si>
  <si>
    <t>=(L33+3*M33)/($B$9*(1-H33*$AE$7*$B$5/1000) - L33*($B$11+$B$12) - M33*(2*$B$11+$B$13) - E33*$B$15 - F33*$B$16)</t>
  </si>
  <si>
    <t>=(L34+3*M34)/($B$9*(1-H34*$AE$8*$B$5/1000) - L34*($B$11+$B$12) - M34*(2*$B$11+$B$13) - E34*$B$15 - F34*$B$16)</t>
  </si>
  <si>
    <t>=(L35+3*M35)/($B$9*(1-H35*$AE$8*$B$5/1000) - L35*($B$11+$B$12) - M35*(2*$B$11+$B$13) - E35*$B$15 - F35*$B$16)</t>
  </si>
  <si>
    <t>=(L36+3*M36)/($B$9*(1-H36*$AE$8*$B$5/1000) - L36*($B$11+$B$12) - M36*(2*$B$11+$B$13) - E36*$B$15 - F36*$B$16)</t>
  </si>
  <si>
    <t>=(L37+3*M37)/($B$9*(1-H37*$AE$8*$B$5/1000) - L37*($B$11+$B$12) - M37*(2*$B$11+$B$13) - E37*$B$15 - F37*$B$16)</t>
  </si>
  <si>
    <t>=(L38+3*M38)/($B$9*(1-H38*$AE$8*$B$5/1000) - L38*($B$11+$B$12) - M38*(2*$B$11+$B$13) - E38*$B$15 - F38*$B$16)</t>
  </si>
  <si>
    <t>N3</t>
  </si>
  <si>
    <t>mBuffer (mol/g)</t>
  </si>
  <si>
    <t>header</t>
  </si>
  <si>
    <t>Z4</t>
  </si>
  <si>
    <t>=X4*$B$9*18.01528/($B$9*18.01528 + H4+E4+F4+K4)</t>
  </si>
  <si>
    <t>=X4</t>
  </si>
  <si>
    <t>the original "molar" conversion equals gamma_m to within 1e-4; the column now states that it holds the molal value</t>
  </si>
  <si>
    <t>AA4</t>
  </si>
  <si>
    <t>=Y4*$B$9*18.01528/($B$9*18.01528 + H4+E4+F4+K4)</t>
  </si>
  <si>
    <t>=Y4</t>
  </si>
  <si>
    <t>Z5</t>
  </si>
  <si>
    <t>=X5*$B$9*18.01528/($B$9*18.01528 + H5+E5+F5+K5)</t>
  </si>
  <si>
    <t>=X5</t>
  </si>
  <si>
    <t>AA5</t>
  </si>
  <si>
    <t>=Y5*$B$9*18.01528/($B$9*18.01528 + H5+E5+F5+K5)</t>
  </si>
  <si>
    <t>=Y5</t>
  </si>
  <si>
    <t>Z6</t>
  </si>
  <si>
    <t>=X6*$B$9*18.01528/($B$9*18.01528 + H6+E6+F6+K6)</t>
  </si>
  <si>
    <t>=X6</t>
  </si>
  <si>
    <t>AA6</t>
  </si>
  <si>
    <t>=Y6*$B$9*18.01528/($B$9*18.01528 + H6+E6+F6+K6)</t>
  </si>
  <si>
    <t>=Y6</t>
  </si>
  <si>
    <t>Z7</t>
  </si>
  <si>
    <t>=X7*$B$9*18.01528/($B$9*18.01528 + H7+E7+F7+K7)</t>
  </si>
  <si>
    <t>=X7</t>
  </si>
  <si>
    <t>AA7</t>
  </si>
  <si>
    <t>=Y7*$B$9*18.01528/($B$9*18.01528 + H7+E7+F7+K7)</t>
  </si>
  <si>
    <t>=Y7</t>
  </si>
  <si>
    <t>Z8</t>
  </si>
  <si>
    <t>=X8*$B$9*18.01528/($B$9*18.01528 + H8+E8+F8+K8)</t>
  </si>
  <si>
    <t>=X8</t>
  </si>
  <si>
    <t>AA8</t>
  </si>
  <si>
    <t>=Y8*$B$9*18.01528/($B$9*18.01528 + H8+E8+F8+K8)</t>
  </si>
  <si>
    <t>=Y8</t>
  </si>
  <si>
    <t>Z9</t>
  </si>
  <si>
    <t>=X9*$B$9*18.01528/($B$9*18.01528 + H9+E9+F9+K9)</t>
  </si>
  <si>
    <t>=X9</t>
  </si>
  <si>
    <t>AA9</t>
  </si>
  <si>
    <t>=Y9*$B$9*18.01528/($B$9*18.01528 + H9+E9+F9+K9)</t>
  </si>
  <si>
    <t>=Y9</t>
  </si>
  <si>
    <t>Z10</t>
  </si>
  <si>
    <t>=X10*$B$9*18.01528/($B$9*18.01528 + H10+E10+F10+K10)</t>
  </si>
  <si>
    <t>=X10</t>
  </si>
  <si>
    <t>AA10</t>
  </si>
  <si>
    <t>=Y10*$B$9*18.01528/($B$9*18.01528 + H10+E10+F10+K10)</t>
  </si>
  <si>
    <t>=Y10</t>
  </si>
  <si>
    <t>Z11</t>
  </si>
  <si>
    <t>=X11*$B$9*18.01528/($B$9*18.01528 + H11+E11+F11+K11)</t>
  </si>
  <si>
    <t>=X11</t>
  </si>
  <si>
    <t>AA11</t>
  </si>
  <si>
    <t>=Y11*$B$9*18.01528/($B$9*18.01528 + H11+E11+F11+K11)</t>
  </si>
  <si>
    <t>=Y11</t>
  </si>
  <si>
    <t>Z12</t>
  </si>
  <si>
    <t>=X12*$B$9*18.01528/($B$9*18.01528 + H12+E12+F12+K12)</t>
  </si>
  <si>
    <t>=X12</t>
  </si>
  <si>
    <t>AA12</t>
  </si>
  <si>
    <t>=Y12*$B$9*18.01528/($B$9*18.01528 + H12+E12+F12+K12)</t>
  </si>
  <si>
    <t>=Y12</t>
  </si>
  <si>
    <t>Z13</t>
  </si>
  <si>
    <t>=X13*$B$9*18.01528/($B$9*18.01528 + H13+E13+F13+K13)</t>
  </si>
  <si>
    <t>=X13</t>
  </si>
  <si>
    <t>AA13</t>
  </si>
  <si>
    <t>=Y13*$B$9*18.01528/($B$9*18.01528 + H13+E13+F13+K13)</t>
  </si>
  <si>
    <t>=Y13</t>
  </si>
  <si>
    <t>Z14</t>
  </si>
  <si>
    <t>=X14*$B$9*18.01528/($B$9*18.01528 + H14+E14+F14+K14)</t>
  </si>
  <si>
    <t>=X14</t>
  </si>
  <si>
    <t>AA14</t>
  </si>
  <si>
    <t>=Y14*$B$9*18.01528/($B$9*18.01528 + H14+E14+F14+K14)</t>
  </si>
  <si>
    <t>=Y14</t>
  </si>
  <si>
    <t>Z15</t>
  </si>
  <si>
    <t>=X15*$B$9*18.01528/($B$9*18.01528 + H15+E15+F15+K15)</t>
  </si>
  <si>
    <t>(empty)</t>
  </si>
  <si>
    <t>empty row: formula gave 0, which appeared as a spurious point in the charts</t>
  </si>
  <si>
    <t>AA15</t>
  </si>
  <si>
    <t>=Y15*$B$9*18.01528/($B$9*18.01528 + H15+E15+F15+K15)</t>
  </si>
  <si>
    <t>Z16</t>
  </si>
  <si>
    <t>=X16*$B$9*18.01528/($B$9*18.01528 + H16+E16+F16+K16)</t>
  </si>
  <si>
    <t>=X16</t>
  </si>
  <si>
    <t>AA16</t>
  </si>
  <si>
    <t>=Y16*$B$9*18.01528/($B$9*18.01528 + H16+E16+F16+K16)</t>
  </si>
  <si>
    <t>=Y16</t>
  </si>
  <si>
    <t>Z17</t>
  </si>
  <si>
    <t>=X17*$B$9*18.01528/($B$9*18.01528 + H17+E17+F17+K17)</t>
  </si>
  <si>
    <t>=X17</t>
  </si>
  <si>
    <t>AA17</t>
  </si>
  <si>
    <t>=Y17*$B$9*18.01528/($B$9*18.01528 + H17+E17+F17+K17)</t>
  </si>
  <si>
    <t>=Y17</t>
  </si>
  <si>
    <t>Z18</t>
  </si>
  <si>
    <t>=X18*$B$9*18.01528/($B$9*18.01528 + H18+E18+F18+K18)</t>
  </si>
  <si>
    <t>=X18</t>
  </si>
  <si>
    <t>AA18</t>
  </si>
  <si>
    <t>=Y18*$B$9*18.01528/($B$9*18.01528 + H18+E18+F18+K18)</t>
  </si>
  <si>
    <t>=Y18</t>
  </si>
  <si>
    <t>Z19</t>
  </si>
  <si>
    <t>=X19*$B$9*18.01528/($B$9*18.01528 + H19+E19+F19+K19)</t>
  </si>
  <si>
    <t>=X19</t>
  </si>
  <si>
    <t>AA19</t>
  </si>
  <si>
    <t>=Y19*$B$9*18.01528/($B$9*18.01528 + H19+E19+F19+K19)</t>
  </si>
  <si>
    <t>=Y19</t>
  </si>
  <si>
    <t>Z20</t>
  </si>
  <si>
    <t>=X20*$B$9*18.01528/($B$9*18.01528 + H20+E20+F20+K20)</t>
  </si>
  <si>
    <t>=X20</t>
  </si>
  <si>
    <t>AA20</t>
  </si>
  <si>
    <t>=Y20*$B$9*18.01528/($B$9*18.01528 + H20+E20+F20+K20)</t>
  </si>
  <si>
    <t>=Y20</t>
  </si>
  <si>
    <t>Z21</t>
  </si>
  <si>
    <t>=X21*$B$9*18.01528/($B$9*18.01528 + H21+E21+F21+K21)</t>
  </si>
  <si>
    <t>AA21</t>
  </si>
  <si>
    <t>=Y21*$B$9*18.01528/($B$9*18.01528 + H21+E21+F21+K21)</t>
  </si>
  <si>
    <t>Z22</t>
  </si>
  <si>
    <t>=X22*$B$9*18.01528/($B$9*18.01528 + H22+E22+F22+K22)</t>
  </si>
  <si>
    <t>=X22</t>
  </si>
  <si>
    <t>AA22</t>
  </si>
  <si>
    <t>=Y22*$B$9*18.01528/($B$9*18.01528 + H22+E22+F22+K22)</t>
  </si>
  <si>
    <t>=Y22</t>
  </si>
  <si>
    <t>Z23</t>
  </si>
  <si>
    <t>=X23*$B$9*18.01528/($B$9*18.01528 + H23+E23+F23+K23)</t>
  </si>
  <si>
    <t>=X23</t>
  </si>
  <si>
    <t>AA23</t>
  </si>
  <si>
    <t>=Y23*$B$9*18.01528/($B$9*18.01528 + H23+E23+F23+K23)</t>
  </si>
  <si>
    <t>=Y23</t>
  </si>
  <si>
    <t>Z24</t>
  </si>
  <si>
    <t>=X24*$B$9*18.01528/($B$9*18.01528 + H24+E24+F24+K24)</t>
  </si>
  <si>
    <t>=X24</t>
  </si>
  <si>
    <t>AA24</t>
  </si>
  <si>
    <t>=Y24*$B$9*18.01528/($B$9*18.01528 + H24+E24+F24+K24)</t>
  </si>
  <si>
    <t>=Y24</t>
  </si>
  <si>
    <t>Z25</t>
  </si>
  <si>
    <t>=X25*$B$9*18.01528/($B$9*18.01528 + H25+E25+F25+K25)</t>
  </si>
  <si>
    <t>=X25</t>
  </si>
  <si>
    <t>AA25</t>
  </si>
  <si>
    <t>=Y25*$B$9*18.01528/($B$9*18.01528 + H25+E25+F25+K25)</t>
  </si>
  <si>
    <t>=Y25</t>
  </si>
  <si>
    <t>Z26</t>
  </si>
  <si>
    <t>=X26*$B$9*18.01528/($B$9*18.01528 + H26+E26+F26+K26)</t>
  </si>
  <si>
    <t>=X26</t>
  </si>
  <si>
    <t>AA26</t>
  </si>
  <si>
    <t>=Y26*$B$9*18.01528/($B$9*18.01528 + H26+E26+F26+K26)</t>
  </si>
  <si>
    <t>=Y26</t>
  </si>
  <si>
    <t>Z27</t>
  </si>
  <si>
    <t>=X27*$B$9*18.01528/($B$9*18.01528 + H27+E27+F27+K27)</t>
  </si>
  <si>
    <t>=X27</t>
  </si>
  <si>
    <t>AA27</t>
  </si>
  <si>
    <t>=Y27*$B$9*18.01528/($B$9*18.01528 + H27+E27+F27+K27)</t>
  </si>
  <si>
    <t>=Y27</t>
  </si>
  <si>
    <t>Z28</t>
  </si>
  <si>
    <t>=X28*$B$9*18.01528/($B$9*18.01528 + H28+E28+F28+K28)</t>
  </si>
  <si>
    <t>=X28</t>
  </si>
  <si>
    <t>AA28</t>
  </si>
  <si>
    <t>=Y28*$B$9*18.01528/($B$9*18.01528 + H28+E28+F28+K28)</t>
  </si>
  <si>
    <t>=Y28</t>
  </si>
  <si>
    <t>Z29</t>
  </si>
  <si>
    <t>=X29*$B$9*18.01528/($B$9*18.01528 + H29+E29+F29+K29)</t>
  </si>
  <si>
    <t>=X29</t>
  </si>
  <si>
    <t>AA29</t>
  </si>
  <si>
    <t>=Y29*$B$9*18.01528/($B$9*18.01528 + H29+E29+F29+K29)</t>
  </si>
  <si>
    <t>=Y29</t>
  </si>
  <si>
    <t>Z30</t>
  </si>
  <si>
    <t>=X30*$B$9*18.01528/($B$9*18.01528 + H30+E30+F30+K30)</t>
  </si>
  <si>
    <t>=X30</t>
  </si>
  <si>
    <t>AA30</t>
  </si>
  <si>
    <t>=Y30*$B$9*18.01528/($B$9*18.01528 + H30+E30+F30+K30)</t>
  </si>
  <si>
    <t>=Y30</t>
  </si>
  <si>
    <t>Z31</t>
  </si>
  <si>
    <t>=X31*$B$9*18.01528/($B$9*18.01528 + H31+E31+F31+K31)</t>
  </si>
  <si>
    <t>=X31</t>
  </si>
  <si>
    <t>AA31</t>
  </si>
  <si>
    <t>=Y31*$B$9*18.01528/($B$9*18.01528 + H31+E31+F31+K31)</t>
  </si>
  <si>
    <t>=Y31</t>
  </si>
  <si>
    <t>Z32</t>
  </si>
  <si>
    <t>=X32*$B$9*18.01528/($B$9*18.01528 + H32+E32+F32+K32)</t>
  </si>
  <si>
    <t>=X32</t>
  </si>
  <si>
    <t>AA32</t>
  </si>
  <si>
    <t>=Y32*$B$9*18.01528/($B$9*18.01528 + H32+E32+F32+K32)</t>
  </si>
  <si>
    <t>=Y32</t>
  </si>
  <si>
    <t>Z33</t>
  </si>
  <si>
    <t>=X33*$B$9*18.01528/($B$9*18.01528 + H33+E33+F33+K33)</t>
  </si>
  <si>
    <t>=X33</t>
  </si>
  <si>
    <t>AA33</t>
  </si>
  <si>
    <t>=Y33*$B$9*18.01528/($B$9*18.01528 + H33+E33+F33+K33)</t>
  </si>
  <si>
    <t>=Y33</t>
  </si>
  <si>
    <t>Z34</t>
  </si>
  <si>
    <t>=X34*$B$9*18.01528/($B$9*18.01528 + H34+E34+F34+K34)</t>
  </si>
  <si>
    <t>=X34</t>
  </si>
  <si>
    <t>AA34</t>
  </si>
  <si>
    <t>=Y34*$B$9*18.01528/($B$9*18.01528 + H34+E34+F34+K34)</t>
  </si>
  <si>
    <t>=Y34</t>
  </si>
  <si>
    <t>Z35</t>
  </si>
  <si>
    <t>=X35*$B$9*18.01528/($B$9*18.01528 + H35+E35+F35+K35)</t>
  </si>
  <si>
    <t>=X35</t>
  </si>
  <si>
    <t>AA35</t>
  </si>
  <si>
    <t>=Y35*$B$9*18.01528/($B$9*18.01528 + H35+E35+F35+K35)</t>
  </si>
  <si>
    <t>=Y35</t>
  </si>
  <si>
    <t>Z36</t>
  </si>
  <si>
    <t>=X36*$B$9*18.01528/($B$9*18.01528 + H36+E36+F36+K36)</t>
  </si>
  <si>
    <t>=X36</t>
  </si>
  <si>
    <t>AA36</t>
  </si>
  <si>
    <t>=Y36*$B$9*18.01528/($B$9*18.01528 + H36+E36+F36+K36)</t>
  </si>
  <si>
    <t>=Y36</t>
  </si>
  <si>
    <t>Z37</t>
  </si>
  <si>
    <t>=X37*$B$9*18.01528/($B$9*18.01528 + H37+E37+F37+K37)</t>
  </si>
  <si>
    <t>=X37</t>
  </si>
  <si>
    <t>AA37</t>
  </si>
  <si>
    <t>=Y37*$B$9*18.01528/($B$9*18.01528 + H37+E37+F37+K37)</t>
  </si>
  <si>
    <t>=Y37</t>
  </si>
  <si>
    <t>Z38</t>
  </si>
  <si>
    <t>=X38*$B$9*18.01528/($B$9*18.01528 + H38+E38+F38+K38)</t>
  </si>
  <si>
    <t>=X38</t>
  </si>
  <si>
    <t>AA38</t>
  </si>
  <si>
    <t>=Y38*$B$9*18.01528/($B$9*18.01528 + H38+E38+F38+K38)</t>
  </si>
  <si>
    <t>=Y38</t>
  </si>
  <si>
    <t>Z39</t>
  </si>
  <si>
    <t>=X39*$B$9*18.01528/($B$9*18.01528 + H39+E39+F39+K39)</t>
  </si>
  <si>
    <t>AA39</t>
  </si>
  <si>
    <t>=Y39*$B$9*18.01528/($B$9*18.01528 + H39+E39+F39+K39)</t>
  </si>
  <si>
    <t>Z3</t>
  </si>
  <si>
    <t>𝜸 (c)</t>
  </si>
  <si>
    <t>AA3</t>
  </si>
  <si>
    <t>𝜸 Agena (c)</t>
  </si>
  <si>
    <t>U5</t>
  </si>
  <si>
    <t>-497514.136700629</t>
  </si>
  <si>
    <t>-492024</t>
  </si>
  <si>
    <t>phi-1 fit: polynomial refitted (least squares, rows 4-9)</t>
  </si>
  <si>
    <t>U11</t>
  </si>
  <si>
    <t>-714085.048710062</t>
  </si>
  <si>
    <t>-706012</t>
  </si>
  <si>
    <t>phi-1 fit: polynomial refitted (least squares, rows 10-14)</t>
  </si>
  <si>
    <t>U12</t>
  </si>
  <si>
    <t>3658968117061.02</t>
  </si>
  <si>
    <t>3.6655e+12</t>
  </si>
  <si>
    <t>U13</t>
  </si>
  <si>
    <t>-1.34392867410373e+19</t>
  </si>
  <si>
    <t>-1.35036e+19</t>
  </si>
  <si>
    <t>U14</t>
  </si>
  <si>
    <t>1.57229620786611e+25</t>
  </si>
  <si>
    <t>1.58129e+25</t>
  </si>
  <si>
    <t>U17</t>
  </si>
  <si>
    <t>-1023117.46506542</t>
  </si>
  <si>
    <t>-1.0125e+06</t>
  </si>
  <si>
    <t>phi-1 fit: polynomial refitted (least squares, rows 16-20)</t>
  </si>
  <si>
    <t>U18</t>
  </si>
  <si>
    <t>10353207925720.1</t>
  </si>
  <si>
    <t>1.03811e+13</t>
  </si>
  <si>
    <t>U19</t>
  </si>
  <si>
    <t>-5.0178219117719e+19</t>
  </si>
  <si>
    <t>-5.0416e+19</t>
  </si>
  <si>
    <t>U20</t>
  </si>
  <si>
    <t>7.74081114132003e+25</t>
  </si>
  <si>
    <t>7.78761e+25</t>
  </si>
  <si>
    <t>U23</t>
  </si>
  <si>
    <t>-299414.929515633</t>
  </si>
  <si>
    <t>-284043</t>
  </si>
  <si>
    <t>phi-1 fit: polynomial refitted (least squares, rows 22-27)</t>
  </si>
  <si>
    <t>U24</t>
  </si>
  <si>
    <t>-2072697824940.64</t>
  </si>
  <si>
    <t>-2.12875e+12</t>
  </si>
  <si>
    <t>U25</t>
  </si>
  <si>
    <t>3.20266365072971e+19</t>
  </si>
  <si>
    <t>3.25449e+19</t>
  </si>
  <si>
    <t>U26</t>
  </si>
  <si>
    <t>-8.46851167498588e+25</t>
  </si>
  <si>
    <t>-8.60719e+25</t>
  </si>
  <si>
    <t>U29</t>
  </si>
  <si>
    <t>-618952.448336462</t>
  </si>
  <si>
    <t>-608843</t>
  </si>
  <si>
    <t>phi-1 fit: polynomial refitted (least squares, rows 28-33)</t>
  </si>
  <si>
    <t>U30</t>
  </si>
  <si>
    <t>-1351128334167.08</t>
  </si>
  <si>
    <t>-1.406e+12</t>
  </si>
  <si>
    <t>U31</t>
  </si>
  <si>
    <t>1.64856983765059e+19</t>
  </si>
  <si>
    <t>1.68179e+19</t>
  </si>
  <si>
    <t>U32</t>
  </si>
  <si>
    <t>-3.37373715850602e+25</t>
  </si>
  <si>
    <t>-3.43998e+25</t>
  </si>
  <si>
    <t>U35</t>
  </si>
  <si>
    <t>-692651.817983146</t>
  </si>
  <si>
    <t>-682084</t>
  </si>
  <si>
    <t>phi-1 fit: polynomial refitted (least squares, rows 34-38)</t>
  </si>
  <si>
    <t>U36</t>
  </si>
  <si>
    <t>-1389436221762.58</t>
  </si>
  <si>
    <t>-1.42236e+12</t>
  </si>
  <si>
    <t>U37</t>
  </si>
  <si>
    <t>1.48418302140461e+19</t>
  </si>
  <si>
    <t>1.50255e+19</t>
  </si>
  <si>
    <t>U38</t>
  </si>
  <si>
    <t>-3.01529875183419e+25</t>
  </si>
  <si>
    <t>-3.05556e+25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</si>
</sst>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E+00"/>
    <numFmt numFmtId="165" formatCode="0.0"/>
    <numFmt numFmtId="166" formatCode="0.000000000"/>
    <numFmt numFmtId="167" formatCode="0.0000"/>
    <numFmt numFmtId="168" formatCode="0.000000"/>
    <numFmt numFmtId="169" formatCode="0.000"/>
  </numFmts>
  <fonts count="6" x14ac:knownFonts="1">
    <font>
      <sz val="12"/>
      <color theme="1"/>
      <name val="Calibri"/>
      <family val="2"/>
      <charset val="1"/>
    </font>
    <font>
      <sz val="12"/>
      <color rgb="FF000000"/>
      <name val="Calibri"/>
      <family val="2"/>
      <charset val="1"/>
    </font>
    <font>
      <b/>
      <sz val="12"/>
      <name val="Arial"/>
      <charset val="1"/>
    </font>
    <font>
      <sz val="11"/>
      <name val="Arial"/>
      <charset val="1"/>
    </font>
    <font>
      <b/>
      <sz val="11"/>
      <name val="Arial"/>
      <charset val="1"/>
    </font>
    <font>
      <sz val="9"/>
      <name val="Arial"/>
      <charset val="1"/>
    </font>
  </fonts>
  <fills count="6">
    <fill>
      <patternFill patternType="none"/>
    </fill>
    <fill>
      <patternFill patternType="gray125"/>
    </fill>
    <fill>
      <patternFill patternType="solid">
        <fgColor theme="8" tint="0.79989013336588644"/>
        <bgColor rgb="FFD9D9D9"/>
      </patternFill>
    </fill>
    <fill>
      <patternFill patternType="solid">
        <fgColor theme="5" tint="0.79989013336588644"/>
        <bgColor rgb="FFFCE4D6"/>
      </patternFill>
    </fill>
    <fill>
      <patternFill patternType="solid">
        <fgColor theme="7" tint="0.79989013336588644"/>
        <bgColor rgb="FFFBE5D6"/>
      </patternFill>
    </fill>
    <fill>
      <patternFill patternType="solid">
        <fgColor rgb="FFFCE4D6"/>
        <bgColor rgb="FFFBE5D6"/>
      </patternFill>
    </fill>
  </fills>
  <borders count="8">
    <border>
      <left/>
      <right/>
      <top/>
      <bottom/>
      <diagonal/>
    </border>
    <border>
      <left style="thin">
        <color auto="1"/>
      </left>
      <right style="thin">
        <color auto="1"/>
      </right>
      <top style="thin">
        <color auto="1"/>
      </top>
      <bottom/>
      <diagonal/>
    </border>
    <border>
      <left/>
      <right/>
      <top style="thin">
        <color auto="1"/>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8">
    <xf numFmtId="0" fontId="0" fillId="0" borderId="0" xfId="0"/>
    <xf numFmtId="0" fontId="3" fillId="0" borderId="0" xfId="0" applyFont="1" applyAlignment="1">
      <alignment vertical="top" wrapText="1"/>
    </xf>
    <xf numFmtId="0" fontId="1" fillId="2" borderId="5" xfId="0" applyFont="1" applyFill="1" applyBorder="1" applyAlignment="1">
      <alignment horizontal="center" vertical="center"/>
    </xf>
    <xf numFmtId="0" fontId="1" fillId="2" borderId="4" xfId="0" applyFont="1" applyFill="1" applyBorder="1" applyAlignment="1">
      <alignment horizontal="center" vertical="center"/>
    </xf>
    <xf numFmtId="0" fontId="0" fillId="2" borderId="4" xfId="0" applyFill="1" applyBorder="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64" fontId="0" fillId="0" borderId="2" xfId="0" applyNumberFormat="1" applyBorder="1" applyAlignment="1">
      <alignment horizontal="center" vertical="center"/>
    </xf>
    <xf numFmtId="11"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1" fontId="0" fillId="0" borderId="2" xfId="0" applyNumberFormat="1" applyBorder="1" applyAlignment="1">
      <alignment horizontal="center" vertical="center"/>
    </xf>
    <xf numFmtId="166" fontId="0" fillId="0" borderId="2" xfId="0" applyNumberFormat="1" applyBorder="1" applyAlignment="1">
      <alignment horizontal="center" vertical="center"/>
    </xf>
    <xf numFmtId="2" fontId="0" fillId="0" borderId="2" xfId="0" applyNumberFormat="1" applyBorder="1" applyAlignment="1">
      <alignment horizontal="center" vertical="center"/>
    </xf>
    <xf numFmtId="165" fontId="0" fillId="0" borderId="2" xfId="0" applyNumberFormat="1" applyBorder="1" applyAlignment="1">
      <alignment horizontal="center" vertical="center"/>
    </xf>
    <xf numFmtId="167" fontId="0" fillId="0" borderId="2" xfId="0" applyNumberFormat="1" applyBorder="1" applyAlignment="1">
      <alignment horizontal="center" vertical="center"/>
    </xf>
    <xf numFmtId="0" fontId="0" fillId="3" borderId="2" xfId="0" applyFill="1" applyBorder="1" applyAlignment="1">
      <alignment horizontal="center" vertical="center"/>
    </xf>
    <xf numFmtId="167" fontId="0" fillId="2" borderId="1" xfId="0" applyNumberFormat="1" applyFill="1" applyBorder="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11" fontId="0" fillId="2" borderId="5" xfId="0" applyNumberFormat="1" applyFill="1" applyBorder="1" applyAlignment="1">
      <alignment horizontal="center" vertical="center"/>
    </xf>
    <xf numFmtId="11" fontId="0" fillId="0" borderId="0" xfId="0" applyNumberFormat="1" applyAlignment="1">
      <alignment horizontal="center" vertical="center"/>
    </xf>
    <xf numFmtId="2" fontId="0" fillId="0" borderId="0" xfId="0" applyNumberFormat="1" applyAlignment="1">
      <alignment horizontal="center" vertical="center"/>
    </xf>
    <xf numFmtId="165" fontId="0" fillId="0" borderId="0" xfId="0" applyNumberFormat="1" applyAlignment="1">
      <alignment horizontal="center" vertical="center"/>
    </xf>
    <xf numFmtId="167" fontId="0" fillId="0" borderId="0" xfId="0" applyNumberFormat="1" applyAlignment="1">
      <alignment horizontal="center" vertical="center"/>
    </xf>
    <xf numFmtId="11" fontId="0" fillId="3" borderId="0" xfId="0" applyNumberFormat="1" applyFill="1" applyAlignment="1">
      <alignment horizontal="center" vertical="center"/>
    </xf>
    <xf numFmtId="167" fontId="0" fillId="2" borderId="5" xfId="0" applyNumberFormat="1" applyFill="1" applyBorder="1" applyAlignment="1">
      <alignment horizontal="center" vertical="center"/>
    </xf>
    <xf numFmtId="164" fontId="0" fillId="0" borderId="6" xfId="0" applyNumberFormat="1" applyBorder="1" applyAlignment="1">
      <alignment horizontal="center" vertical="center"/>
    </xf>
    <xf numFmtId="0" fontId="0" fillId="0" borderId="6" xfId="0" applyBorder="1" applyAlignment="1">
      <alignment horizontal="center" vertical="center"/>
    </xf>
    <xf numFmtId="11" fontId="0" fillId="2" borderId="7" xfId="0" applyNumberFormat="1" applyFill="1" applyBorder="1" applyAlignment="1">
      <alignment horizontal="center" vertical="center"/>
    </xf>
    <xf numFmtId="11" fontId="0" fillId="0" borderId="6" xfId="0" applyNumberFormat="1" applyBorder="1" applyAlignment="1">
      <alignment horizontal="center" vertical="center"/>
    </xf>
    <xf numFmtId="2" fontId="0" fillId="0" borderId="6" xfId="0" applyNumberFormat="1" applyBorder="1" applyAlignment="1">
      <alignment horizontal="center" vertical="center"/>
    </xf>
    <xf numFmtId="165" fontId="0" fillId="0" borderId="6" xfId="0" applyNumberFormat="1" applyBorder="1" applyAlignment="1">
      <alignment horizontal="center" vertical="center"/>
    </xf>
    <xf numFmtId="167" fontId="0" fillId="0" borderId="6" xfId="0" applyNumberFormat="1" applyBorder="1" applyAlignment="1">
      <alignment horizontal="center" vertical="center"/>
    </xf>
    <xf numFmtId="168" fontId="0" fillId="4" borderId="6" xfId="0" applyNumberFormat="1" applyFill="1" applyBorder="1" applyAlignment="1">
      <alignment horizontal="center" vertical="center"/>
    </xf>
    <xf numFmtId="167" fontId="0" fillId="2" borderId="7" xfId="0" applyNumberFormat="1" applyFill="1" applyBorder="1" applyAlignment="1">
      <alignment horizontal="center" vertical="center"/>
    </xf>
    <xf numFmtId="0" fontId="0" fillId="3" borderId="0" xfId="0" applyFill="1" applyAlignment="1">
      <alignment horizontal="center" vertical="center"/>
    </xf>
    <xf numFmtId="11" fontId="0" fillId="0" borderId="0" xfId="0" applyNumberFormat="1"/>
    <xf numFmtId="11" fontId="1" fillId="5" borderId="0" xfId="0" applyNumberFormat="1" applyFont="1" applyFill="1" applyAlignment="1">
      <alignment horizontal="center" vertical="center"/>
    </xf>
    <xf numFmtId="168" fontId="0" fillId="4" borderId="0" xfId="0" applyNumberFormat="1" applyFill="1" applyAlignment="1">
      <alignment horizontal="center" vertical="center"/>
    </xf>
    <xf numFmtId="169" fontId="0" fillId="0" borderId="0" xfId="0" applyNumberFormat="1" applyAlignment="1">
      <alignment horizontal="center" vertical="center"/>
    </xf>
    <xf numFmtId="2" fontId="0" fillId="0" borderId="0" xfId="0" applyNumberFormat="1"/>
    <xf numFmtId="166" fontId="0" fillId="0" borderId="0" xfId="0" applyNumberFormat="1"/>
    <xf numFmtId="0" fontId="2" fillId="0" borderId="0" xfId="0" applyFont="1"/>
    <xf numFmtId="0" fontId="4" fillId="0" borderId="0" xfId="0" applyFont="1"/>
    <xf numFmtId="0" fontId="5" fillId="0" borderId="0" xfId="0" applyFont="1" applyAlignment="1">
      <alignment vertical="top"/>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BE5D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7030A0"/>
      <rgbColor rgb="FFFFF2CC"/>
      <rgbColor rgb="FFDEEBF7"/>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4472C4"/>
      <rgbColor rgb="FF33CCCC"/>
      <rgbColor rgb="FF70AD47"/>
      <rgbColor rgb="FFFFC000"/>
      <rgbColor rgb="FFFF9900"/>
      <rgbColor rgb="FFED7D31"/>
      <rgbColor rgb="FF595959"/>
      <rgbColor rgb="FFA5A5A5"/>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0070C0"/>
              </a:solidFill>
              <a:round/>
            </a:ln>
          </c:spPr>
          <c:marker>
            <c:symbol val="circle"/>
            <c:size val="5"/>
            <c:spPr>
              <a:solidFill>
                <a:srgbClr val="0070C0"/>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NaHPO4!$AC$3:$AC$8</c:f>
              <c:numCache>
                <c:formatCode>General</c:formatCode>
                <c:ptCount val="6"/>
                <c:pt idx="0">
                  <c:v>4.5</c:v>
                </c:pt>
                <c:pt idx="1">
                  <c:v>5</c:v>
                </c:pt>
                <c:pt idx="2">
                  <c:v>6</c:v>
                </c:pt>
                <c:pt idx="3">
                  <c:v>7</c:v>
                </c:pt>
                <c:pt idx="4">
                  <c:v>8.25</c:v>
                </c:pt>
                <c:pt idx="5">
                  <c:v>9</c:v>
                </c:pt>
              </c:numCache>
            </c:numRef>
          </c:xVal>
          <c:yVal>
            <c:numRef>
              <c:f>NaHPO4!$AD$3:$AD$8</c:f>
              <c:numCache>
                <c:formatCode>General</c:formatCode>
                <c:ptCount val="6"/>
                <c:pt idx="0">
                  <c:v>27.9</c:v>
                </c:pt>
                <c:pt idx="1">
                  <c:v>30</c:v>
                </c:pt>
                <c:pt idx="2">
                  <c:v>35.9</c:v>
                </c:pt>
                <c:pt idx="3">
                  <c:v>36.9</c:v>
                </c:pt>
                <c:pt idx="4">
                  <c:v>31.4</c:v>
                </c:pt>
                <c:pt idx="5">
                  <c:v>31.6</c:v>
                </c:pt>
              </c:numCache>
            </c:numRef>
          </c:yVal>
          <c:smooth val="0"/>
          <c:extLst>
            <c:ext xmlns:c16="http://schemas.microsoft.com/office/drawing/2014/chart" uri="{C3380CC4-5D6E-409C-BE32-E72D297353CC}">
              <c16:uniqueId val="{00000000-14AF-5A48-AEBF-A366CB8AE6AE}"/>
            </c:ext>
          </c:extLst>
        </c:ser>
        <c:ser>
          <c:idx val="1"/>
          <c:order val="1"/>
          <c:spPr>
            <a:ln w="19080" cap="rnd">
              <a:solidFill>
                <a:srgbClr val="0070C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NaHPO4!$AC$3:$AC$8</c:f>
              <c:numCache>
                <c:formatCode>General</c:formatCode>
                <c:ptCount val="6"/>
                <c:pt idx="0">
                  <c:v>4.5</c:v>
                </c:pt>
                <c:pt idx="1">
                  <c:v>5</c:v>
                </c:pt>
                <c:pt idx="2">
                  <c:v>6</c:v>
                </c:pt>
                <c:pt idx="3">
                  <c:v>7</c:v>
                </c:pt>
                <c:pt idx="4">
                  <c:v>8.25</c:v>
                </c:pt>
                <c:pt idx="5">
                  <c:v>9</c:v>
                </c:pt>
              </c:numCache>
            </c:numRef>
          </c:xVal>
          <c:yVal>
            <c:numRef>
              <c:f>NaHPO4!$AG$3:$AG$8</c:f>
              <c:numCache>
                <c:formatCode>General</c:formatCode>
                <c:ptCount val="6"/>
                <c:pt idx="0">
                  <c:v>27.799999999999997</c:v>
                </c:pt>
                <c:pt idx="1">
                  <c:v>30</c:v>
                </c:pt>
                <c:pt idx="2">
                  <c:v>35.699999999999996</c:v>
                </c:pt>
                <c:pt idx="3">
                  <c:v>36.699999999999996</c:v>
                </c:pt>
                <c:pt idx="4">
                  <c:v>31.2</c:v>
                </c:pt>
                <c:pt idx="5">
                  <c:v>31.5</c:v>
                </c:pt>
              </c:numCache>
            </c:numRef>
          </c:yVal>
          <c:smooth val="0"/>
          <c:extLst>
            <c:ext xmlns:c16="http://schemas.microsoft.com/office/drawing/2014/chart" uri="{C3380CC4-5D6E-409C-BE32-E72D297353CC}">
              <c16:uniqueId val="{00000001-14AF-5A48-AEBF-A366CB8AE6AE}"/>
            </c:ext>
          </c:extLst>
        </c:ser>
        <c:ser>
          <c:idx val="2"/>
          <c:order val="2"/>
          <c:spPr>
            <a:ln w="19080" cap="rnd">
              <a:solidFill>
                <a:srgbClr val="0070C0"/>
              </a:solidFill>
              <a:prstDash val="sysDash"/>
              <a:round/>
            </a:ln>
          </c:spPr>
          <c:marker>
            <c:symbol val="none"/>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NaHPO4!$AC$3:$AC$8</c:f>
              <c:numCache>
                <c:formatCode>General</c:formatCode>
                <c:ptCount val="6"/>
                <c:pt idx="0">
                  <c:v>4.5</c:v>
                </c:pt>
                <c:pt idx="1">
                  <c:v>5</c:v>
                </c:pt>
                <c:pt idx="2">
                  <c:v>6</c:v>
                </c:pt>
                <c:pt idx="3">
                  <c:v>7</c:v>
                </c:pt>
                <c:pt idx="4">
                  <c:v>8.25</c:v>
                </c:pt>
                <c:pt idx="5">
                  <c:v>9</c:v>
                </c:pt>
              </c:numCache>
            </c:numRef>
          </c:xVal>
          <c:yVal>
            <c:numRef>
              <c:f>NaHPO4!$AH$3:$AH$8</c:f>
              <c:numCache>
                <c:formatCode>General</c:formatCode>
                <c:ptCount val="6"/>
                <c:pt idx="0">
                  <c:v>28</c:v>
                </c:pt>
                <c:pt idx="1">
                  <c:v>30</c:v>
                </c:pt>
                <c:pt idx="2">
                  <c:v>36.1</c:v>
                </c:pt>
                <c:pt idx="3">
                  <c:v>37.1</c:v>
                </c:pt>
                <c:pt idx="4">
                  <c:v>31.599999999999998</c:v>
                </c:pt>
                <c:pt idx="5">
                  <c:v>31.700000000000003</c:v>
                </c:pt>
              </c:numCache>
            </c:numRef>
          </c:yVal>
          <c:smooth val="0"/>
          <c:extLst>
            <c:ext xmlns:c16="http://schemas.microsoft.com/office/drawing/2014/chart" uri="{C3380CC4-5D6E-409C-BE32-E72D297353CC}">
              <c16:uniqueId val="{00000002-14AF-5A48-AEBF-A366CB8AE6AE}"/>
            </c:ext>
          </c:extLst>
        </c:ser>
        <c:dLbls>
          <c:showLegendKey val="0"/>
          <c:showVal val="0"/>
          <c:showCatName val="0"/>
          <c:showSerName val="0"/>
          <c:showPercent val="0"/>
          <c:showBubbleSize val="0"/>
        </c:dLbls>
        <c:axId val="84022608"/>
        <c:axId val="24029102"/>
      </c:scatterChart>
      <c:valAx>
        <c:axId val="84022608"/>
        <c:scaling>
          <c:orientation val="minMax"/>
          <c:min val="4"/>
        </c:scaling>
        <c:delete val="0"/>
        <c:axPos val="b"/>
        <c:title>
          <c:tx>
            <c:rich>
              <a:bodyPr rot="0"/>
              <a:lstStyle/>
              <a:p>
                <a:pPr>
                  <a:defRPr lang="en-GB" sz="1000" b="0" strike="noStrike" spc="-1">
                    <a:solidFill>
                      <a:srgbClr val="595959"/>
                    </a:solidFill>
                    <a:latin typeface="Calibri"/>
                  </a:defRPr>
                </a:pPr>
                <a:r>
                  <a:rPr lang="en-GB" sz="1000" b="0" strike="noStrike" spc="-1">
                    <a:solidFill>
                      <a:srgbClr val="595959"/>
                    </a:solidFill>
                    <a:latin typeface="Calibri"/>
                  </a:rPr>
                  <a:t>pH</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24029102"/>
        <c:crosses val="autoZero"/>
        <c:crossBetween val="midCat"/>
      </c:valAx>
      <c:valAx>
        <c:axId val="24029102"/>
        <c:scaling>
          <c:orientation val="minMax"/>
          <c:min val="25"/>
        </c:scaling>
        <c:delete val="0"/>
        <c:axPos val="l"/>
        <c:majorGridlines>
          <c:spPr>
            <a:ln w="9360">
              <a:solidFill>
                <a:srgbClr val="D9D9D9"/>
              </a:solidFill>
              <a:round/>
            </a:ln>
          </c:spPr>
        </c:majorGridlines>
        <c:title>
          <c:tx>
            <c:rich>
              <a:bodyPr rot="-5400000"/>
              <a:lstStyle/>
              <a:p>
                <a:pPr>
                  <a:defRPr lang="en-GB" sz="1000" b="0" strike="noStrike" spc="-1">
                    <a:solidFill>
                      <a:srgbClr val="595959"/>
                    </a:solidFill>
                    <a:latin typeface="Calibri"/>
                  </a:defRPr>
                </a:pPr>
                <a:r>
                  <a:rPr lang="en-GB" sz="1000" b="0" strike="noStrike" spc="-1">
                    <a:solidFill>
                      <a:srgbClr val="595959"/>
                    </a:solidFill>
                    <a:latin typeface="Calibri"/>
                  </a:rPr>
                  <a:t>MW (kg/mol)</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84022608"/>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pH4.5</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NaHPO4!$J$4:$J$9</c:f>
              <c:numCache>
                <c:formatCode>0.00E+00</c:formatCode>
                <c:ptCount val="6"/>
                <c:pt idx="0">
                  <c:v>6.5878623918159415E-8</c:v>
                </c:pt>
                <c:pt idx="1">
                  <c:v>1.3189860639783066E-7</c:v>
                </c:pt>
                <c:pt idx="2">
                  <c:v>1.9813374041031224E-7</c:v>
                </c:pt>
                <c:pt idx="3">
                  <c:v>2.6454826539098578E-7</c:v>
                </c:pt>
                <c:pt idx="4">
                  <c:v>3.3114291112077457E-7</c:v>
                </c:pt>
                <c:pt idx="5">
                  <c:v>4.0616711397087848E-7</c:v>
                </c:pt>
              </c:numCache>
            </c:numRef>
          </c:xVal>
          <c:yVal>
            <c:numRef>
              <c:f>NaHPO4!$S$4:$S$9</c:f>
              <c:numCache>
                <c:formatCode>0.0000</c:formatCode>
                <c:ptCount val="6"/>
                <c:pt idx="0">
                  <c:v>-4.545434340815413E-2</c:v>
                </c:pt>
                <c:pt idx="1">
                  <c:v>-5.9851505727149368E-2</c:v>
                </c:pt>
                <c:pt idx="2">
                  <c:v>-0.10060028697716283</c:v>
                </c:pt>
                <c:pt idx="3">
                  <c:v>-0.14263734644939552</c:v>
                </c:pt>
                <c:pt idx="4">
                  <c:v>-0.1606448071034362</c:v>
                </c:pt>
                <c:pt idx="5">
                  <c:v>-0.19158795924800287</c:v>
                </c:pt>
              </c:numCache>
            </c:numRef>
          </c:yVal>
          <c:smooth val="0"/>
          <c:extLst>
            <c:ext xmlns:c16="http://schemas.microsoft.com/office/drawing/2014/chart" uri="{C3380CC4-5D6E-409C-BE32-E72D297353CC}">
              <c16:uniqueId val="{00000000-153E-3A45-9B22-FE54976722AF}"/>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NaHPO4!$J$4:$J$9</c:f>
              <c:numCache>
                <c:formatCode>0.00E+00</c:formatCode>
                <c:ptCount val="6"/>
                <c:pt idx="0">
                  <c:v>6.5878623918159415E-8</c:v>
                </c:pt>
                <c:pt idx="1">
                  <c:v>1.3189860639783066E-7</c:v>
                </c:pt>
                <c:pt idx="2">
                  <c:v>1.9813374041031224E-7</c:v>
                </c:pt>
                <c:pt idx="3">
                  <c:v>2.6454826539098578E-7</c:v>
                </c:pt>
                <c:pt idx="4">
                  <c:v>3.3114291112077457E-7</c:v>
                </c:pt>
                <c:pt idx="5">
                  <c:v>4.0616711397087848E-7</c:v>
                </c:pt>
              </c:numCache>
            </c:numRef>
          </c:xVal>
          <c:yVal>
            <c:numRef>
              <c:f>NaHPO4!$T$4:$T$9</c:f>
              <c:numCache>
                <c:formatCode>0.0000</c:formatCode>
                <c:ptCount val="6"/>
                <c:pt idx="0">
                  <c:v>-3.2413886736675133E-2</c:v>
                </c:pt>
                <c:pt idx="1">
                  <c:v>-6.489732532688923E-2</c:v>
                </c:pt>
                <c:pt idx="2">
                  <c:v>-9.748662370895933E-2</c:v>
                </c:pt>
                <c:pt idx="3">
                  <c:v>-0.13016418681452729</c:v>
                </c:pt>
                <c:pt idx="4">
                  <c:v>-0.16293037371357341</c:v>
                </c:pt>
                <c:pt idx="5">
                  <c:v>-0.19984410792747637</c:v>
                </c:pt>
              </c:numCache>
            </c:numRef>
          </c:yVal>
          <c:smooth val="0"/>
          <c:extLst>
            <c:ext xmlns:c16="http://schemas.microsoft.com/office/drawing/2014/chart" uri="{C3380CC4-5D6E-409C-BE32-E72D297353CC}">
              <c16:uniqueId val="{00000001-153E-3A45-9B22-FE54976722AF}"/>
            </c:ext>
          </c:extLst>
        </c:ser>
        <c:dLbls>
          <c:showLegendKey val="0"/>
          <c:showVal val="0"/>
          <c:showCatName val="0"/>
          <c:showSerName val="0"/>
          <c:showPercent val="0"/>
          <c:showBubbleSize val="0"/>
        </c:dLbls>
        <c:axId val="59191365"/>
        <c:axId val="83375312"/>
      </c:scatterChart>
      <c:valAx>
        <c:axId val="59191365"/>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83375312"/>
        <c:crosses val="autoZero"/>
        <c:crossBetween val="midCat"/>
      </c:valAx>
      <c:valAx>
        <c:axId val="83375312"/>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59191365"/>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pH5</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NaHPO4!$J$10:$J$15</c:f>
              <c:numCache>
                <c:formatCode>0.00E+00</c:formatCode>
                <c:ptCount val="6"/>
                <c:pt idx="0">
                  <c:v>6.218388168178492E-8</c:v>
                </c:pt>
                <c:pt idx="1">
                  <c:v>1.2266682705783308E-7</c:v>
                </c:pt>
                <c:pt idx="2">
                  <c:v>1.8426606795878928E-7</c:v>
                </c:pt>
                <c:pt idx="3">
                  <c:v>2.4603214552549891E-7</c:v>
                </c:pt>
                <c:pt idx="4">
                  <c:v>3.0796573847293023E-7</c:v>
                </c:pt>
              </c:numCache>
            </c:numRef>
          </c:xVal>
          <c:yVal>
            <c:numRef>
              <c:f>NaHPO4!$S$10:$S$15</c:f>
              <c:numCache>
                <c:formatCode>0.0000</c:formatCode>
                <c:ptCount val="6"/>
                <c:pt idx="0">
                  <c:v>-3.405504278800886E-2</c:v>
                </c:pt>
                <c:pt idx="1">
                  <c:v>-5.0180210429292438E-2</c:v>
                </c:pt>
                <c:pt idx="2">
                  <c:v>-7.44699917717494E-2</c:v>
                </c:pt>
                <c:pt idx="3">
                  <c:v>-9.3708898601991497E-2</c:v>
                </c:pt>
                <c:pt idx="4">
                  <c:v>-0.12221224525853802</c:v>
                </c:pt>
              </c:numCache>
            </c:numRef>
          </c:yVal>
          <c:smooth val="0"/>
          <c:extLst>
            <c:ext xmlns:c16="http://schemas.microsoft.com/office/drawing/2014/chart" uri="{C3380CC4-5D6E-409C-BE32-E72D297353CC}">
              <c16:uniqueId val="{00000000-C79E-C647-9660-8E24BF9A2D1A}"/>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NaHPO4!$J$10:$J$15</c:f>
              <c:numCache>
                <c:formatCode>0.00E+00</c:formatCode>
                <c:ptCount val="6"/>
                <c:pt idx="0">
                  <c:v>6.218388168178492E-8</c:v>
                </c:pt>
                <c:pt idx="1">
                  <c:v>1.2266682705783308E-7</c:v>
                </c:pt>
                <c:pt idx="2">
                  <c:v>1.8426606795878928E-7</c:v>
                </c:pt>
                <c:pt idx="3">
                  <c:v>2.4603214552549891E-7</c:v>
                </c:pt>
                <c:pt idx="4">
                  <c:v>3.0796573847293023E-7</c:v>
                </c:pt>
              </c:numCache>
            </c:numRef>
          </c:xVal>
          <c:yVal>
            <c:numRef>
              <c:f>NaHPO4!$T$10:$T$15</c:f>
              <c:numCache>
                <c:formatCode>0.0000</c:formatCode>
                <c:ptCount val="6"/>
                <c:pt idx="0">
                  <c:v>-3.2739244310528132E-2</c:v>
                </c:pt>
                <c:pt idx="1">
                  <c:v>-5.2793336817324364E-2</c:v>
                </c:pt>
                <c:pt idx="2">
                  <c:v>-7.1891473580634829E-2</c:v>
                </c:pt>
                <c:pt idx="3">
                  <c:v>-9.498781166386544E-2</c:v>
                </c:pt>
                <c:pt idx="4">
                  <c:v>-0.1219581819897288</c:v>
                </c:pt>
              </c:numCache>
            </c:numRef>
          </c:yVal>
          <c:smooth val="0"/>
          <c:extLst>
            <c:ext xmlns:c16="http://schemas.microsoft.com/office/drawing/2014/chart" uri="{C3380CC4-5D6E-409C-BE32-E72D297353CC}">
              <c16:uniqueId val="{00000001-C79E-C647-9660-8E24BF9A2D1A}"/>
            </c:ext>
          </c:extLst>
        </c:ser>
        <c:dLbls>
          <c:showLegendKey val="0"/>
          <c:showVal val="0"/>
          <c:showCatName val="0"/>
          <c:showSerName val="0"/>
          <c:showPercent val="0"/>
          <c:showBubbleSize val="0"/>
        </c:dLbls>
        <c:axId val="45514049"/>
        <c:axId val="3741633"/>
      </c:scatterChart>
      <c:valAx>
        <c:axId val="45514049"/>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3741633"/>
        <c:crosses val="autoZero"/>
        <c:crossBetween val="midCat"/>
      </c:valAx>
      <c:valAx>
        <c:axId val="3741633"/>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45514049"/>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pH6</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NaHPO4!$J$16:$J$21</c:f>
              <c:numCache>
                <c:formatCode>0.00E+00</c:formatCode>
                <c:ptCount val="6"/>
                <c:pt idx="0">
                  <c:v>5.418265159346226E-8</c:v>
                </c:pt>
                <c:pt idx="1">
                  <c:v>1.1031231557924384E-7</c:v>
                </c:pt>
                <c:pt idx="2">
                  <c:v>1.5899149988948881E-7</c:v>
                </c:pt>
                <c:pt idx="3">
                  <c:v>2.0730924698912425E-7</c:v>
                </c:pt>
                <c:pt idx="4">
                  <c:v>2.6455194505724951E-7</c:v>
                </c:pt>
              </c:numCache>
            </c:numRef>
          </c:xVal>
          <c:yVal>
            <c:numRef>
              <c:f>NaHPO4!$S$16:$S$21</c:f>
              <c:numCache>
                <c:formatCode>0.0000</c:formatCode>
                <c:ptCount val="6"/>
                <c:pt idx="0">
                  <c:v>-3.079548390381559E-2</c:v>
                </c:pt>
                <c:pt idx="1">
                  <c:v>-4.3641895171342315E-2</c:v>
                </c:pt>
                <c:pt idx="2">
                  <c:v>-4.9099708891746197E-2</c:v>
                </c:pt>
                <c:pt idx="3">
                  <c:v>-7.022291317513063E-2</c:v>
                </c:pt>
                <c:pt idx="4">
                  <c:v>-9.3135213912043824E-2</c:v>
                </c:pt>
              </c:numCache>
            </c:numRef>
          </c:yVal>
          <c:smooth val="0"/>
          <c:extLst>
            <c:ext xmlns:c16="http://schemas.microsoft.com/office/drawing/2014/chart" uri="{C3380CC4-5D6E-409C-BE32-E72D297353CC}">
              <c16:uniqueId val="{00000000-DB3F-1D46-A9ED-A4FE5B8D4473}"/>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NaHPO4!$J$16:$J$21</c:f>
              <c:numCache>
                <c:formatCode>0.00E+00</c:formatCode>
                <c:ptCount val="6"/>
                <c:pt idx="0">
                  <c:v>5.418265159346226E-8</c:v>
                </c:pt>
                <c:pt idx="1">
                  <c:v>1.1031231557924384E-7</c:v>
                </c:pt>
                <c:pt idx="2">
                  <c:v>1.5899149988948881E-7</c:v>
                </c:pt>
                <c:pt idx="3">
                  <c:v>2.0730924698912425E-7</c:v>
                </c:pt>
                <c:pt idx="4">
                  <c:v>2.6455194505724951E-7</c:v>
                </c:pt>
              </c:numCache>
            </c:numRef>
          </c:xVal>
          <c:yVal>
            <c:numRef>
              <c:f>NaHPO4!$T$16:$T$21</c:f>
              <c:numCache>
                <c:formatCode>0.0000</c:formatCode>
                <c:ptCount val="6"/>
                <c:pt idx="0">
                  <c:v>-3.1731661625428342E-2</c:v>
                </c:pt>
                <c:pt idx="1">
                  <c:v>-4.1510184700387261E-2</c:v>
                </c:pt>
                <c:pt idx="2">
                  <c:v>-5.1423081611850788E-2</c:v>
                </c:pt>
                <c:pt idx="3">
                  <c:v>-6.9094188927186745E-2</c:v>
                </c:pt>
                <c:pt idx="4">
                  <c:v>-9.332053777044147E-2</c:v>
                </c:pt>
              </c:numCache>
            </c:numRef>
          </c:yVal>
          <c:smooth val="0"/>
          <c:extLst>
            <c:ext xmlns:c16="http://schemas.microsoft.com/office/drawing/2014/chart" uri="{C3380CC4-5D6E-409C-BE32-E72D297353CC}">
              <c16:uniqueId val="{00000001-DB3F-1D46-A9ED-A4FE5B8D4473}"/>
            </c:ext>
          </c:extLst>
        </c:ser>
        <c:dLbls>
          <c:showLegendKey val="0"/>
          <c:showVal val="0"/>
          <c:showCatName val="0"/>
          <c:showSerName val="0"/>
          <c:showPercent val="0"/>
          <c:showBubbleSize val="0"/>
        </c:dLbls>
        <c:axId val="78363788"/>
        <c:axId val="62595947"/>
      </c:scatterChart>
      <c:valAx>
        <c:axId val="78363788"/>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62595947"/>
        <c:crosses val="autoZero"/>
        <c:crossBetween val="midCat"/>
      </c:valAx>
      <c:valAx>
        <c:axId val="62595947"/>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78363788"/>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pH7</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NaHPO4!$J$22:$J$27</c:f>
              <c:numCache>
                <c:formatCode>0.00E+00</c:formatCode>
                <c:ptCount val="6"/>
                <c:pt idx="0">
                  <c:v>2.5378705303611364E-8</c:v>
                </c:pt>
                <c:pt idx="1">
                  <c:v>5.0737089075838948E-8</c:v>
                </c:pt>
                <c:pt idx="2">
                  <c:v>1.0042321217651373E-7</c:v>
                </c:pt>
                <c:pt idx="3">
                  <c:v>1.5129797635200778E-7</c:v>
                </c:pt>
                <c:pt idx="4">
                  <c:v>2.0183945572516298E-7</c:v>
                </c:pt>
                <c:pt idx="5">
                  <c:v>2.4883453964346402E-7</c:v>
                </c:pt>
              </c:numCache>
            </c:numRef>
          </c:xVal>
          <c:yVal>
            <c:numRef>
              <c:f>NaHPO4!$S$22:$S$27</c:f>
              <c:numCache>
                <c:formatCode>0.0000</c:formatCode>
                <c:ptCount val="6"/>
                <c:pt idx="0">
                  <c:v>-2.1170435532817944E-3</c:v>
                </c:pt>
                <c:pt idx="1">
                  <c:v>-2.272022918718164E-2</c:v>
                </c:pt>
                <c:pt idx="2">
                  <c:v>-2.2635977681229491E-2</c:v>
                </c:pt>
                <c:pt idx="3">
                  <c:v>-2.522720883014884E-2</c:v>
                </c:pt>
                <c:pt idx="4">
                  <c:v>-1.9150243703058067E-2</c:v>
                </c:pt>
                <c:pt idx="5">
                  <c:v>-3.1027956489354969E-2</c:v>
                </c:pt>
              </c:numCache>
            </c:numRef>
          </c:yVal>
          <c:smooth val="0"/>
          <c:extLst>
            <c:ext xmlns:c16="http://schemas.microsoft.com/office/drawing/2014/chart" uri="{C3380CC4-5D6E-409C-BE32-E72D297353CC}">
              <c16:uniqueId val="{00000000-B82B-EC45-8152-8873FA716D63}"/>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NaHPO4!$J$22:$J$27</c:f>
              <c:numCache>
                <c:formatCode>0.00E+00</c:formatCode>
                <c:ptCount val="6"/>
                <c:pt idx="0">
                  <c:v>2.5378705303611364E-8</c:v>
                </c:pt>
                <c:pt idx="1">
                  <c:v>5.0737089075838948E-8</c:v>
                </c:pt>
                <c:pt idx="2">
                  <c:v>1.0042321217651373E-7</c:v>
                </c:pt>
                <c:pt idx="3">
                  <c:v>1.5129797635200778E-7</c:v>
                </c:pt>
                <c:pt idx="4">
                  <c:v>2.0183945572516298E-7</c:v>
                </c:pt>
                <c:pt idx="5">
                  <c:v>2.4883453964346402E-7</c:v>
                </c:pt>
              </c:numCache>
            </c:numRef>
          </c:xVal>
          <c:yVal>
            <c:numRef>
              <c:f>NaHPO4!$T$22:$T$27</c:f>
              <c:numCache>
                <c:formatCode>0.0000</c:formatCode>
                <c:ptCount val="6"/>
                <c:pt idx="0">
                  <c:v>-8.0834488110119954E-3</c:v>
                </c:pt>
                <c:pt idx="1">
                  <c:v>-1.6211128158261898E-2</c:v>
                </c:pt>
                <c:pt idx="2">
                  <c:v>-2.5786538493567809E-2</c:v>
                </c:pt>
                <c:pt idx="3">
                  <c:v>-2.4091211119493146E-2</c:v>
                </c:pt>
                <c:pt idx="4">
                  <c:v>-1.9297298348239206E-2</c:v>
                </c:pt>
                <c:pt idx="5">
                  <c:v>-3.104658929749321E-2</c:v>
                </c:pt>
              </c:numCache>
            </c:numRef>
          </c:yVal>
          <c:smooth val="0"/>
          <c:extLst>
            <c:ext xmlns:c16="http://schemas.microsoft.com/office/drawing/2014/chart" uri="{C3380CC4-5D6E-409C-BE32-E72D297353CC}">
              <c16:uniqueId val="{00000001-B82B-EC45-8152-8873FA716D63}"/>
            </c:ext>
          </c:extLst>
        </c:ser>
        <c:dLbls>
          <c:showLegendKey val="0"/>
          <c:showVal val="0"/>
          <c:showCatName val="0"/>
          <c:showSerName val="0"/>
          <c:showPercent val="0"/>
          <c:showBubbleSize val="0"/>
        </c:dLbls>
        <c:axId val="33229460"/>
        <c:axId val="29356826"/>
      </c:scatterChart>
      <c:valAx>
        <c:axId val="33229460"/>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29356826"/>
        <c:crosses val="autoZero"/>
        <c:crossBetween val="midCat"/>
      </c:valAx>
      <c:valAx>
        <c:axId val="29356826"/>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33229460"/>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pH8.25</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NaHPO4!$J$28:$J$33</c:f>
              <c:numCache>
                <c:formatCode>0.00E+00</c:formatCode>
                <c:ptCount val="6"/>
                <c:pt idx="0">
                  <c:v>3.1027459966208962E-8</c:v>
                </c:pt>
                <c:pt idx="1">
                  <c:v>7.1686335201566507E-8</c:v>
                </c:pt>
                <c:pt idx="2">
                  <c:v>1.1815386469861956E-7</c:v>
                </c:pt>
                <c:pt idx="3">
                  <c:v>1.8470863410168862E-7</c:v>
                </c:pt>
                <c:pt idx="4">
                  <c:v>2.3482395612343508E-7</c:v>
                </c:pt>
                <c:pt idx="5">
                  <c:v>3.0558017663160062E-7</c:v>
                </c:pt>
              </c:numCache>
            </c:numRef>
          </c:xVal>
          <c:yVal>
            <c:numRef>
              <c:f>NaHPO4!$S$28:$S$33</c:f>
              <c:numCache>
                <c:formatCode>0.0000</c:formatCode>
                <c:ptCount val="6"/>
                <c:pt idx="0">
                  <c:v>-8.9125035973225408E-3</c:v>
                </c:pt>
                <c:pt idx="1">
                  <c:v>-5.3509519639399428E-2</c:v>
                </c:pt>
                <c:pt idx="2">
                  <c:v>-7.3132468290948882E-2</c:v>
                </c:pt>
                <c:pt idx="3">
                  <c:v>-8.5952245296831209E-2</c:v>
                </c:pt>
                <c:pt idx="4">
                  <c:v>-0.11289827957388887</c:v>
                </c:pt>
                <c:pt idx="5">
                  <c:v>-0.13651860151375306</c:v>
                </c:pt>
              </c:numCache>
            </c:numRef>
          </c:yVal>
          <c:smooth val="0"/>
          <c:extLst>
            <c:ext xmlns:c16="http://schemas.microsoft.com/office/drawing/2014/chart" uri="{C3380CC4-5D6E-409C-BE32-E72D297353CC}">
              <c16:uniqueId val="{00000000-82D8-B54C-9C07-CDB3946D48D9}"/>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NaHPO4!$J$28:$J$33</c:f>
              <c:numCache>
                <c:formatCode>0.00E+00</c:formatCode>
                <c:ptCount val="6"/>
                <c:pt idx="0">
                  <c:v>3.1027459966208962E-8</c:v>
                </c:pt>
                <c:pt idx="1">
                  <c:v>7.1686335201566507E-8</c:v>
                </c:pt>
                <c:pt idx="2">
                  <c:v>1.1815386469861956E-7</c:v>
                </c:pt>
                <c:pt idx="3">
                  <c:v>1.8470863410168862E-7</c:v>
                </c:pt>
                <c:pt idx="4">
                  <c:v>2.3482395612343508E-7</c:v>
                </c:pt>
                <c:pt idx="5">
                  <c:v>3.0558017663160062E-7</c:v>
                </c:pt>
              </c:numCache>
            </c:numRef>
          </c:xVal>
          <c:yVal>
            <c:numRef>
              <c:f>NaHPO4!$T$28:$T$33</c:f>
              <c:numCache>
                <c:formatCode>0.0000</c:formatCode>
                <c:ptCount val="6"/>
                <c:pt idx="0">
                  <c:v>-1.9773952670840519E-2</c:v>
                </c:pt>
                <c:pt idx="1">
                  <c:v>-4.5583992174968828E-2</c:v>
                </c:pt>
                <c:pt idx="2">
                  <c:v>-7.0529140129682089E-2</c:v>
                </c:pt>
                <c:pt idx="3">
                  <c:v>-9.4486499515073E-2</c:v>
                </c:pt>
                <c:pt idx="4">
                  <c:v>-0.10732973966531871</c:v>
                </c:pt>
                <c:pt idx="5">
                  <c:v>-0.13740222642654248</c:v>
                </c:pt>
              </c:numCache>
            </c:numRef>
          </c:yVal>
          <c:smooth val="0"/>
          <c:extLst>
            <c:ext xmlns:c16="http://schemas.microsoft.com/office/drawing/2014/chart" uri="{C3380CC4-5D6E-409C-BE32-E72D297353CC}">
              <c16:uniqueId val="{00000001-82D8-B54C-9C07-CDB3946D48D9}"/>
            </c:ext>
          </c:extLst>
        </c:ser>
        <c:dLbls>
          <c:showLegendKey val="0"/>
          <c:showVal val="0"/>
          <c:showCatName val="0"/>
          <c:showSerName val="0"/>
          <c:showPercent val="0"/>
          <c:showBubbleSize val="0"/>
        </c:dLbls>
        <c:axId val="60620424"/>
        <c:axId val="91271655"/>
      </c:scatterChart>
      <c:valAx>
        <c:axId val="60620424"/>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91271655"/>
        <c:crosses val="autoZero"/>
        <c:crossBetween val="midCat"/>
      </c:valAx>
      <c:valAx>
        <c:axId val="91271655"/>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60620424"/>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pH9</a:t>
            </a:r>
          </a:p>
        </c:rich>
      </c:tx>
      <c:overlay val="0"/>
      <c:spPr>
        <a:noFill/>
        <a:ln w="0">
          <a:noFill/>
        </a:ln>
      </c:spPr>
    </c:title>
    <c:autoTitleDeleted val="0"/>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NaHPO4!$J$34:$J$39</c:f>
              <c:numCache>
                <c:formatCode>0.00E+00</c:formatCode>
                <c:ptCount val="6"/>
                <c:pt idx="0">
                  <c:v>2.9384717715977883E-8</c:v>
                </c:pt>
                <c:pt idx="1">
                  <c:v>1.17423510692811E-7</c:v>
                </c:pt>
                <c:pt idx="2">
                  <c:v>1.7720318125169438E-7</c:v>
                </c:pt>
                <c:pt idx="3">
                  <c:v>2.4037136858582796E-7</c:v>
                </c:pt>
                <c:pt idx="4">
                  <c:v>2.9007933945931436E-7</c:v>
                </c:pt>
              </c:numCache>
            </c:numRef>
          </c:xVal>
          <c:yVal>
            <c:numRef>
              <c:f>NaHPO4!$S$34:$S$39</c:f>
              <c:numCache>
                <c:formatCode>0.0000</c:formatCode>
                <c:ptCount val="6"/>
                <c:pt idx="0">
                  <c:v>-2.1045634592566698E-2</c:v>
                </c:pt>
                <c:pt idx="1">
                  <c:v>-8.0972997385208245E-2</c:v>
                </c:pt>
                <c:pt idx="2">
                  <c:v>-0.11230296909568793</c:v>
                </c:pt>
                <c:pt idx="3">
                  <c:v>-0.13931906398015137</c:v>
                </c:pt>
                <c:pt idx="4">
                  <c:v>-0.16717556985402182</c:v>
                </c:pt>
              </c:numCache>
            </c:numRef>
          </c:yVal>
          <c:smooth val="0"/>
          <c:extLst>
            <c:ext xmlns:c16="http://schemas.microsoft.com/office/drawing/2014/chart" uri="{C3380CC4-5D6E-409C-BE32-E72D297353CC}">
              <c16:uniqueId val="{00000000-4AC9-C244-8850-9FA4D81F48CA}"/>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NaHPO4!$J$34:$J$39</c:f>
              <c:numCache>
                <c:formatCode>0.00E+00</c:formatCode>
                <c:ptCount val="6"/>
                <c:pt idx="0">
                  <c:v>2.9384717715977883E-8</c:v>
                </c:pt>
                <c:pt idx="1">
                  <c:v>1.17423510692811E-7</c:v>
                </c:pt>
                <c:pt idx="2">
                  <c:v>1.7720318125169438E-7</c:v>
                </c:pt>
                <c:pt idx="3">
                  <c:v>2.4037136858582796E-7</c:v>
                </c:pt>
                <c:pt idx="4">
                  <c:v>2.9007933945931436E-7</c:v>
                </c:pt>
              </c:numCache>
            </c:numRef>
          </c:xVal>
          <c:yVal>
            <c:numRef>
              <c:f>NaHPO4!$T$34:$T$39</c:f>
              <c:numCache>
                <c:formatCode>0.0000</c:formatCode>
                <c:ptCount val="6"/>
                <c:pt idx="0">
                  <c:v>-2.0912538392893591E-2</c:v>
                </c:pt>
                <c:pt idx="1">
                  <c:v>-8.1186396258902671E-2</c:v>
                </c:pt>
                <c:pt idx="2">
                  <c:v>-0.11205222966128434</c:v>
                </c:pt>
                <c:pt idx="3">
                  <c:v>-0.13946205009330764</c:v>
                </c:pt>
                <c:pt idx="4">
                  <c:v>-0.16713735619510423</c:v>
                </c:pt>
              </c:numCache>
            </c:numRef>
          </c:yVal>
          <c:smooth val="0"/>
          <c:extLst>
            <c:ext xmlns:c16="http://schemas.microsoft.com/office/drawing/2014/chart" uri="{C3380CC4-5D6E-409C-BE32-E72D297353CC}">
              <c16:uniqueId val="{00000001-4AC9-C244-8850-9FA4D81F48CA}"/>
            </c:ext>
          </c:extLst>
        </c:ser>
        <c:dLbls>
          <c:showLegendKey val="0"/>
          <c:showVal val="0"/>
          <c:showCatName val="0"/>
          <c:showSerName val="0"/>
          <c:showPercent val="0"/>
          <c:showBubbleSize val="0"/>
        </c:dLbls>
        <c:axId val="17959558"/>
        <c:axId val="36581485"/>
      </c:scatterChart>
      <c:valAx>
        <c:axId val="17959558"/>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36581485"/>
        <c:crosses val="autoZero"/>
        <c:crossBetween val="midCat"/>
      </c:valAx>
      <c:valAx>
        <c:axId val="36581485"/>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17959558"/>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a:pPr>
            <a:r>
              <a:rPr lang="en-GB"/>
              <a:t>Activity Coefficient</a:t>
            </a:r>
          </a:p>
        </c:rich>
      </c:tx>
      <c:overlay val="0"/>
      <c:spPr>
        <a:noFill/>
        <a:ln w="0">
          <a:noFill/>
        </a:ln>
      </c:spPr>
    </c:title>
    <c:autoTitleDeleted val="0"/>
    <c:plotArea>
      <c:layout/>
      <c:scatterChart>
        <c:scatterStyle val="lineMarker"/>
        <c:varyColors val="0"/>
        <c:ser>
          <c:idx val="0"/>
          <c:order val="0"/>
          <c:tx>
            <c:v>pH=4.5</c:v>
          </c:tx>
          <c:spPr>
            <a:ln w="19080" cap="rnd">
              <a:solidFill>
                <a:srgbClr val="0070C0"/>
              </a:solidFill>
              <a:round/>
            </a:ln>
          </c:spPr>
          <c:marker>
            <c:symbol val="circle"/>
            <c:size val="5"/>
            <c:spPr>
              <a:solidFill>
                <a:srgbClr val="0070C0"/>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NaHPO4!$I$4:$I$9</c:f>
              <c:numCache>
                <c:formatCode>0.00E+00</c:formatCode>
                <c:ptCount val="6"/>
                <c:pt idx="0" formatCode="0.0">
                  <c:v>64.802867383512549</c:v>
                </c:pt>
                <c:pt idx="1">
                  <c:v>129.56989247311827</c:v>
                </c:pt>
                <c:pt idx="2">
                  <c:v>194.37275985663084</c:v>
                </c:pt>
                <c:pt idx="3">
                  <c:v>259.17562724014334</c:v>
                </c:pt>
                <c:pt idx="4">
                  <c:v>323.97849462365588</c:v>
                </c:pt>
                <c:pt idx="5">
                  <c:v>396.77419354838707</c:v>
                </c:pt>
              </c:numCache>
            </c:numRef>
          </c:xVal>
          <c:yVal>
            <c:numRef>
              <c:f>NaHPO4!$Z$4:$Z$9</c:f>
              <c:numCache>
                <c:formatCode>0.0000</c:formatCode>
                <c:ptCount val="6"/>
                <c:pt idx="0">
                  <c:v>0.92508631700263066</c:v>
                </c:pt>
                <c:pt idx="1">
                  <c:v>0.88271858624029143</c:v>
                </c:pt>
                <c:pt idx="2">
                  <c:v>0.82029855732924961</c:v>
                </c:pt>
                <c:pt idx="3">
                  <c:v>0.76124385422069774</c:v>
                </c:pt>
                <c:pt idx="4">
                  <c:v>0.72355755822912005</c:v>
                </c:pt>
                <c:pt idx="5">
                  <c:v>0.67608797750064242</c:v>
                </c:pt>
              </c:numCache>
            </c:numRef>
          </c:yVal>
          <c:smooth val="0"/>
          <c:extLst>
            <c:ext xmlns:c16="http://schemas.microsoft.com/office/drawing/2014/chart" uri="{C3380CC4-5D6E-409C-BE32-E72D297353CC}">
              <c16:uniqueId val="{00000000-F25F-9C48-A55A-396F011A2F7B}"/>
            </c:ext>
          </c:extLst>
        </c:ser>
        <c:ser>
          <c:idx val="1"/>
          <c:order val="1"/>
          <c:tx>
            <c:v>pH=5</c:v>
          </c:tx>
          <c:spPr>
            <a:ln w="19080" cap="rnd">
              <a:solidFill>
                <a:srgbClr val="FF0000"/>
              </a:solidFill>
              <a:round/>
            </a:ln>
          </c:spPr>
          <c:marker>
            <c:symbol val="circle"/>
            <c:size val="5"/>
            <c:spPr>
              <a:solidFill>
                <a:srgbClr val="FF0000"/>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NaHPO4!$I$10:$I$14</c:f>
              <c:numCache>
                <c:formatCode>0.00E+00</c:formatCode>
                <c:ptCount val="5"/>
                <c:pt idx="0">
                  <c:v>61.166666666666671</c:v>
                </c:pt>
                <c:pt idx="1">
                  <c:v>120.5</c:v>
                </c:pt>
                <c:pt idx="2">
                  <c:v>180.76666666666668</c:v>
                </c:pt>
                <c:pt idx="3">
                  <c:v>241.03333333333333</c:v>
                </c:pt>
                <c:pt idx="4">
                  <c:v>301.3</c:v>
                </c:pt>
              </c:numCache>
            </c:numRef>
          </c:xVal>
          <c:yVal>
            <c:numRef>
              <c:f>NaHPO4!$Z$10:$Z$14</c:f>
              <c:numCache>
                <c:formatCode>0.0000</c:formatCode>
                <c:ptCount val="5"/>
                <c:pt idx="0">
                  <c:v>0.93062964040215823</c:v>
                </c:pt>
                <c:pt idx="1">
                  <c:v>0.8899233339848186</c:v>
                </c:pt>
                <c:pt idx="2">
                  <c:v>0.84709762763125318</c:v>
                </c:pt>
                <c:pt idx="3">
                  <c:v>0.81137814674366127</c:v>
                </c:pt>
                <c:pt idx="4">
                  <c:v>0.76971967730782642</c:v>
                </c:pt>
              </c:numCache>
            </c:numRef>
          </c:yVal>
          <c:smooth val="0"/>
          <c:extLst>
            <c:ext xmlns:c16="http://schemas.microsoft.com/office/drawing/2014/chart" uri="{C3380CC4-5D6E-409C-BE32-E72D297353CC}">
              <c16:uniqueId val="{00000001-F25F-9C48-A55A-396F011A2F7B}"/>
            </c:ext>
          </c:extLst>
        </c:ser>
        <c:ser>
          <c:idx val="2"/>
          <c:order val="2"/>
          <c:tx>
            <c:v>pH=6</c:v>
          </c:tx>
          <c:spPr>
            <a:ln w="19080" cap="rnd">
              <a:solidFill>
                <a:srgbClr val="00B050"/>
              </a:solidFill>
              <a:round/>
            </a:ln>
          </c:spPr>
          <c:marker>
            <c:symbol val="circle"/>
            <c:size val="5"/>
            <c:spPr>
              <a:solidFill>
                <a:srgbClr val="00B050"/>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NaHPO4!$I$16:$I$20</c:f>
              <c:numCache>
                <c:formatCode>0.00E+00</c:formatCode>
                <c:ptCount val="5"/>
                <c:pt idx="0">
                  <c:v>53.286908077994433</c:v>
                </c:pt>
                <c:pt idx="1">
                  <c:v>108.32869080779945</c:v>
                </c:pt>
                <c:pt idx="2">
                  <c:v>155.93314763231197</c:v>
                </c:pt>
                <c:pt idx="3">
                  <c:v>203.06406685236769</c:v>
                </c:pt>
                <c:pt idx="4">
                  <c:v>258.74651810584959</c:v>
                </c:pt>
              </c:numCache>
            </c:numRef>
          </c:xVal>
          <c:yVal>
            <c:numRef>
              <c:f>NaHPO4!$Z$16:$Z$20</c:f>
              <c:numCache>
                <c:formatCode>0.0000</c:formatCode>
                <c:ptCount val="5"/>
                <c:pt idx="0">
                  <c:v>0.92967297755860434</c:v>
                </c:pt>
                <c:pt idx="1">
                  <c:v>0.8941820489748874</c:v>
                </c:pt>
                <c:pt idx="2">
                  <c:v>0.87461597502004729</c:v>
                </c:pt>
                <c:pt idx="3">
                  <c:v>0.84297676286578105</c:v>
                </c:pt>
                <c:pt idx="4">
                  <c:v>0.80774357487939508</c:v>
                </c:pt>
              </c:numCache>
            </c:numRef>
          </c:yVal>
          <c:smooth val="0"/>
          <c:extLst>
            <c:ext xmlns:c16="http://schemas.microsoft.com/office/drawing/2014/chart" uri="{C3380CC4-5D6E-409C-BE32-E72D297353CC}">
              <c16:uniqueId val="{00000002-F25F-9C48-A55A-396F011A2F7B}"/>
            </c:ext>
          </c:extLst>
        </c:ser>
        <c:ser>
          <c:idx val="3"/>
          <c:order val="3"/>
          <c:tx>
            <c:v>pH=7</c:v>
          </c:tx>
          <c:spPr>
            <a:ln w="19080" cap="rnd">
              <a:solidFill>
                <a:srgbClr val="FFC000"/>
              </a:solidFill>
              <a:round/>
            </a:ln>
          </c:spPr>
          <c:marker>
            <c:symbol val="circle"/>
            <c:size val="5"/>
            <c:spPr>
              <a:solidFill>
                <a:srgbClr val="FFC000"/>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NaHPO4!$I$22:$I$27</c:f>
              <c:numCache>
                <c:formatCode>0.00E+00</c:formatCode>
                <c:ptCount val="6"/>
                <c:pt idx="0">
                  <c:v>24.959349593495936</c:v>
                </c:pt>
                <c:pt idx="1">
                  <c:v>49.864498644986448</c:v>
                </c:pt>
                <c:pt idx="2">
                  <c:v>98.563685636856377</c:v>
                </c:pt>
                <c:pt idx="3">
                  <c:v>148.29268292682929</c:v>
                </c:pt>
                <c:pt idx="4">
                  <c:v>197.5609756097561</c:v>
                </c:pt>
                <c:pt idx="5">
                  <c:v>243.25203252032523</c:v>
                </c:pt>
              </c:numCache>
            </c:numRef>
          </c:xVal>
          <c:yVal>
            <c:numRef>
              <c:f>NaHPO4!$Z$22:$Z$27</c:f>
              <c:numCache>
                <c:formatCode>0.0000</c:formatCode>
                <c:ptCount val="6"/>
                <c:pt idx="0">
                  <c:v>0.99020546036101642</c:v>
                </c:pt>
                <c:pt idx="1">
                  <c:v>0.96213799195528249</c:v>
                </c:pt>
                <c:pt idx="2">
                  <c:v>0.94828865606529888</c:v>
                </c:pt>
                <c:pt idx="3">
                  <c:v>0.93587744651623839</c:v>
                </c:pt>
                <c:pt idx="4">
                  <c:v>0.9358005166144947</c:v>
                </c:pt>
                <c:pt idx="5">
                  <c:v>0.92038299854563665</c:v>
                </c:pt>
              </c:numCache>
            </c:numRef>
          </c:yVal>
          <c:smooth val="0"/>
          <c:extLst>
            <c:ext xmlns:c16="http://schemas.microsoft.com/office/drawing/2014/chart" uri="{C3380CC4-5D6E-409C-BE32-E72D297353CC}">
              <c16:uniqueId val="{00000003-F25F-9C48-A55A-396F011A2F7B}"/>
            </c:ext>
          </c:extLst>
        </c:ser>
        <c:ser>
          <c:idx val="4"/>
          <c:order val="4"/>
          <c:tx>
            <c:v>pH=8.25</c:v>
          </c:tx>
          <c:spPr>
            <a:ln w="19080" cap="rnd">
              <a:solidFill>
                <a:srgbClr val="7030A0"/>
              </a:solidFill>
              <a:round/>
            </a:ln>
          </c:spPr>
          <c:marker>
            <c:symbol val="circle"/>
            <c:size val="5"/>
            <c:spPr>
              <a:solidFill>
                <a:srgbClr val="7030A0"/>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NaHPO4!$I$28:$I$33</c:f>
              <c:numCache>
                <c:formatCode>0.00E+00</c:formatCode>
                <c:ptCount val="6"/>
                <c:pt idx="0">
                  <c:v>30.477707006369425</c:v>
                </c:pt>
                <c:pt idx="1">
                  <c:v>70.350318471337587</c:v>
                </c:pt>
                <c:pt idx="2">
                  <c:v>115.82802547770702</c:v>
                </c:pt>
                <c:pt idx="3">
                  <c:v>180.79617834394904</c:v>
                </c:pt>
                <c:pt idx="4">
                  <c:v>229.58598726114647</c:v>
                </c:pt>
                <c:pt idx="5">
                  <c:v>298.28025477707007</c:v>
                </c:pt>
              </c:numCache>
            </c:numRef>
          </c:xVal>
          <c:yVal>
            <c:numRef>
              <c:f>NaHPO4!$Z$28:$Z$33</c:f>
              <c:numCache>
                <c:formatCode>0.0000</c:formatCode>
                <c:ptCount val="6"/>
                <c:pt idx="0">
                  <c:v>0.97207660471704826</c:v>
                </c:pt>
                <c:pt idx="1">
                  <c:v>0.90580623135000304</c:v>
                </c:pt>
                <c:pt idx="2">
                  <c:v>0.86302380726845385</c:v>
                </c:pt>
                <c:pt idx="3">
                  <c:v>0.82112639120300546</c:v>
                </c:pt>
                <c:pt idx="4">
                  <c:v>0.7802085662493381</c:v>
                </c:pt>
                <c:pt idx="5">
                  <c:v>0.73842290559928192</c:v>
                </c:pt>
              </c:numCache>
            </c:numRef>
          </c:yVal>
          <c:smooth val="0"/>
          <c:extLst>
            <c:ext xmlns:c16="http://schemas.microsoft.com/office/drawing/2014/chart" uri="{C3380CC4-5D6E-409C-BE32-E72D297353CC}">
              <c16:uniqueId val="{00000004-F25F-9C48-A55A-396F011A2F7B}"/>
            </c:ext>
          </c:extLst>
        </c:ser>
        <c:ser>
          <c:idx val="5"/>
          <c:order val="5"/>
          <c:tx>
            <c:v>pH=9</c:v>
          </c:tx>
          <c:spPr>
            <a:ln w="19080" cap="rnd">
              <a:solidFill>
                <a:srgbClr val="ED7D31"/>
              </a:solidFill>
              <a:round/>
            </a:ln>
          </c:spPr>
          <c:marker>
            <c:symbol val="circle"/>
            <c:size val="5"/>
            <c:spPr>
              <a:solidFill>
                <a:srgbClr val="ED7D31"/>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NaHPO4!$I$34:$I$39</c:f>
              <c:numCache>
                <c:formatCode>0.00E+00</c:formatCode>
                <c:ptCount val="6"/>
                <c:pt idx="0">
                  <c:v>28.860759493670887</c:v>
                </c:pt>
                <c:pt idx="1">
                  <c:v>115.09493670886077</c:v>
                </c:pt>
                <c:pt idx="2">
                  <c:v>173.44936708860757</c:v>
                </c:pt>
                <c:pt idx="3">
                  <c:v>234.9367088607595</c:v>
                </c:pt>
                <c:pt idx="4">
                  <c:v>283.19620253164555</c:v>
                </c:pt>
              </c:numCache>
            </c:numRef>
          </c:xVal>
          <c:yVal>
            <c:numRef>
              <c:f>NaHPO4!$Z$34:$Z$39</c:f>
              <c:numCache>
                <c:formatCode>0.0000</c:formatCode>
                <c:ptCount val="6"/>
                <c:pt idx="0">
                  <c:v>0.95927147008726288</c:v>
                </c:pt>
                <c:pt idx="1">
                  <c:v>0.84855973212830726</c:v>
                </c:pt>
                <c:pt idx="2">
                  <c:v>0.79044026214028884</c:v>
                </c:pt>
                <c:pt idx="3">
                  <c:v>0.74059215422981972</c:v>
                </c:pt>
                <c:pt idx="4">
                  <c:v>0.69997401832589112</c:v>
                </c:pt>
              </c:numCache>
            </c:numRef>
          </c:yVal>
          <c:smooth val="0"/>
          <c:extLst>
            <c:ext xmlns:c16="http://schemas.microsoft.com/office/drawing/2014/chart" uri="{C3380CC4-5D6E-409C-BE32-E72D297353CC}">
              <c16:uniqueId val="{00000005-F25F-9C48-A55A-396F011A2F7B}"/>
            </c:ext>
          </c:extLst>
        </c:ser>
        <c:dLbls>
          <c:showLegendKey val="0"/>
          <c:showVal val="0"/>
          <c:showCatName val="0"/>
          <c:showSerName val="0"/>
          <c:showPercent val="0"/>
          <c:showBubbleSize val="0"/>
        </c:dLbls>
        <c:axId val="37269075"/>
        <c:axId val="63733814"/>
      </c:scatterChart>
      <c:valAx>
        <c:axId val="37269075"/>
        <c:scaling>
          <c:orientation val="minMax"/>
        </c:scaling>
        <c:delete val="0"/>
        <c:axPos val="b"/>
        <c:title>
          <c:tx>
            <c:rich>
              <a:bodyPr rot="0"/>
              <a:lstStyle/>
              <a:p>
                <a:pPr>
                  <a:defRPr/>
                </a:pPr>
                <a:r>
                  <a:rPr lang="en-GB"/>
                  <a:t>Protein Concentration (𝝁M)</a:t>
                </a:r>
              </a:p>
            </c:rich>
          </c:tx>
          <c:overlay val="0"/>
          <c:spPr>
            <a:noFill/>
            <a:ln w="0">
              <a:noFill/>
            </a:ln>
          </c:spPr>
        </c:title>
        <c:numFmt formatCode="0.0" sourceLinked="0"/>
        <c:majorTickMark val="out"/>
        <c:minorTickMark val="none"/>
        <c:tickLblPos val="nextTo"/>
        <c:spPr>
          <a:ln w="9360">
            <a:solidFill>
              <a:srgbClr val="BFBFBF"/>
            </a:solidFill>
            <a:round/>
          </a:ln>
        </c:spPr>
        <c:crossAx val="63733814"/>
        <c:crosses val="autoZero"/>
        <c:crossBetween val="midCat"/>
      </c:valAx>
      <c:valAx>
        <c:axId val="63733814"/>
        <c:scaling>
          <c:orientation val="minMax"/>
          <c:max val="1"/>
          <c:min val="0.6"/>
        </c:scaling>
        <c:delete val="0"/>
        <c:axPos val="l"/>
        <c:majorGridlines>
          <c:spPr>
            <a:ln w="9360">
              <a:solidFill>
                <a:srgbClr val="D9D9D9"/>
              </a:solidFill>
              <a:round/>
            </a:ln>
          </c:spPr>
        </c:majorGridlines>
        <c:title>
          <c:tx>
            <c:rich>
              <a:bodyPr rot="-5400000"/>
              <a:lstStyle/>
              <a:p>
                <a:pPr>
                  <a:defRPr/>
                </a:pPr>
                <a:r>
                  <a:rPr lang="en-GB"/>
                  <a:t>𝜸</a:t>
                </a:r>
              </a:p>
            </c:rich>
          </c:tx>
          <c:overlay val="0"/>
          <c:spPr>
            <a:noFill/>
            <a:ln w="0">
              <a:noFill/>
            </a:ln>
          </c:spPr>
        </c:title>
        <c:numFmt formatCode="0.0" sourceLinked="0"/>
        <c:majorTickMark val="none"/>
        <c:minorTickMark val="none"/>
        <c:tickLblPos val="nextTo"/>
        <c:spPr>
          <a:ln w="9360">
            <a:solidFill>
              <a:srgbClr val="BFBFBF"/>
            </a:solidFill>
            <a:round/>
          </a:ln>
        </c:spPr>
        <c:crossAx val="37269075"/>
        <c:crosses val="autoZero"/>
        <c:crossBetween val="midCat"/>
        <c:majorUnit val="0.1"/>
      </c:valAx>
      <c:spPr>
        <a:noFill/>
        <a:ln w="0">
          <a:noFill/>
        </a:ln>
      </c:spPr>
    </c:plotArea>
    <c:legend>
      <c:legendPos val="r"/>
      <c:overlay val="0"/>
      <c:spPr>
        <a:noFill/>
        <a:ln w="0">
          <a:noFill/>
        </a:ln>
      </c:spPr>
    </c:legend>
    <c:plotVisOnly val="1"/>
    <c:dispBlanksAs val="gap"/>
    <c:showDLblsOverMax val="1"/>
  </c:chart>
  <c:spPr>
    <a:solidFill>
      <a:srgbClr val="FFFFFF"/>
    </a:solidFill>
    <a:ln w="9360">
      <a:noFill/>
    </a:ln>
  </c:spPr>
  <c:txPr>
    <a:bodyPr/>
    <a:lstStyle/>
    <a:p>
      <a:pPr>
        <a:defRPr>
          <a:solidFill>
            <a:schemeClr val="tx1"/>
          </a:solidFill>
          <a:latin typeface="Times New Roman" panose="02020603050405020304" pitchFamily="18" charset="0"/>
          <a:cs typeface="Times New Roman" panose="02020603050405020304" pitchFamily="18" charset="0"/>
        </a:defRPr>
      </a:pPr>
      <a:endParaRPr lang="en-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a:pPr>
            <a:r>
              <a:rPr lang="en-GB"/>
              <a:t>Activity Coefficient Agena</a:t>
            </a:r>
          </a:p>
        </c:rich>
      </c:tx>
      <c:overlay val="0"/>
      <c:spPr>
        <a:noFill/>
        <a:ln w="0">
          <a:noFill/>
        </a:ln>
      </c:spPr>
    </c:title>
    <c:autoTitleDeleted val="0"/>
    <c:plotArea>
      <c:layout/>
      <c:scatterChart>
        <c:scatterStyle val="lineMarker"/>
        <c:varyColors val="0"/>
        <c:ser>
          <c:idx val="0"/>
          <c:order val="0"/>
          <c:tx>
            <c:v>pH=4.5</c:v>
          </c:tx>
          <c:spPr>
            <a:ln w="19080" cap="rnd">
              <a:solidFill>
                <a:srgbClr val="4472C4"/>
              </a:solidFill>
              <a:round/>
            </a:ln>
          </c:spPr>
          <c:marker>
            <c:symbol val="circle"/>
            <c:size val="5"/>
            <c:spPr>
              <a:solidFill>
                <a:srgbClr val="4472C4"/>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NaHPO4!$I$4:$I$9</c:f>
              <c:numCache>
                <c:formatCode>0.00E+00</c:formatCode>
                <c:ptCount val="6"/>
                <c:pt idx="0" formatCode="0.0">
                  <c:v>64.802867383512549</c:v>
                </c:pt>
                <c:pt idx="1">
                  <c:v>129.56989247311827</c:v>
                </c:pt>
                <c:pt idx="2">
                  <c:v>194.37275985663084</c:v>
                </c:pt>
                <c:pt idx="3">
                  <c:v>259.17562724014334</c:v>
                </c:pt>
                <c:pt idx="4">
                  <c:v>323.97849462365588</c:v>
                </c:pt>
                <c:pt idx="5">
                  <c:v>396.77419354838707</c:v>
                </c:pt>
              </c:numCache>
            </c:numRef>
          </c:xVal>
          <c:yVal>
            <c:numRef>
              <c:f>NaHPO4!$AA$4:$AA$9</c:f>
              <c:numCache>
                <c:formatCode>0.0000</c:formatCode>
                <c:ptCount val="6"/>
                <c:pt idx="0">
                  <c:v>0.95411297282994845</c:v>
                </c:pt>
                <c:pt idx="1">
                  <c:v>0.91023981506279161</c:v>
                </c:pt>
                <c:pt idx="2">
                  <c:v>0.86825087756409824</c:v>
                </c:pt>
                <c:pt idx="3">
                  <c:v>0.82809294159394009</c:v>
                </c:pt>
                <c:pt idx="4">
                  <c:v>0.78969094462642575</c:v>
                </c:pt>
                <c:pt idx="5">
                  <c:v>0.74855705480860246</c:v>
                </c:pt>
              </c:numCache>
            </c:numRef>
          </c:yVal>
          <c:smooth val="0"/>
          <c:extLst>
            <c:ext xmlns:c16="http://schemas.microsoft.com/office/drawing/2014/chart" uri="{C3380CC4-5D6E-409C-BE32-E72D297353CC}">
              <c16:uniqueId val="{00000000-F23C-584F-9FD1-E68ECA7B044D}"/>
            </c:ext>
          </c:extLst>
        </c:ser>
        <c:ser>
          <c:idx val="1"/>
          <c:order val="1"/>
          <c:tx>
            <c:v>pH=5</c:v>
          </c:tx>
          <c:spPr>
            <a:ln w="19080" cap="rnd">
              <a:solidFill>
                <a:srgbClr val="ED7D31"/>
              </a:solidFill>
              <a:round/>
            </a:ln>
          </c:spPr>
          <c:marker>
            <c:symbol val="circle"/>
            <c:size val="5"/>
            <c:spPr>
              <a:solidFill>
                <a:srgbClr val="ED7D31"/>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NaHPO4!$I$10:$I$15</c:f>
              <c:numCache>
                <c:formatCode>0.00E+00</c:formatCode>
                <c:ptCount val="6"/>
                <c:pt idx="0">
                  <c:v>61.166666666666671</c:v>
                </c:pt>
                <c:pt idx="1">
                  <c:v>120.5</c:v>
                </c:pt>
                <c:pt idx="2">
                  <c:v>180.76666666666668</c:v>
                </c:pt>
                <c:pt idx="3">
                  <c:v>241.03333333333333</c:v>
                </c:pt>
                <c:pt idx="4">
                  <c:v>301.3</c:v>
                </c:pt>
              </c:numCache>
            </c:numRef>
          </c:xVal>
          <c:yVal>
            <c:numRef>
              <c:f>NaHPO4!$AA$10:$AA$15</c:f>
              <c:numCache>
                <c:formatCode>0.0000</c:formatCode>
                <c:ptCount val="6"/>
                <c:pt idx="0">
                  <c:v>0.96185203975715405</c:v>
                </c:pt>
                <c:pt idx="1">
                  <c:v>0.92614414542821422</c:v>
                </c:pt>
                <c:pt idx="2">
                  <c:v>0.89113944759782937</c:v>
                </c:pt>
                <c:pt idx="3">
                  <c:v>0.85736831981119666</c:v>
                </c:pt>
                <c:pt idx="4">
                  <c:v>0.82479057815562606</c:v>
                </c:pt>
              </c:numCache>
            </c:numRef>
          </c:yVal>
          <c:smooth val="0"/>
          <c:extLst>
            <c:ext xmlns:c16="http://schemas.microsoft.com/office/drawing/2014/chart" uri="{C3380CC4-5D6E-409C-BE32-E72D297353CC}">
              <c16:uniqueId val="{00000001-F23C-584F-9FD1-E68ECA7B044D}"/>
            </c:ext>
          </c:extLst>
        </c:ser>
        <c:ser>
          <c:idx val="2"/>
          <c:order val="2"/>
          <c:tx>
            <c:v>pH=6</c:v>
          </c:tx>
          <c:spPr>
            <a:ln w="19080" cap="rnd">
              <a:solidFill>
                <a:srgbClr val="A5A5A5"/>
              </a:solidFill>
              <a:round/>
            </a:ln>
          </c:spPr>
          <c:marker>
            <c:symbol val="circle"/>
            <c:size val="5"/>
            <c:spPr>
              <a:solidFill>
                <a:srgbClr val="A5A5A5"/>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NaHPO4!$I$16:$I$21</c:f>
              <c:numCache>
                <c:formatCode>0.00E+00</c:formatCode>
                <c:ptCount val="6"/>
                <c:pt idx="0">
                  <c:v>53.286908077994433</c:v>
                </c:pt>
                <c:pt idx="1">
                  <c:v>108.32869080779945</c:v>
                </c:pt>
                <c:pt idx="2">
                  <c:v>155.93314763231197</c:v>
                </c:pt>
                <c:pt idx="3">
                  <c:v>203.06406685236769</c:v>
                </c:pt>
                <c:pt idx="4">
                  <c:v>258.74651810584959</c:v>
                </c:pt>
              </c:numCache>
            </c:numRef>
          </c:xVal>
          <c:yVal>
            <c:numRef>
              <c:f>NaHPO4!$AA$16:$AA$21</c:f>
              <c:numCache>
                <c:formatCode>0.0000</c:formatCode>
                <c:ptCount val="6"/>
                <c:pt idx="0">
                  <c:v>0.96922323719806081</c:v>
                </c:pt>
                <c:pt idx="1">
                  <c:v>0.93833904036532589</c:v>
                </c:pt>
                <c:pt idx="2">
                  <c:v>0.91235229837445964</c:v>
                </c:pt>
                <c:pt idx="3">
                  <c:v>0.88727024582788694</c:v>
                </c:pt>
                <c:pt idx="4">
                  <c:v>0.8584460378828318</c:v>
                </c:pt>
              </c:numCache>
            </c:numRef>
          </c:yVal>
          <c:smooth val="0"/>
          <c:extLst>
            <c:ext xmlns:c16="http://schemas.microsoft.com/office/drawing/2014/chart" uri="{C3380CC4-5D6E-409C-BE32-E72D297353CC}">
              <c16:uniqueId val="{00000002-F23C-584F-9FD1-E68ECA7B044D}"/>
            </c:ext>
          </c:extLst>
        </c:ser>
        <c:ser>
          <c:idx val="3"/>
          <c:order val="3"/>
          <c:tx>
            <c:v>pH=7</c:v>
          </c:tx>
          <c:spPr>
            <a:ln w="19080" cap="rnd">
              <a:solidFill>
                <a:srgbClr val="FFC000"/>
              </a:solidFill>
              <a:round/>
            </a:ln>
          </c:spPr>
          <c:marker>
            <c:symbol val="circle"/>
            <c:size val="5"/>
            <c:spPr>
              <a:solidFill>
                <a:srgbClr val="FFC000"/>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NaHPO4!$I$22:$I$27</c:f>
              <c:numCache>
                <c:formatCode>0.00E+00</c:formatCode>
                <c:ptCount val="6"/>
                <c:pt idx="0">
                  <c:v>24.959349593495936</c:v>
                </c:pt>
                <c:pt idx="1">
                  <c:v>49.864498644986448</c:v>
                </c:pt>
                <c:pt idx="2">
                  <c:v>98.563685636856377</c:v>
                </c:pt>
                <c:pt idx="3">
                  <c:v>148.29268292682929</c:v>
                </c:pt>
                <c:pt idx="4">
                  <c:v>197.5609756097561</c:v>
                </c:pt>
                <c:pt idx="5">
                  <c:v>243.25203252032523</c:v>
                </c:pt>
              </c:numCache>
            </c:numRef>
          </c:xVal>
          <c:yVal>
            <c:numRef>
              <c:f>NaHPO4!$AA$22:$AA$27</c:f>
              <c:numCache>
                <c:formatCode>0.0000</c:formatCode>
                <c:ptCount val="6"/>
                <c:pt idx="0">
                  <c:v>0.99587798582994913</c:v>
                </c:pt>
                <c:pt idx="1">
                  <c:v>0.99177624290402144</c:v>
                </c:pt>
                <c:pt idx="2">
                  <c:v>0.98378837946021092</c:v>
                </c:pt>
                <c:pt idx="3">
                  <c:v>0.97567608015558005</c:v>
                </c:pt>
                <c:pt idx="4">
                  <c:v>0.96768316434462165</c:v>
                </c:pt>
                <c:pt idx="5">
                  <c:v>0.96030985565226867</c:v>
                </c:pt>
              </c:numCache>
            </c:numRef>
          </c:yVal>
          <c:smooth val="0"/>
          <c:extLst>
            <c:ext xmlns:c16="http://schemas.microsoft.com/office/drawing/2014/chart" uri="{C3380CC4-5D6E-409C-BE32-E72D297353CC}">
              <c16:uniqueId val="{00000003-F23C-584F-9FD1-E68ECA7B044D}"/>
            </c:ext>
          </c:extLst>
        </c:ser>
        <c:ser>
          <c:idx val="4"/>
          <c:order val="4"/>
          <c:tx>
            <c:v>pH=8.25</c:v>
          </c:tx>
          <c:spPr>
            <a:ln w="19080" cap="rnd">
              <a:solidFill>
                <a:srgbClr val="5B9BD5"/>
              </a:solidFill>
              <a:round/>
            </a:ln>
          </c:spPr>
          <c:marker>
            <c:symbol val="circle"/>
            <c:size val="5"/>
            <c:spPr>
              <a:solidFill>
                <a:srgbClr val="5B9BD5"/>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NaHPO4!$I$28:$I$33</c:f>
              <c:numCache>
                <c:formatCode>0.00E+00</c:formatCode>
                <c:ptCount val="6"/>
                <c:pt idx="0">
                  <c:v>30.477707006369425</c:v>
                </c:pt>
                <c:pt idx="1">
                  <c:v>70.350318471337587</c:v>
                </c:pt>
                <c:pt idx="2">
                  <c:v>115.82802547770702</c:v>
                </c:pt>
                <c:pt idx="3">
                  <c:v>180.79617834394904</c:v>
                </c:pt>
                <c:pt idx="4">
                  <c:v>229.58598726114647</c:v>
                </c:pt>
                <c:pt idx="5">
                  <c:v>298.28025477707007</c:v>
                </c:pt>
              </c:numCache>
            </c:numRef>
          </c:xVal>
          <c:yVal>
            <c:numRef>
              <c:f>NaHPO4!$AA$28:$AA$33</c:f>
              <c:numCache>
                <c:formatCode>0.0000</c:formatCode>
                <c:ptCount val="6"/>
                <c:pt idx="0">
                  <c:v>0.97313460952426623</c:v>
                </c:pt>
                <c:pt idx="1">
                  <c:v>0.93901931067021904</c:v>
                </c:pt>
                <c:pt idx="2">
                  <c:v>0.90149221208647068</c:v>
                </c:pt>
                <c:pt idx="3">
                  <c:v>0.85033990189700981</c:v>
                </c:pt>
                <c:pt idx="4">
                  <c:v>0.81374727044017059</c:v>
                </c:pt>
                <c:pt idx="5">
                  <c:v>0.76474845888467735</c:v>
                </c:pt>
              </c:numCache>
            </c:numRef>
          </c:yVal>
          <c:smooth val="0"/>
          <c:extLst>
            <c:ext xmlns:c16="http://schemas.microsoft.com/office/drawing/2014/chart" uri="{C3380CC4-5D6E-409C-BE32-E72D297353CC}">
              <c16:uniqueId val="{00000004-F23C-584F-9FD1-E68ECA7B044D}"/>
            </c:ext>
          </c:extLst>
        </c:ser>
        <c:ser>
          <c:idx val="5"/>
          <c:order val="5"/>
          <c:tx>
            <c:v>pH=9</c:v>
          </c:tx>
          <c:spPr>
            <a:ln w="19080" cap="rnd">
              <a:solidFill>
                <a:srgbClr val="70AD47"/>
              </a:solidFill>
              <a:round/>
            </a:ln>
          </c:spPr>
          <c:marker>
            <c:symbol val="circle"/>
            <c:size val="5"/>
            <c:spPr>
              <a:solidFill>
                <a:srgbClr val="70AD47"/>
              </a:solidFill>
            </c:spPr>
          </c:marker>
          <c:dLbls>
            <c:spPr>
              <a:noFill/>
              <a:ln>
                <a:noFill/>
              </a:ln>
              <a:effectLst/>
            </c:sp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NaHPO4!$I$34:$I$39</c:f>
              <c:numCache>
                <c:formatCode>0.00E+00</c:formatCode>
                <c:ptCount val="6"/>
                <c:pt idx="0">
                  <c:v>28.860759493670887</c:v>
                </c:pt>
                <c:pt idx="1">
                  <c:v>115.09493670886077</c:v>
                </c:pt>
                <c:pt idx="2">
                  <c:v>173.44936708860757</c:v>
                </c:pt>
                <c:pt idx="3">
                  <c:v>234.9367088607595</c:v>
                </c:pt>
                <c:pt idx="4">
                  <c:v>283.19620253164555</c:v>
                </c:pt>
              </c:numCache>
            </c:numRef>
          </c:xVal>
          <c:yVal>
            <c:numRef>
              <c:f>NaHPO4!$AA$34:$AA$39</c:f>
              <c:numCache>
                <c:formatCode>0.0000</c:formatCode>
                <c:ptCount val="6"/>
                <c:pt idx="0">
                  <c:v>0.96707034465849606</c:v>
                </c:pt>
                <c:pt idx="1">
                  <c:v>0.87476087982919448</c:v>
                </c:pt>
                <c:pt idx="2">
                  <c:v>0.81715706198046834</c:v>
                </c:pt>
                <c:pt idx="3">
                  <c:v>0.76040473368868844</c:v>
                </c:pt>
                <c:pt idx="4">
                  <c:v>0.71853063402989359</c:v>
                </c:pt>
              </c:numCache>
            </c:numRef>
          </c:yVal>
          <c:smooth val="0"/>
          <c:extLst>
            <c:ext xmlns:c16="http://schemas.microsoft.com/office/drawing/2014/chart" uri="{C3380CC4-5D6E-409C-BE32-E72D297353CC}">
              <c16:uniqueId val="{00000005-F23C-584F-9FD1-E68ECA7B044D}"/>
            </c:ext>
          </c:extLst>
        </c:ser>
        <c:dLbls>
          <c:showLegendKey val="0"/>
          <c:showVal val="0"/>
          <c:showCatName val="0"/>
          <c:showSerName val="0"/>
          <c:showPercent val="0"/>
          <c:showBubbleSize val="0"/>
        </c:dLbls>
        <c:axId val="85382296"/>
        <c:axId val="92509071"/>
      </c:scatterChart>
      <c:valAx>
        <c:axId val="85382296"/>
        <c:scaling>
          <c:orientation val="minMax"/>
        </c:scaling>
        <c:delete val="0"/>
        <c:axPos val="b"/>
        <c:title>
          <c:tx>
            <c:rich>
              <a:bodyPr rot="0"/>
              <a:lstStyle/>
              <a:p>
                <a:pPr>
                  <a:defRPr/>
                </a:pPr>
                <a:r>
                  <a:rPr lang="en-GB"/>
                  <a:t>Protein Concentration (𝝁M)</a:t>
                </a:r>
              </a:p>
            </c:rich>
          </c:tx>
          <c:overlay val="0"/>
          <c:spPr>
            <a:noFill/>
            <a:ln w="0">
              <a:noFill/>
            </a:ln>
          </c:spPr>
        </c:title>
        <c:numFmt formatCode="0.0" sourceLinked="0"/>
        <c:majorTickMark val="out"/>
        <c:minorTickMark val="none"/>
        <c:tickLblPos val="nextTo"/>
        <c:spPr>
          <a:ln w="9360">
            <a:solidFill>
              <a:srgbClr val="BFBFBF"/>
            </a:solidFill>
            <a:round/>
          </a:ln>
        </c:spPr>
        <c:crossAx val="92509071"/>
        <c:crosses val="autoZero"/>
        <c:crossBetween val="midCat"/>
      </c:valAx>
      <c:valAx>
        <c:axId val="92509071"/>
        <c:scaling>
          <c:orientation val="minMax"/>
          <c:max val="1"/>
          <c:min val="0.6"/>
        </c:scaling>
        <c:delete val="0"/>
        <c:axPos val="l"/>
        <c:majorGridlines>
          <c:spPr>
            <a:ln w="9360">
              <a:solidFill>
                <a:srgbClr val="D9D9D9"/>
              </a:solidFill>
              <a:round/>
            </a:ln>
          </c:spPr>
        </c:majorGridlines>
        <c:title>
          <c:tx>
            <c:rich>
              <a:bodyPr rot="-5400000"/>
              <a:lstStyle/>
              <a:p>
                <a:pPr>
                  <a:defRPr/>
                </a:pPr>
                <a:r>
                  <a:rPr lang="en-GB"/>
                  <a:t>𝜸</a:t>
                </a:r>
              </a:p>
            </c:rich>
          </c:tx>
          <c:overlay val="0"/>
          <c:spPr>
            <a:noFill/>
            <a:ln w="0">
              <a:noFill/>
            </a:ln>
          </c:spPr>
        </c:title>
        <c:numFmt formatCode="0.0" sourceLinked="0"/>
        <c:majorTickMark val="none"/>
        <c:minorTickMark val="none"/>
        <c:tickLblPos val="nextTo"/>
        <c:spPr>
          <a:ln w="9360">
            <a:solidFill>
              <a:srgbClr val="BFBFBF"/>
            </a:solidFill>
            <a:round/>
          </a:ln>
        </c:spPr>
        <c:crossAx val="85382296"/>
        <c:crosses val="autoZero"/>
        <c:crossBetween val="midCat"/>
        <c:majorUnit val="0.1"/>
      </c:valAx>
      <c:spPr>
        <a:noFill/>
        <a:ln w="0">
          <a:noFill/>
        </a:ln>
      </c:spPr>
    </c:plotArea>
    <c:legend>
      <c:legendPos val="r"/>
      <c:overlay val="0"/>
      <c:spPr>
        <a:noFill/>
        <a:ln w="0">
          <a:noFill/>
        </a:ln>
      </c:spPr>
    </c:legend>
    <c:plotVisOnly val="1"/>
    <c:dispBlanksAs val="gap"/>
    <c:showDLblsOverMax val="1"/>
  </c:chart>
  <c:spPr>
    <a:solidFill>
      <a:srgbClr val="FFFFFF"/>
    </a:solidFill>
    <a:ln w="9360">
      <a:noFill/>
    </a:ln>
  </c:spPr>
  <c:txPr>
    <a:bodyPr/>
    <a:lstStyle/>
    <a:p>
      <a:pPr>
        <a:defRPr>
          <a:solidFill>
            <a:schemeClr val="tx1"/>
          </a:solidFill>
          <a:latin typeface="Times New Roman" panose="02020603050405020304" pitchFamily="18" charset="0"/>
          <a:cs typeface="Times New Roman" panose="02020603050405020304" pitchFamily="18" charset="0"/>
        </a:defRPr>
      </a:pPr>
      <a:endParaRPr lang="en-DE"/>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34</xdr:col>
      <xdr:colOff>69120</xdr:colOff>
      <xdr:row>1</xdr:row>
      <xdr:rowOff>6480</xdr:rowOff>
    </xdr:from>
    <xdr:to>
      <xdr:col>39</xdr:col>
      <xdr:colOff>513000</xdr:colOff>
      <xdr:row>11</xdr:row>
      <xdr:rowOff>12240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42480</xdr:colOff>
      <xdr:row>39</xdr:row>
      <xdr:rowOff>86760</xdr:rowOff>
    </xdr:from>
    <xdr:to>
      <xdr:col>10</xdr:col>
      <xdr:colOff>451080</xdr:colOff>
      <xdr:row>53</xdr:row>
      <xdr:rowOff>63360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492480</xdr:colOff>
      <xdr:row>39</xdr:row>
      <xdr:rowOff>84600</xdr:rowOff>
    </xdr:from>
    <xdr:to>
      <xdr:col>14</xdr:col>
      <xdr:colOff>505800</xdr:colOff>
      <xdr:row>53</xdr:row>
      <xdr:rowOff>61200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540360</xdr:colOff>
      <xdr:row>39</xdr:row>
      <xdr:rowOff>84600</xdr:rowOff>
    </xdr:from>
    <xdr:to>
      <xdr:col>22</xdr:col>
      <xdr:colOff>130320</xdr:colOff>
      <xdr:row>53</xdr:row>
      <xdr:rowOff>61200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57960</xdr:colOff>
      <xdr:row>53</xdr:row>
      <xdr:rowOff>124200</xdr:rowOff>
    </xdr:from>
    <xdr:to>
      <xdr:col>10</xdr:col>
      <xdr:colOff>466560</xdr:colOff>
      <xdr:row>67</xdr:row>
      <xdr:rowOff>100800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485280</xdr:colOff>
      <xdr:row>53</xdr:row>
      <xdr:rowOff>91800</xdr:rowOff>
    </xdr:from>
    <xdr:to>
      <xdr:col>14</xdr:col>
      <xdr:colOff>583200</xdr:colOff>
      <xdr:row>67</xdr:row>
      <xdr:rowOff>68400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578520</xdr:colOff>
      <xdr:row>53</xdr:row>
      <xdr:rowOff>105840</xdr:rowOff>
    </xdr:from>
    <xdr:to>
      <xdr:col>22</xdr:col>
      <xdr:colOff>168480</xdr:colOff>
      <xdr:row>67</xdr:row>
      <xdr:rowOff>82440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29</xdr:col>
      <xdr:colOff>416160</xdr:colOff>
      <xdr:row>29</xdr:row>
      <xdr:rowOff>159480</xdr:rowOff>
    </xdr:from>
    <xdr:to>
      <xdr:col>38</xdr:col>
      <xdr:colOff>288360</xdr:colOff>
      <xdr:row>52</xdr:row>
      <xdr:rowOff>186840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310320</xdr:colOff>
      <xdr:row>29</xdr:row>
      <xdr:rowOff>155160</xdr:rowOff>
    </xdr:from>
    <xdr:to>
      <xdr:col>47</xdr:col>
      <xdr:colOff>436680</xdr:colOff>
      <xdr:row>52</xdr:row>
      <xdr:rowOff>182520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2"/>
  <sheetViews>
    <sheetView tabSelected="1" topLeftCell="AB13" zoomScale="90" zoomScaleNormal="90" workbookViewId="0">
      <selection activeCell="AS20" sqref="AS20"/>
    </sheetView>
  </sheetViews>
  <sheetFormatPr baseColWidth="10" defaultColWidth="10.6640625" defaultRowHeight="16" x14ac:dyDescent="0.2"/>
  <cols>
    <col min="1" max="1" width="12.33203125" customWidth="1"/>
    <col min="4" max="4" width="5.6640625" customWidth="1"/>
    <col min="5" max="6" width="7.83203125" customWidth="1"/>
    <col min="7" max="7" width="8" customWidth="1"/>
    <col min="8" max="9" width="10.1640625" customWidth="1"/>
    <col min="11" max="11" width="14.1640625" customWidth="1"/>
    <col min="12" max="13" width="15.33203125" customWidth="1"/>
    <col min="14" max="14" width="14.83203125" customWidth="1"/>
    <col min="15" max="15" width="11.1640625" customWidth="1"/>
    <col min="16" max="16" width="6.83203125" customWidth="1"/>
    <col min="17" max="18" width="7.33203125" customWidth="1"/>
    <col min="19" max="20" width="8" customWidth="1"/>
    <col min="21" max="21" width="10.83203125" customWidth="1"/>
    <col min="22" max="22" width="5.6640625" customWidth="1"/>
    <col min="23" max="23" width="5.1640625" customWidth="1"/>
    <col min="24" max="24" width="7.33203125" customWidth="1"/>
    <col min="25" max="27" width="11.5" customWidth="1"/>
    <col min="29" max="29" width="5.1640625" customWidth="1"/>
    <col min="30" max="30" width="13" customWidth="1"/>
    <col min="31" max="31" width="11.5" customWidth="1"/>
    <col min="32" max="32" width="10" customWidth="1"/>
    <col min="33" max="33" width="11.83203125" customWidth="1"/>
    <col min="34" max="34" width="11.6640625" customWidth="1"/>
  </cols>
  <sheetData>
    <row r="1" spans="1:34" ht="15.75" customHeight="1" x14ac:dyDescent="0.2">
      <c r="A1" t="s">
        <v>0</v>
      </c>
      <c r="B1">
        <v>8.3144626181532395</v>
      </c>
    </row>
    <row r="2" spans="1:34" ht="15.75" customHeight="1" x14ac:dyDescent="0.2">
      <c r="A2" t="s">
        <v>1</v>
      </c>
      <c r="B2">
        <f>25+273.15</f>
        <v>298.14999999999998</v>
      </c>
      <c r="G2" s="5"/>
      <c r="H2" s="5"/>
      <c r="I2" s="5"/>
      <c r="J2" s="5"/>
      <c r="K2" s="5"/>
      <c r="L2" s="5"/>
      <c r="M2" s="5"/>
      <c r="N2" s="5"/>
      <c r="O2" s="5"/>
      <c r="P2" s="5"/>
      <c r="Q2" s="5"/>
      <c r="R2" s="5"/>
      <c r="S2" s="5"/>
      <c r="T2" s="5"/>
      <c r="U2" s="5"/>
      <c r="V2" s="5"/>
      <c r="W2" s="5"/>
      <c r="X2" s="5"/>
      <c r="Y2" s="5"/>
      <c r="Z2" s="5"/>
      <c r="AA2" s="5"/>
      <c r="AC2" t="s">
        <v>2</v>
      </c>
      <c r="AD2" t="s">
        <v>3</v>
      </c>
      <c r="AE2" t="s">
        <v>4</v>
      </c>
      <c r="AF2" t="s">
        <v>5</v>
      </c>
      <c r="AG2" t="s">
        <v>6</v>
      </c>
      <c r="AH2" t="s">
        <v>7</v>
      </c>
    </row>
    <row r="3" spans="1:34" ht="15.75" customHeight="1" x14ac:dyDescent="0.2">
      <c r="D3" s="6" t="s">
        <v>2</v>
      </c>
      <c r="E3" s="7" t="s">
        <v>8</v>
      </c>
      <c r="F3" s="7" t="s">
        <v>9</v>
      </c>
      <c r="G3" s="7" t="s">
        <v>10</v>
      </c>
      <c r="H3" s="6" t="s">
        <v>11</v>
      </c>
      <c r="I3" s="6" t="s">
        <v>12</v>
      </c>
      <c r="J3" s="7" t="s">
        <v>13</v>
      </c>
      <c r="K3" s="7" t="s">
        <v>14</v>
      </c>
      <c r="L3" s="7" t="s">
        <v>15</v>
      </c>
      <c r="M3" s="7" t="s">
        <v>16</v>
      </c>
      <c r="N3" s="7" t="s">
        <v>17</v>
      </c>
      <c r="O3" s="8" t="s">
        <v>18</v>
      </c>
      <c r="P3" s="8" t="s">
        <v>19</v>
      </c>
      <c r="Q3" s="7" t="s">
        <v>20</v>
      </c>
      <c r="R3" s="7" t="s">
        <v>21</v>
      </c>
      <c r="S3" s="7" t="s">
        <v>22</v>
      </c>
      <c r="T3" s="7" t="s">
        <v>23</v>
      </c>
      <c r="U3" s="7" t="s">
        <v>24</v>
      </c>
      <c r="V3" s="7" t="s">
        <v>25</v>
      </c>
      <c r="W3" s="7" t="s">
        <v>26</v>
      </c>
      <c r="X3" s="6" t="s">
        <v>27</v>
      </c>
      <c r="Y3" s="6" t="s">
        <v>28</v>
      </c>
      <c r="Z3" s="6" t="s">
        <v>29</v>
      </c>
      <c r="AA3" s="6" t="s">
        <v>30</v>
      </c>
      <c r="AC3">
        <v>4.5</v>
      </c>
      <c r="AD3">
        <v>27.9</v>
      </c>
      <c r="AE3">
        <f t="shared" ref="AE3:AE8" si="0">AD3*1000</f>
        <v>27900</v>
      </c>
      <c r="AF3">
        <v>0.1</v>
      </c>
      <c r="AG3">
        <f t="shared" ref="AG3:AG8" si="1">AD3-AF3</f>
        <v>27.799999999999997</v>
      </c>
      <c r="AH3">
        <f t="shared" ref="AH3:AH8" si="2">AD3+AF3</f>
        <v>28</v>
      </c>
    </row>
    <row r="4" spans="1:34" ht="15.75" customHeight="1" x14ac:dyDescent="0.2">
      <c r="D4" s="4">
        <v>4.5</v>
      </c>
      <c r="E4" s="9">
        <f>10^-D4</f>
        <v>3.1622776601683748E-5</v>
      </c>
      <c r="F4" s="9">
        <f t="shared" ref="F4:F14" si="3">0.00000000000001/E4</f>
        <v>3.1622776601683837E-10</v>
      </c>
      <c r="G4" s="7">
        <v>1.8080000000000001</v>
      </c>
      <c r="H4" s="10">
        <f t="shared" ref="H4:H9" si="4">G4/$AE$3</f>
        <v>6.4802867383512543E-5</v>
      </c>
      <c r="I4" s="11">
        <f t="shared" ref="I4:I14" si="5">1000000*H4</f>
        <v>64.802867383512549</v>
      </c>
      <c r="J4" s="12">
        <f t="shared" ref="J4:J9" si="6">H4/($B$9*(1-H4*$AE$3*$B$5/1000) - L4*($B$11+$B$12) - M4*(2*$B$11+$B$13) - E4*$B$15 - F4*$B$16)</f>
        <v>6.5878623918159415E-8</v>
      </c>
      <c r="K4" s="7">
        <v>0.1</v>
      </c>
      <c r="L4" s="7">
        <f t="shared" ref="L4:L14" si="7">M4*E4/(10^-$B$19)</f>
        <v>9.9800871082927164E-2</v>
      </c>
      <c r="M4" s="13">
        <f t="shared" ref="M4:M14" si="8">(10^-$B$19)*K4/(E4+(10^-$B$19))</f>
        <v>1.9912891707283179E-4</v>
      </c>
      <c r="N4" s="12">
        <f t="shared" ref="N4:N9" si="9">(L4+3*M4)/($B$9*(1-H4*$AE$3*$B$5/1000) - L4*($B$11+$B$12) - M4*(2*$B$11+$B$13) - E4*$B$15 - F4*$B$16)</f>
        <v>1.0206491374449389E-4</v>
      </c>
      <c r="O4" s="14">
        <v>16</v>
      </c>
      <c r="P4" s="7">
        <f t="shared" ref="P4:P21" si="10">O4*9.80665</f>
        <v>156.90639999999999</v>
      </c>
      <c r="Q4" s="15">
        <f t="shared" ref="Q4:Q9" si="11">$B$1*$B$2*$B$9*1000*(J4+0.25*0.25*($AD$20 + $AD$21)*($AD$20 + $AD$21)*J4*J4/N4)</f>
        <v>164.37809853980781</v>
      </c>
      <c r="R4" s="16">
        <f t="shared" ref="R4:R14" si="12">P4/Q4</f>
        <v>0.95454565659184587</v>
      </c>
      <c r="S4" s="16">
        <f t="shared" ref="S4:S14" si="13">R4-1</f>
        <v>-4.545434340815413E-2</v>
      </c>
      <c r="T4" s="16">
        <f t="shared" ref="T4:T9" si="14">$U$4+$U$5*J4+$U$6*J4*J4+$U$7*J4*J4*J4+$U$8*J4*J4*J4*J4</f>
        <v>-3.2413886736675133E-2</v>
      </c>
      <c r="U4" s="17">
        <v>0</v>
      </c>
      <c r="V4" s="14">
        <f t="shared" ref="V4:V14" si="15">S4-T4</f>
        <v>-1.3040456671478996E-2</v>
      </c>
      <c r="W4" s="14">
        <f t="shared" ref="W4:W14" si="16">V4*V4</f>
        <v>1.7005351020072106E-4</v>
      </c>
      <c r="X4" s="18">
        <f t="shared" ref="X4:X9" si="17">EXP(S4+$U$5*J4+$U$6*J4*J4/2+$U$7*J4*J4*J4/3+$U$8*J4*J4*J4*J4/4)</f>
        <v>0.92508631700263066</v>
      </c>
      <c r="Y4" s="18">
        <f t="shared" ref="Y4:Y9" si="18">EXP(2*$AH$11*J4)</f>
        <v>0.95411297282994845</v>
      </c>
      <c r="Z4" s="18">
        <f t="shared" ref="Z4:Z14" si="19">X4</f>
        <v>0.92508631700263066</v>
      </c>
      <c r="AA4" s="18">
        <f t="shared" ref="AA4:AA14" si="20">Y4</f>
        <v>0.95411297282994845</v>
      </c>
      <c r="AC4">
        <v>5</v>
      </c>
      <c r="AD4">
        <v>30</v>
      </c>
      <c r="AE4">
        <f t="shared" si="0"/>
        <v>30000</v>
      </c>
      <c r="AF4">
        <v>0</v>
      </c>
      <c r="AG4">
        <f t="shared" si="1"/>
        <v>30</v>
      </c>
      <c r="AH4">
        <f t="shared" si="2"/>
        <v>30</v>
      </c>
    </row>
    <row r="5" spans="1:34" ht="15.75" customHeight="1" x14ac:dyDescent="0.2">
      <c r="A5" t="s">
        <v>31</v>
      </c>
      <c r="B5">
        <v>0.73599999999999999</v>
      </c>
      <c r="C5" t="s">
        <v>32</v>
      </c>
      <c r="D5" s="4"/>
      <c r="E5" s="19">
        <f>E4</f>
        <v>3.1622776601683748E-5</v>
      </c>
      <c r="F5" s="19">
        <f t="shared" si="3"/>
        <v>3.1622776601683837E-10</v>
      </c>
      <c r="G5" s="20">
        <v>3.6150000000000002</v>
      </c>
      <c r="H5" s="21">
        <f t="shared" si="4"/>
        <v>1.2956989247311828E-4</v>
      </c>
      <c r="I5" s="21">
        <f t="shared" si="5"/>
        <v>129.56989247311827</v>
      </c>
      <c r="J5" s="22">
        <f t="shared" si="6"/>
        <v>1.3189860639783066E-7</v>
      </c>
      <c r="K5" s="20">
        <v>0.1</v>
      </c>
      <c r="L5" s="20">
        <f t="shared" si="7"/>
        <v>9.9800871082927164E-2</v>
      </c>
      <c r="M5" s="20">
        <f t="shared" si="8"/>
        <v>1.9912891707283179E-4</v>
      </c>
      <c r="N5" s="22">
        <f t="shared" si="9"/>
        <v>1.0220268027035123E-4</v>
      </c>
      <c r="O5" s="23">
        <v>31.85</v>
      </c>
      <c r="P5" s="20">
        <f t="shared" si="10"/>
        <v>312.34180249999997</v>
      </c>
      <c r="Q5" s="24">
        <f t="shared" si="11"/>
        <v>332.22603067782171</v>
      </c>
      <c r="R5" s="25">
        <f t="shared" si="12"/>
        <v>0.94014849427285063</v>
      </c>
      <c r="S5" s="25">
        <f t="shared" si="13"/>
        <v>-5.9851505727149368E-2</v>
      </c>
      <c r="T5" s="25">
        <f t="shared" si="14"/>
        <v>-6.489732532688923E-2</v>
      </c>
      <c r="U5" s="26">
        <v>-492024.34429933899</v>
      </c>
      <c r="V5" s="23">
        <f t="shared" si="15"/>
        <v>5.0458195997398619E-3</v>
      </c>
      <c r="W5" s="23">
        <f t="shared" si="16"/>
        <v>2.5460295433118941E-5</v>
      </c>
      <c r="X5" s="27">
        <f t="shared" si="17"/>
        <v>0.88271858624029143</v>
      </c>
      <c r="Y5" s="27">
        <f t="shared" si="18"/>
        <v>0.91023981506279161</v>
      </c>
      <c r="Z5" s="27">
        <f t="shared" si="19"/>
        <v>0.88271858624029143</v>
      </c>
      <c r="AA5" s="27">
        <f t="shared" si="20"/>
        <v>0.91023981506279161</v>
      </c>
      <c r="AC5">
        <v>6</v>
      </c>
      <c r="AD5">
        <v>35.9</v>
      </c>
      <c r="AE5">
        <f t="shared" si="0"/>
        <v>35900</v>
      </c>
      <c r="AF5">
        <v>0.2</v>
      </c>
      <c r="AG5">
        <f t="shared" si="1"/>
        <v>35.699999999999996</v>
      </c>
      <c r="AH5">
        <f t="shared" si="2"/>
        <v>36.1</v>
      </c>
    </row>
    <row r="6" spans="1:34" ht="15.75" customHeight="1" x14ac:dyDescent="0.2">
      <c r="A6" t="s">
        <v>33</v>
      </c>
      <c r="B6" t="s">
        <v>34</v>
      </c>
      <c r="D6" s="4"/>
      <c r="E6" s="19">
        <f>E5</f>
        <v>3.1622776601683748E-5</v>
      </c>
      <c r="F6" s="19">
        <f t="shared" si="3"/>
        <v>3.1622776601683837E-10</v>
      </c>
      <c r="G6" s="20">
        <v>5.423</v>
      </c>
      <c r="H6" s="21">
        <f t="shared" si="4"/>
        <v>1.9437275985663082E-4</v>
      </c>
      <c r="I6" s="21">
        <f t="shared" si="5"/>
        <v>194.37275985663084</v>
      </c>
      <c r="J6" s="22">
        <f t="shared" si="6"/>
        <v>1.9813374041031224E-7</v>
      </c>
      <c r="K6" s="20">
        <v>0.1</v>
      </c>
      <c r="L6" s="20">
        <f t="shared" si="7"/>
        <v>9.9800871082927164E-2</v>
      </c>
      <c r="M6" s="20">
        <f t="shared" si="8"/>
        <v>1.9912891707283179E-4</v>
      </c>
      <c r="N6" s="22">
        <f t="shared" si="9"/>
        <v>1.0234089576147781E-4</v>
      </c>
      <c r="O6" s="23">
        <v>46.2</v>
      </c>
      <c r="P6" s="20">
        <f t="shared" si="10"/>
        <v>453.06723</v>
      </c>
      <c r="Q6" s="24">
        <f t="shared" si="11"/>
        <v>503.74402330779475</v>
      </c>
      <c r="R6" s="25">
        <f t="shared" si="12"/>
        <v>0.89939971302283717</v>
      </c>
      <c r="S6" s="25">
        <f t="shared" si="13"/>
        <v>-0.10060028697716283</v>
      </c>
      <c r="T6" s="25">
        <f t="shared" si="14"/>
        <v>-9.748662370895933E-2</v>
      </c>
      <c r="U6" s="26">
        <v>0</v>
      </c>
      <c r="V6" s="23">
        <f t="shared" si="15"/>
        <v>-3.1136632682035037E-3</v>
      </c>
      <c r="W6" s="23">
        <f t="shared" si="16"/>
        <v>9.694898947759724E-6</v>
      </c>
      <c r="X6" s="27">
        <f t="shared" si="17"/>
        <v>0.82029855732924961</v>
      </c>
      <c r="Y6" s="27">
        <f t="shared" si="18"/>
        <v>0.86825087756409824</v>
      </c>
      <c r="Z6" s="27">
        <f t="shared" si="19"/>
        <v>0.82029855732924961</v>
      </c>
      <c r="AA6" s="27">
        <f t="shared" si="20"/>
        <v>0.86825087756409824</v>
      </c>
      <c r="AC6">
        <v>7</v>
      </c>
      <c r="AD6">
        <v>36.9</v>
      </c>
      <c r="AE6">
        <f t="shared" si="0"/>
        <v>36900</v>
      </c>
      <c r="AF6">
        <v>0.2</v>
      </c>
      <c r="AG6">
        <f t="shared" si="1"/>
        <v>36.699999999999996</v>
      </c>
      <c r="AH6">
        <f t="shared" si="2"/>
        <v>37.1</v>
      </c>
    </row>
    <row r="7" spans="1:34" ht="15.75" customHeight="1" x14ac:dyDescent="0.2">
      <c r="A7" t="s">
        <v>35</v>
      </c>
      <c r="D7" s="4"/>
      <c r="E7" s="19">
        <f>E6</f>
        <v>3.1622776601683748E-5</v>
      </c>
      <c r="F7" s="19">
        <f t="shared" si="3"/>
        <v>3.1622776601683837E-10</v>
      </c>
      <c r="G7" s="20">
        <v>7.2309999999999999</v>
      </c>
      <c r="H7" s="21">
        <f t="shared" si="4"/>
        <v>2.5917562724014334E-4</v>
      </c>
      <c r="I7" s="21">
        <f t="shared" si="5"/>
        <v>259.17562724014334</v>
      </c>
      <c r="J7" s="22">
        <f t="shared" si="6"/>
        <v>2.6454826539098578E-7</v>
      </c>
      <c r="K7" s="20">
        <v>0.1</v>
      </c>
      <c r="L7" s="20">
        <f t="shared" si="7"/>
        <v>9.9800871082927164E-2</v>
      </c>
      <c r="M7" s="20">
        <f t="shared" si="8"/>
        <v>1.9912891707283179E-4</v>
      </c>
      <c r="N7" s="22">
        <f t="shared" si="9"/>
        <v>1.0247948559487972E-4</v>
      </c>
      <c r="O7" s="23">
        <v>59.35</v>
      </c>
      <c r="P7" s="20">
        <f t="shared" si="10"/>
        <v>582.02467749999994</v>
      </c>
      <c r="Q7" s="24">
        <f t="shared" si="11"/>
        <v>678.85471228500023</v>
      </c>
      <c r="R7" s="25">
        <f t="shared" si="12"/>
        <v>0.85736265355060448</v>
      </c>
      <c r="S7" s="25">
        <f t="shared" si="13"/>
        <v>-0.14263734644939552</v>
      </c>
      <c r="T7" s="25">
        <f t="shared" si="14"/>
        <v>-0.13016418681452729</v>
      </c>
      <c r="U7" s="26">
        <v>0</v>
      </c>
      <c r="V7" s="23">
        <f t="shared" si="15"/>
        <v>-1.2473159634868225E-2</v>
      </c>
      <c r="W7" s="23">
        <f t="shared" si="16"/>
        <v>1.5557971127690604E-4</v>
      </c>
      <c r="X7" s="27">
        <f t="shared" si="17"/>
        <v>0.76124385422069774</v>
      </c>
      <c r="Y7" s="27">
        <f t="shared" si="18"/>
        <v>0.82809294159394009</v>
      </c>
      <c r="Z7" s="27">
        <f t="shared" si="19"/>
        <v>0.76124385422069774</v>
      </c>
      <c r="AA7" s="27">
        <f t="shared" si="20"/>
        <v>0.82809294159394009</v>
      </c>
      <c r="AC7">
        <v>8.25</v>
      </c>
      <c r="AD7">
        <v>31.4</v>
      </c>
      <c r="AE7">
        <f t="shared" si="0"/>
        <v>31400</v>
      </c>
      <c r="AF7">
        <v>0.2</v>
      </c>
      <c r="AG7">
        <f t="shared" si="1"/>
        <v>31.2</v>
      </c>
      <c r="AH7">
        <f t="shared" si="2"/>
        <v>31.599999999999998</v>
      </c>
    </row>
    <row r="8" spans="1:34" ht="15.75" customHeight="1" x14ac:dyDescent="0.2">
      <c r="D8" s="4"/>
      <c r="E8" s="19">
        <f>E7</f>
        <v>3.1622776601683748E-5</v>
      </c>
      <c r="F8" s="19">
        <f t="shared" si="3"/>
        <v>3.1622776601683837E-10</v>
      </c>
      <c r="G8" s="20">
        <v>9.0389999999999997</v>
      </c>
      <c r="H8" s="21">
        <f t="shared" si="4"/>
        <v>3.2397849462365588E-4</v>
      </c>
      <c r="I8" s="21">
        <f t="shared" si="5"/>
        <v>323.97849462365588</v>
      </c>
      <c r="J8" s="22">
        <f t="shared" si="6"/>
        <v>3.3114291112077457E-7</v>
      </c>
      <c r="K8" s="20">
        <v>0.1</v>
      </c>
      <c r="L8" s="20">
        <f t="shared" si="7"/>
        <v>9.9800871082927164E-2</v>
      </c>
      <c r="M8" s="20">
        <f t="shared" si="8"/>
        <v>1.9912891707283179E-4</v>
      </c>
      <c r="N8" s="22">
        <f t="shared" si="9"/>
        <v>1.0261845129341982E-4</v>
      </c>
      <c r="O8" s="23">
        <v>73.400000000000006</v>
      </c>
      <c r="P8" s="20">
        <f t="shared" si="10"/>
        <v>719.80811000000006</v>
      </c>
      <c r="Q8" s="24">
        <f t="shared" si="11"/>
        <v>857.57271306797543</v>
      </c>
      <c r="R8" s="25">
        <f t="shared" si="12"/>
        <v>0.8393551928965638</v>
      </c>
      <c r="S8" s="25">
        <f t="shared" si="13"/>
        <v>-0.1606448071034362</v>
      </c>
      <c r="T8" s="25">
        <f t="shared" si="14"/>
        <v>-0.16293037371357341</v>
      </c>
      <c r="U8" s="26">
        <v>0</v>
      </c>
      <c r="V8" s="23">
        <f t="shared" si="15"/>
        <v>2.2855666101372074E-3</v>
      </c>
      <c r="W8" s="23">
        <f t="shared" si="16"/>
        <v>5.2238147293740856E-6</v>
      </c>
      <c r="X8" s="27">
        <f t="shared" si="17"/>
        <v>0.72355755822912005</v>
      </c>
      <c r="Y8" s="27">
        <f t="shared" si="18"/>
        <v>0.78969094462642575</v>
      </c>
      <c r="Z8" s="27">
        <f t="shared" si="19"/>
        <v>0.72355755822912005</v>
      </c>
      <c r="AA8" s="27">
        <f t="shared" si="20"/>
        <v>0.78969094462642575</v>
      </c>
      <c r="AC8">
        <v>9</v>
      </c>
      <c r="AD8">
        <v>31.6</v>
      </c>
      <c r="AE8">
        <f t="shared" si="0"/>
        <v>31600</v>
      </c>
      <c r="AF8">
        <v>0.1</v>
      </c>
      <c r="AG8">
        <f t="shared" si="1"/>
        <v>31.5</v>
      </c>
      <c r="AH8">
        <f t="shared" si="2"/>
        <v>31.700000000000003</v>
      </c>
    </row>
    <row r="9" spans="1:34" ht="15.75" customHeight="1" x14ac:dyDescent="0.2">
      <c r="A9" t="s">
        <v>36</v>
      </c>
      <c r="B9">
        <v>997</v>
      </c>
      <c r="C9" t="s">
        <v>37</v>
      </c>
      <c r="D9" s="4"/>
      <c r="E9" s="28">
        <f>E8</f>
        <v>3.1622776601683748E-5</v>
      </c>
      <c r="F9" s="28">
        <f t="shared" si="3"/>
        <v>3.1622776601683837E-10</v>
      </c>
      <c r="G9" s="29">
        <v>11.07</v>
      </c>
      <c r="H9" s="30">
        <f t="shared" si="4"/>
        <v>3.9677419354838708E-4</v>
      </c>
      <c r="I9" s="30">
        <f t="shared" si="5"/>
        <v>396.77419354838707</v>
      </c>
      <c r="J9" s="31">
        <f t="shared" si="6"/>
        <v>4.0616711397087848E-7</v>
      </c>
      <c r="K9" s="29">
        <v>0.1</v>
      </c>
      <c r="L9" s="29">
        <f t="shared" si="7"/>
        <v>9.9800871082927164E-2</v>
      </c>
      <c r="M9" s="29">
        <f t="shared" si="8"/>
        <v>1.9912891707283179E-4</v>
      </c>
      <c r="N9" s="31">
        <f t="shared" si="9"/>
        <v>1.0277500728440419E-4</v>
      </c>
      <c r="O9" s="32">
        <v>87.6</v>
      </c>
      <c r="P9" s="29">
        <f t="shared" si="10"/>
        <v>859.0625399999999</v>
      </c>
      <c r="Q9" s="33">
        <f t="shared" si="11"/>
        <v>1062.6543107904317</v>
      </c>
      <c r="R9" s="34">
        <f t="shared" si="12"/>
        <v>0.80841204075199713</v>
      </c>
      <c r="S9" s="34">
        <f t="shared" si="13"/>
        <v>-0.19158795924800287</v>
      </c>
      <c r="T9" s="34">
        <f t="shared" si="14"/>
        <v>-0.19984410792747637</v>
      </c>
      <c r="U9" s="35">
        <f>SUM(W4:W9)</f>
        <v>4.3417622160545175E-4</v>
      </c>
      <c r="V9" s="32">
        <f t="shared" si="15"/>
        <v>8.2561486794734962E-3</v>
      </c>
      <c r="W9" s="32">
        <f t="shared" si="16"/>
        <v>6.8163991017571951E-5</v>
      </c>
      <c r="X9" s="36">
        <f t="shared" si="17"/>
        <v>0.67608797750064242</v>
      </c>
      <c r="Y9" s="36">
        <f t="shared" si="18"/>
        <v>0.74855705480860246</v>
      </c>
      <c r="Z9" s="36">
        <f t="shared" si="19"/>
        <v>0.67608797750064242</v>
      </c>
      <c r="AA9" s="36">
        <f t="shared" si="20"/>
        <v>0.74855705480860246</v>
      </c>
    </row>
    <row r="10" spans="1:34" ht="15.75" customHeight="1" x14ac:dyDescent="0.2">
      <c r="D10" s="4">
        <v>5</v>
      </c>
      <c r="E10" s="19">
        <f>10^-D10</f>
        <v>1.0000000000000001E-5</v>
      </c>
      <c r="F10" s="19">
        <f t="shared" si="3"/>
        <v>9.9999999999999986E-10</v>
      </c>
      <c r="G10" s="20">
        <v>1.835</v>
      </c>
      <c r="H10" s="21">
        <f>G10/$AE$4</f>
        <v>6.1166666666666672E-5</v>
      </c>
      <c r="I10" s="21">
        <f t="shared" si="5"/>
        <v>61.166666666666671</v>
      </c>
      <c r="J10" s="22">
        <f>H10/($B$9*(1-H10*$AE$4*$B$5/1000) - L10*($B$11+$B$12) - M10*(2*$B$11+$B$13) - E10*$B$15 - F10*$B$16)</f>
        <v>6.218388168178492E-8</v>
      </c>
      <c r="K10" s="20">
        <v>0.1</v>
      </c>
      <c r="L10" s="20">
        <f t="shared" si="7"/>
        <v>9.9372998765856618E-2</v>
      </c>
      <c r="M10" s="20">
        <f t="shared" si="8"/>
        <v>6.270012341433826E-4</v>
      </c>
      <c r="N10" s="22">
        <f>(L10+3*M10)/($B$9*(1-H10*$AE$4*$B$5/1000) - L10*($B$11+$B$12) - M10*(2*$B$11+$B$13) - E10*$B$15 - F10*$B$16)</f>
        <v>1.0293787862607796E-4</v>
      </c>
      <c r="O10" s="23">
        <v>15.2</v>
      </c>
      <c r="P10" s="20">
        <f t="shared" si="10"/>
        <v>149.06107999999998</v>
      </c>
      <c r="Q10" s="24">
        <f>$B$1*$B$2*$B$9*1000*(J10+0.25*$AD$21*$AD$21*J10*J10/N10)</f>
        <v>154.31632919357565</v>
      </c>
      <c r="R10" s="25">
        <f t="shared" si="12"/>
        <v>0.96594495721199114</v>
      </c>
      <c r="S10" s="25">
        <f t="shared" si="13"/>
        <v>-3.405504278800886E-2</v>
      </c>
      <c r="T10" s="25">
        <f>$U$10+$U$11*J10+$U$12*J10*J10+$U$13*J10*J10*J10+$U$14*J10*J10*J10*J10</f>
        <v>-3.2739244310528132E-2</v>
      </c>
      <c r="U10" s="37">
        <v>0</v>
      </c>
      <c r="V10" s="23">
        <f t="shared" si="15"/>
        <v>-1.3157984774807285E-3</v>
      </c>
      <c r="W10" s="23">
        <f t="shared" si="16"/>
        <v>1.7313256333406033E-6</v>
      </c>
      <c r="X10" s="27">
        <f>EXP(S10+$U$11*J10+$U$12*J10*J10/2+$U$13*J10*J10*J10/3+$U$14*J10*J10*J10*J10/4)</f>
        <v>0.93062964040215823</v>
      </c>
      <c r="Y10" s="27">
        <f>EXP(2*$AH$12*J10)</f>
        <v>0.96185203975715405</v>
      </c>
      <c r="Z10" s="27">
        <f t="shared" si="19"/>
        <v>0.93062964040215823</v>
      </c>
      <c r="AA10" s="27">
        <f t="shared" si="20"/>
        <v>0.96185203975715405</v>
      </c>
      <c r="AC10" t="s">
        <v>2</v>
      </c>
      <c r="AD10" t="s">
        <v>38</v>
      </c>
      <c r="AE10" t="s">
        <v>39</v>
      </c>
      <c r="AF10" t="s">
        <v>40</v>
      </c>
      <c r="AG10" t="s">
        <v>41</v>
      </c>
      <c r="AH10" t="s">
        <v>42</v>
      </c>
    </row>
    <row r="11" spans="1:34" ht="15.75" customHeight="1" x14ac:dyDescent="0.2">
      <c r="A11" t="s">
        <v>43</v>
      </c>
      <c r="B11">
        <v>22.989769299999999</v>
      </c>
      <c r="D11" s="4"/>
      <c r="E11" s="19">
        <f>E10</f>
        <v>1.0000000000000001E-5</v>
      </c>
      <c r="F11" s="19">
        <f t="shared" si="3"/>
        <v>9.9999999999999986E-10</v>
      </c>
      <c r="G11" s="20">
        <v>3.6150000000000002</v>
      </c>
      <c r="H11" s="21">
        <f>G11/$AE$4</f>
        <v>1.205E-4</v>
      </c>
      <c r="I11" s="21">
        <f t="shared" si="5"/>
        <v>120.5</v>
      </c>
      <c r="J11" s="22">
        <f>H11/($B$9*(1-H11*$AE$4*$B$5/1000) - L11*($B$11+$B$12) - M11*(2*$B$11+$B$13) - E11*$B$15 - F11*$B$16)</f>
        <v>1.2266682705783308E-7</v>
      </c>
      <c r="K11" s="20">
        <v>0.1</v>
      </c>
      <c r="L11" s="20">
        <f t="shared" si="7"/>
        <v>9.9372998765856618E-2</v>
      </c>
      <c r="M11" s="20">
        <f t="shared" si="8"/>
        <v>6.270012341433826E-4</v>
      </c>
      <c r="N11" s="22">
        <f>(L11+3*M11)/($B$9*(1-H11*$AE$4*$B$5/1000) - L11*($B$11+$B$12) - M11*(2*$B$11+$B$13) - E11*$B$15 - F11*$B$16)</f>
        <v>1.030747486281389E-4</v>
      </c>
      <c r="O11" s="23">
        <v>29.6</v>
      </c>
      <c r="P11" s="20">
        <f t="shared" si="10"/>
        <v>290.27683999999999</v>
      </c>
      <c r="Q11" s="24">
        <f>$B$1*$B$2*$B$9*1000*(J11+0.25*$AD$21*$AD$21*J11*J11/N11)</f>
        <v>305.61254164981881</v>
      </c>
      <c r="R11" s="25">
        <f t="shared" si="12"/>
        <v>0.94981978957070756</v>
      </c>
      <c r="S11" s="25">
        <f t="shared" si="13"/>
        <v>-5.0180210429292438E-2</v>
      </c>
      <c r="T11" s="25">
        <f>$U$10+$U$11*J11+$U$12*J11*J11+$U$13*J11*J11*J11+$U$14*J11*J11*J11*J11</f>
        <v>-5.2793336817324364E-2</v>
      </c>
      <c r="U11" s="26">
        <v>-706011.885984711</v>
      </c>
      <c r="V11" s="23">
        <f t="shared" si="15"/>
        <v>2.6131263880319264E-3</v>
      </c>
      <c r="W11" s="23">
        <f t="shared" si="16"/>
        <v>6.8284295198287817E-6</v>
      </c>
      <c r="X11" s="27">
        <f>EXP(S11+$U$11*J11+$U$12*J11*J11/2+$U$13*J11*J11*J11/3+$U$14*J11*J11*J11*J11/4)</f>
        <v>0.8899233339848186</v>
      </c>
      <c r="Y11" s="27">
        <f>EXP(2*$AH$12*J11)</f>
        <v>0.92614414542821422</v>
      </c>
      <c r="Z11" s="27">
        <f t="shared" si="19"/>
        <v>0.8899233339848186</v>
      </c>
      <c r="AA11" s="27">
        <f t="shared" si="20"/>
        <v>0.92614414542821422</v>
      </c>
      <c r="AC11">
        <v>4.5</v>
      </c>
      <c r="AD11" s="38">
        <v>-4.3300000000000003E-7</v>
      </c>
      <c r="AE11" s="38">
        <f t="shared" ref="AE11:AE16" si="21">AD11*AE3</f>
        <v>-1.2080700000000002E-2</v>
      </c>
      <c r="AF11" s="38">
        <f t="shared" ref="AF11:AF16" si="22">AE11*AE3</f>
        <v>-337.05153000000001</v>
      </c>
      <c r="AG11" s="38">
        <f t="shared" ref="AG11:AG16" si="23">AF11*1000</f>
        <v>-337051.53</v>
      </c>
      <c r="AH11" s="38">
        <f t="shared" ref="AH11:AH16" si="24">(AG11-$B$5*AE3)*$B$9/1000</f>
        <v>-356513.17221000005</v>
      </c>
    </row>
    <row r="12" spans="1:34" ht="15.75" customHeight="1" x14ac:dyDescent="0.2">
      <c r="A12" t="s">
        <v>44</v>
      </c>
      <c r="B12">
        <v>96.987200000000001</v>
      </c>
      <c r="D12" s="4"/>
      <c r="E12" s="19">
        <f>E11</f>
        <v>1.0000000000000001E-5</v>
      </c>
      <c r="F12" s="19">
        <f t="shared" si="3"/>
        <v>9.9999999999999986E-10</v>
      </c>
      <c r="G12" s="20">
        <v>5.423</v>
      </c>
      <c r="H12" s="21">
        <f>G12/$AE$4</f>
        <v>1.8076666666666668E-4</v>
      </c>
      <c r="I12" s="21">
        <f t="shared" si="5"/>
        <v>180.76666666666668</v>
      </c>
      <c r="J12" s="22">
        <f>H12/($B$9*(1-H12*$AE$4*$B$5/1000) - L12*($B$11+$B$12) - M12*(2*$B$11+$B$13) - E12*$B$15 - F12*$B$16)</f>
        <v>1.8426606795878928E-7</v>
      </c>
      <c r="K12" s="20">
        <v>0.1</v>
      </c>
      <c r="L12" s="20">
        <f t="shared" si="7"/>
        <v>9.9372998765856618E-2</v>
      </c>
      <c r="M12" s="20">
        <f t="shared" si="8"/>
        <v>6.270012341433826E-4</v>
      </c>
      <c r="N12" s="22">
        <f>(L12+3*M12)/($B$9*(1-H12*$AE$4*$B$5/1000) - L12*($B$11+$B$12) - M12*(2*$B$11+$B$13) - E12*$B$15 - F12*$B$16)</f>
        <v>1.0321414475338786E-4</v>
      </c>
      <c r="O12" s="23">
        <v>43.5</v>
      </c>
      <c r="P12" s="20">
        <f t="shared" si="10"/>
        <v>426.58927499999999</v>
      </c>
      <c r="Q12" s="24">
        <f>$B$1*$B$2*$B$9*1000*(J12+0.25*$AD$21*$AD$21*J12*J12/N12)</f>
        <v>460.9134995164805</v>
      </c>
      <c r="R12" s="25">
        <f t="shared" si="12"/>
        <v>0.9255300082282506</v>
      </c>
      <c r="S12" s="25">
        <f t="shared" si="13"/>
        <v>-7.44699917717494E-2</v>
      </c>
      <c r="T12" s="25">
        <f>$U$10+$U$11*J12+$U$12*J12*J12+$U$13*J12*J12*J12+$U$14*J12*J12*J12*J12</f>
        <v>-7.1891473580634829E-2</v>
      </c>
      <c r="U12" s="39">
        <v>3665496001143.8999</v>
      </c>
      <c r="V12" s="23">
        <f t="shared" si="15"/>
        <v>-2.5785181911145705E-3</v>
      </c>
      <c r="W12" s="23">
        <f t="shared" si="16"/>
        <v>6.6487560619087566E-6</v>
      </c>
      <c r="X12" s="27">
        <f>EXP(S12+$U$11*J12+$U$12*J12*J12/2+$U$13*J12*J12*J12/3+$U$14*J12*J12*J12*J12/4)</f>
        <v>0.84709762763125318</v>
      </c>
      <c r="Y12" s="27">
        <f>EXP(2*$AH$12*J12)</f>
        <v>0.89113944759782937</v>
      </c>
      <c r="Z12" s="27">
        <f t="shared" si="19"/>
        <v>0.84709762763125318</v>
      </c>
      <c r="AA12" s="27">
        <f t="shared" si="20"/>
        <v>0.89113944759782937</v>
      </c>
      <c r="AC12">
        <v>5</v>
      </c>
      <c r="AD12" s="38">
        <v>-3.2399999999999999E-7</v>
      </c>
      <c r="AE12" s="38">
        <f t="shared" si="21"/>
        <v>-9.7199999999999995E-3</v>
      </c>
      <c r="AF12" s="38">
        <f t="shared" si="22"/>
        <v>-291.59999999999997</v>
      </c>
      <c r="AG12" s="38">
        <f t="shared" si="23"/>
        <v>-291599.99999999994</v>
      </c>
      <c r="AH12" s="38">
        <f t="shared" si="24"/>
        <v>-312738.95999999996</v>
      </c>
    </row>
    <row r="13" spans="1:34" ht="15.75" customHeight="1" x14ac:dyDescent="0.2">
      <c r="A13" t="s">
        <v>45</v>
      </c>
      <c r="B13">
        <v>95.979299999999995</v>
      </c>
      <c r="D13" s="4"/>
      <c r="E13" s="19">
        <f>E12</f>
        <v>1.0000000000000001E-5</v>
      </c>
      <c r="F13" s="19">
        <f t="shared" si="3"/>
        <v>9.9999999999999986E-10</v>
      </c>
      <c r="G13" s="20">
        <v>7.2309999999999999</v>
      </c>
      <c r="H13" s="21">
        <f>G13/$AE$4</f>
        <v>2.4103333333333333E-4</v>
      </c>
      <c r="I13" s="21">
        <f t="shared" si="5"/>
        <v>241.03333333333333</v>
      </c>
      <c r="J13" s="22">
        <f>H13/($B$9*(1-H13*$AE$4*$B$5/1000) - L13*($B$11+$B$12) - M13*(2*$B$11+$B$13) - E13*$B$15 - F13*$B$16)</f>
        <v>2.4603214552549891E-7</v>
      </c>
      <c r="K13" s="20">
        <v>0.1</v>
      </c>
      <c r="L13" s="20">
        <f t="shared" si="7"/>
        <v>9.9372998765856618E-2</v>
      </c>
      <c r="M13" s="20">
        <f t="shared" si="8"/>
        <v>6.270012341433826E-4</v>
      </c>
      <c r="N13" s="22">
        <f>(L13+3*M13)/($B$9*(1-H13*$AE$4*$B$5/1000) - L13*($B$11+$B$12) - M13*(2*$B$11+$B$13) - E13*$B$15 - F13*$B$16)</f>
        <v>1.0335391842200286E-4</v>
      </c>
      <c r="O13" s="23">
        <v>57.1</v>
      </c>
      <c r="P13" s="20">
        <f t="shared" si="10"/>
        <v>559.95971499999996</v>
      </c>
      <c r="Q13" s="24">
        <f>$B$1*$B$2*$B$9*1000*(J13+0.25*$AD$21*$AD$21*J13*J13/N13)</f>
        <v>617.85856016486139</v>
      </c>
      <c r="R13" s="25">
        <f t="shared" si="12"/>
        <v>0.9062911013980085</v>
      </c>
      <c r="S13" s="25">
        <f t="shared" si="13"/>
        <v>-9.3708898601991497E-2</v>
      </c>
      <c r="T13" s="25">
        <f>$U$10+$U$11*J13+$U$12*J13*J13+$U$13*J13*J13*J13+$U$14*J13*J13*J13*J13</f>
        <v>-9.498781166386544E-2</v>
      </c>
      <c r="U13" s="39">
        <v>-1.3503552732327299E+19</v>
      </c>
      <c r="V13" s="23">
        <f t="shared" si="15"/>
        <v>1.278913061873943E-3</v>
      </c>
      <c r="W13" s="23">
        <f t="shared" si="16"/>
        <v>1.6356186198317842E-6</v>
      </c>
      <c r="X13" s="27">
        <f>EXP(S13+$U$11*J13+$U$12*J13*J13/2+$U$13*J13*J13*J13/3+$U$14*J13*J13*J13*J13/4)</f>
        <v>0.81137814674366127</v>
      </c>
      <c r="Y13" s="27">
        <f>EXP(2*$AH$12*J13)</f>
        <v>0.85736831981119666</v>
      </c>
      <c r="Z13" s="27">
        <f t="shared" si="19"/>
        <v>0.81137814674366127</v>
      </c>
      <c r="AA13" s="27">
        <f t="shared" si="20"/>
        <v>0.85736831981119666</v>
      </c>
      <c r="AC13">
        <v>6</v>
      </c>
      <c r="AD13" s="38">
        <v>-2.04E-7</v>
      </c>
      <c r="AE13" s="38">
        <f t="shared" si="21"/>
        <v>-7.3236000000000004E-3</v>
      </c>
      <c r="AF13" s="38">
        <f t="shared" si="22"/>
        <v>-262.91723999999999</v>
      </c>
      <c r="AG13" s="38">
        <f t="shared" si="23"/>
        <v>-262917.24</v>
      </c>
      <c r="AH13" s="38">
        <f t="shared" si="24"/>
        <v>-288471.62108000007</v>
      </c>
    </row>
    <row r="14" spans="1:34" ht="15.75" customHeight="1" x14ac:dyDescent="0.2">
      <c r="A14" t="s">
        <v>46</v>
      </c>
      <c r="B14">
        <v>94.971400000000003</v>
      </c>
      <c r="D14" s="4"/>
      <c r="E14" s="19">
        <f>E13</f>
        <v>1.0000000000000001E-5</v>
      </c>
      <c r="F14" s="19">
        <f t="shared" si="3"/>
        <v>9.9999999999999986E-10</v>
      </c>
      <c r="G14" s="20">
        <v>9.0389999999999997</v>
      </c>
      <c r="H14" s="21">
        <f>G14/$AE$4</f>
        <v>3.0130000000000001E-4</v>
      </c>
      <c r="I14" s="21">
        <f t="shared" si="5"/>
        <v>301.3</v>
      </c>
      <c r="J14" s="22">
        <f>H14/($B$9*(1-H14*$AE$4*$B$5/1000) - L14*($B$11+$B$12) - M14*(2*$B$11+$B$13) - E14*$B$15 - F14*$B$16)</f>
        <v>3.0796573847293023E-7</v>
      </c>
      <c r="K14" s="20">
        <v>0.1</v>
      </c>
      <c r="L14" s="20">
        <f t="shared" si="7"/>
        <v>9.9372998765856618E-2</v>
      </c>
      <c r="M14" s="20">
        <f t="shared" si="8"/>
        <v>6.270012341433826E-4</v>
      </c>
      <c r="N14" s="22">
        <f>(L14+3*M14)/($B$9*(1-H14*$AE$4*$B$5/1000) - L14*($B$11+$B$12) - M14*(2*$B$11+$B$13) - E14*$B$15 - F14*$B$16)</f>
        <v>1.0349407116988328E-4</v>
      </c>
      <c r="O14" s="23">
        <v>69.5</v>
      </c>
      <c r="P14" s="20">
        <f t="shared" si="10"/>
        <v>681.56217499999991</v>
      </c>
      <c r="Q14" s="24">
        <f>$B$1*$B$2*$B$9*1000*(J14+0.25*$AD$21*$AD$21*J14*J14/N14)</f>
        <v>776.45441203579207</v>
      </c>
      <c r="R14" s="25">
        <f t="shared" si="12"/>
        <v>0.87778775474146198</v>
      </c>
      <c r="S14" s="25">
        <f t="shared" si="13"/>
        <v>-0.12221224525853802</v>
      </c>
      <c r="T14" s="25">
        <f>$U$10+$U$11*J14+$U$12*J14*J14+$U$13*J14*J14*J14+$U$14*J14*J14*J14*J14</f>
        <v>-0.1219581819897288</v>
      </c>
      <c r="U14" s="39">
        <v>1.5812888375959601E+25</v>
      </c>
      <c r="V14" s="23">
        <f t="shared" si="15"/>
        <v>-2.540632688092237E-4</v>
      </c>
      <c r="W14" s="23">
        <f t="shared" si="16"/>
        <v>6.4548144558027856E-8</v>
      </c>
      <c r="X14" s="27">
        <f>EXP(S14+$U$11*J14+$U$12*J14*J14/2+$U$13*J14*J14*J14/3+$U$14*J14*J14*J14*J14/4)</f>
        <v>0.76971967730782642</v>
      </c>
      <c r="Y14" s="27">
        <f>EXP(2*$AH$12*J14)</f>
        <v>0.82479057815562606</v>
      </c>
      <c r="Z14" s="27">
        <f t="shared" si="19"/>
        <v>0.76971967730782642</v>
      </c>
      <c r="AA14" s="27">
        <f t="shared" si="20"/>
        <v>0.82479057815562606</v>
      </c>
      <c r="AC14">
        <v>7</v>
      </c>
      <c r="AD14" s="38">
        <v>-4.0000000000000001E-8</v>
      </c>
      <c r="AE14" s="38">
        <f t="shared" si="21"/>
        <v>-1.4760000000000001E-3</v>
      </c>
      <c r="AF14" s="38">
        <f t="shared" si="22"/>
        <v>-54.464400000000005</v>
      </c>
      <c r="AG14" s="38">
        <f t="shared" si="23"/>
        <v>-54464.4</v>
      </c>
      <c r="AH14" s="38">
        <f t="shared" si="24"/>
        <v>-81377.931600000011</v>
      </c>
    </row>
    <row r="15" spans="1:34" ht="15.75" customHeight="1" x14ac:dyDescent="0.2">
      <c r="A15" t="s">
        <v>47</v>
      </c>
      <c r="B15">
        <v>19.023199999999999</v>
      </c>
      <c r="D15" s="4"/>
      <c r="E15" s="19"/>
      <c r="F15" s="19"/>
      <c r="G15" s="20"/>
      <c r="H15" s="21"/>
      <c r="I15" s="21"/>
      <c r="J15" s="22"/>
      <c r="K15" s="20"/>
      <c r="L15" s="20"/>
      <c r="M15" s="20"/>
      <c r="N15" s="22"/>
      <c r="O15" s="23"/>
      <c r="P15" s="20">
        <f t="shared" si="10"/>
        <v>0</v>
      </c>
      <c r="Q15" s="24"/>
      <c r="R15" s="25"/>
      <c r="S15" s="25"/>
      <c r="T15" s="25"/>
      <c r="U15" s="40">
        <f>SUM(W10:W15)</f>
        <v>1.6908677979467955E-5</v>
      </c>
      <c r="V15" s="23"/>
      <c r="W15" s="23"/>
      <c r="X15" s="27"/>
      <c r="Y15" s="27"/>
      <c r="Z15" s="27"/>
      <c r="AA15" s="27"/>
      <c r="AC15">
        <v>8.25</v>
      </c>
      <c r="AD15" s="38">
        <v>-4.2300000000000002E-7</v>
      </c>
      <c r="AE15" s="38">
        <f t="shared" si="21"/>
        <v>-1.3282200000000001E-2</v>
      </c>
      <c r="AF15" s="38">
        <f t="shared" si="22"/>
        <v>-417.06108</v>
      </c>
      <c r="AG15" s="38">
        <f t="shared" si="23"/>
        <v>-417061.08</v>
      </c>
      <c r="AH15" s="38">
        <f t="shared" si="24"/>
        <v>-438850.96556000004</v>
      </c>
    </row>
    <row r="16" spans="1:34" ht="15.75" customHeight="1" x14ac:dyDescent="0.2">
      <c r="A16" t="s">
        <v>48</v>
      </c>
      <c r="B16">
        <v>17.007000000000001</v>
      </c>
      <c r="D16" s="3">
        <v>6</v>
      </c>
      <c r="E16" s="9">
        <f>10^-D16</f>
        <v>9.9999999999999995E-7</v>
      </c>
      <c r="F16" s="9">
        <f>0.00000000000001/E16</f>
        <v>1E-8</v>
      </c>
      <c r="G16" s="7">
        <v>1.913</v>
      </c>
      <c r="H16" s="10">
        <f>G16/$AE$5</f>
        <v>5.3286908077994429E-5</v>
      </c>
      <c r="I16" s="10">
        <f>1000000*H16</f>
        <v>53.286908077994433</v>
      </c>
      <c r="J16" s="12">
        <f>H16/($B$9*(1-H16*$AE$5*$B$5/1000) - L16*($B$11+$B$12) - M16*(2*$B$11+$B$13) - E16*$B$15 - F16*$B$16)</f>
        <v>5.418265159346226E-8</v>
      </c>
      <c r="K16" s="7">
        <v>0.1</v>
      </c>
      <c r="L16" s="7">
        <f>M16*E16/(10^-$B$19)</f>
        <v>9.4064905689723269E-2</v>
      </c>
      <c r="M16" s="7">
        <f>(10^-$B$19)*K16/(E16+(10^-$B$19))</f>
        <v>5.935094310276748E-3</v>
      </c>
      <c r="N16" s="12">
        <f>(L16+3*M16)/($B$9*(1-H16*$AE$5*$B$5/1000) - L16*($B$11+$B$12) - M16*(2*$B$11+$B$13) - E16*$B$15 - F16*$B$16)</f>
        <v>1.1375070673739291E-4</v>
      </c>
      <c r="O16" s="14">
        <v>13.25</v>
      </c>
      <c r="P16" s="7">
        <f t="shared" si="10"/>
        <v>129.93811249999999</v>
      </c>
      <c r="Q16" s="15">
        <f>$B$1*$B$2*$B$9*1000*(J16+0.25*$AD$22*$AD$22*J16*J16/N16)</f>
        <v>134.06676335286994</v>
      </c>
      <c r="R16" s="16">
        <f>P16/Q16</f>
        <v>0.96920451609618441</v>
      </c>
      <c r="S16" s="16">
        <f>R16-1</f>
        <v>-3.079548390381559E-2</v>
      </c>
      <c r="T16" s="16">
        <f>$U$16+$U$17*J16+$U$18*J16*J16+$U$19*J16*J16*J16+$U$20*J16*J16*J16*J16</f>
        <v>-3.1731661625428342E-2</v>
      </c>
      <c r="U16" s="17">
        <v>0</v>
      </c>
      <c r="V16" s="14">
        <f>S16-T16</f>
        <v>9.3617772161275203E-4</v>
      </c>
      <c r="W16" s="14">
        <f>V16*V16</f>
        <v>8.7642872644404347E-7</v>
      </c>
      <c r="X16" s="18">
        <f>EXP(S16+$U$17*J16+$U$18*J16*J16/2+$U$19*J16*J16*J16/3+$U$20*J16*J16*J16*J16/4)</f>
        <v>0.92967297755860434</v>
      </c>
      <c r="Y16" s="18">
        <f>EXP(2*$AH$13*J16)</f>
        <v>0.96922323719806081</v>
      </c>
      <c r="Z16" s="18">
        <f t="shared" ref="Z16:AA20" si="25">X16</f>
        <v>0.92967297755860434</v>
      </c>
      <c r="AA16" s="18">
        <f t="shared" si="25"/>
        <v>0.96922323719806081</v>
      </c>
      <c r="AC16">
        <v>9</v>
      </c>
      <c r="AD16" s="38">
        <v>-5.4899999999999995E-7</v>
      </c>
      <c r="AE16" s="38">
        <f t="shared" si="21"/>
        <v>-1.73484E-2</v>
      </c>
      <c r="AF16" s="38">
        <f t="shared" si="22"/>
        <v>-548.20943999999997</v>
      </c>
      <c r="AG16" s="38">
        <f t="shared" si="23"/>
        <v>-548209.43999999994</v>
      </c>
      <c r="AH16" s="38">
        <f t="shared" si="24"/>
        <v>-569752.63887999987</v>
      </c>
    </row>
    <row r="17" spans="1:30" ht="15.75" customHeight="1" x14ac:dyDescent="0.2">
      <c r="D17" s="3"/>
      <c r="E17" s="19">
        <f>E16</f>
        <v>9.9999999999999995E-7</v>
      </c>
      <c r="F17" s="19">
        <f>0.00000000000001/E17</f>
        <v>1E-8</v>
      </c>
      <c r="G17" s="20">
        <v>3.8889999999999998</v>
      </c>
      <c r="H17" s="21">
        <f>G17/$AE$5</f>
        <v>1.0832869080779944E-4</v>
      </c>
      <c r="I17" s="21">
        <f>1000000*H17</f>
        <v>108.32869080779945</v>
      </c>
      <c r="J17" s="22">
        <f>H17/($B$9*(1-H17*$AE$5*$B$5/1000) - L17*($B$11+$B$12) - M17*(2*$B$11+$B$13) - E17*$B$15 - F17*$B$16)</f>
        <v>1.1031231557924384E-7</v>
      </c>
      <c r="K17" s="20">
        <v>0.1</v>
      </c>
      <c r="L17" s="20">
        <f>M17*E17/(10^-$B$19)</f>
        <v>9.4064905689723269E-2</v>
      </c>
      <c r="M17" s="20">
        <f>(10^-$B$19)*K17/(E17+(10^-$B$19))</f>
        <v>5.935094310276748E-3</v>
      </c>
      <c r="N17" s="22">
        <f>(L17+3*M17)/($B$9*(1-H17*$AE$5*$B$5/1000) - L17*($B$11+$B$12) - M17*(2*$B$11+$B$13) - E17*$B$15 - F17*$B$16)</f>
        <v>1.1391866235063491E-4</v>
      </c>
      <c r="O17" s="23">
        <v>26.65</v>
      </c>
      <c r="P17" s="20">
        <f t="shared" si="10"/>
        <v>261.34722249999999</v>
      </c>
      <c r="Q17" s="24">
        <f>$B$1*$B$2*$B$9*1000*(J17+0.25*$AD$22*$AD$22*J17*J17/N17)</f>
        <v>273.2733911914965</v>
      </c>
      <c r="R17" s="25">
        <f>P17/Q17</f>
        <v>0.95635810482865768</v>
      </c>
      <c r="S17" s="25">
        <f>R17-1</f>
        <v>-4.3641895171342315E-2</v>
      </c>
      <c r="T17" s="25">
        <f>$U$16+$U$17*J17+$U$18*J17*J17+$U$19*J17*J17*J17+$U$20*J17*J17*J17*J17</f>
        <v>-4.1510184700387261E-2</v>
      </c>
      <c r="U17" s="26">
        <v>-1012496.32450837</v>
      </c>
      <c r="V17" s="23">
        <f>S17-T17</f>
        <v>-2.1317104709550547E-3</v>
      </c>
      <c r="W17" s="23">
        <f>V17*V17</f>
        <v>4.5441895319794207E-6</v>
      </c>
      <c r="X17" s="27">
        <f>EXP(S17+$U$17*J17+$U$18*J17*J17/2+$U$19*J17*J17*J17/3+$U$20*J17*J17*J17*J17/4)</f>
        <v>0.8941820489748874</v>
      </c>
      <c r="Y17" s="27">
        <f>EXP(2*$AH$13*J17)</f>
        <v>0.93833904036532589</v>
      </c>
      <c r="Z17" s="27">
        <f t="shared" si="25"/>
        <v>0.8941820489748874</v>
      </c>
      <c r="AA17" s="27">
        <f t="shared" si="25"/>
        <v>0.93833904036532589</v>
      </c>
    </row>
    <row r="18" spans="1:30" ht="15.75" customHeight="1" x14ac:dyDescent="0.2">
      <c r="D18" s="3"/>
      <c r="E18" s="19">
        <f>E17</f>
        <v>9.9999999999999995E-7</v>
      </c>
      <c r="F18" s="19">
        <f>0.00000000000001/E18</f>
        <v>1E-8</v>
      </c>
      <c r="G18" s="20">
        <v>5.5979999999999999</v>
      </c>
      <c r="H18" s="21">
        <f>G18/$AE$5</f>
        <v>1.5593314763231197E-4</v>
      </c>
      <c r="I18" s="21">
        <f>1000000*H18</f>
        <v>155.93314763231197</v>
      </c>
      <c r="J18" s="22">
        <f>H18/($B$9*(1-H18*$AE$5*$B$5/1000) - L18*($B$11+$B$12) - M18*(2*$B$11+$B$13) - E18*$B$15 - F18*$B$16)</f>
        <v>1.5899149988948881E-7</v>
      </c>
      <c r="K18" s="20">
        <v>0.1</v>
      </c>
      <c r="L18" s="20">
        <f>M18*E18/(10^-$B$19)</f>
        <v>9.4064905689723269E-2</v>
      </c>
      <c r="M18" s="20">
        <f>(10^-$B$19)*K18/(E18+(10^-$B$19))</f>
        <v>5.935094310276748E-3</v>
      </c>
      <c r="N18" s="22">
        <f>(L18+3*M18)/($B$9*(1-H18*$AE$5*$B$5/1000) - L18*($B$11+$B$12) - M18*(2*$B$11+$B$13) - E18*$B$15 - F18*$B$16)</f>
        <v>1.1406432405021357E-4</v>
      </c>
      <c r="O18" s="23">
        <v>38.229999999999997</v>
      </c>
      <c r="P18" s="20">
        <f t="shared" si="10"/>
        <v>374.90822949999995</v>
      </c>
      <c r="Q18" s="24">
        <f>$B$1*$B$2*$B$9*1000*(J18+0.25*$AD$22*$AD$22*J18*J18/N18)</f>
        <v>394.26660503284995</v>
      </c>
      <c r="R18" s="25">
        <f>P18/Q18</f>
        <v>0.9509002911082538</v>
      </c>
      <c r="S18" s="25">
        <f>R18-1</f>
        <v>-4.9099708891746197E-2</v>
      </c>
      <c r="T18" s="25">
        <f>$U$16+$U$17*J18+$U$18*J18*J18+$U$19*J18*J18*J18+$U$20*J18*J18*J18*J18</f>
        <v>-5.1423081611850788E-2</v>
      </c>
      <c r="U18" s="26">
        <v>10381099361680</v>
      </c>
      <c r="V18" s="23">
        <f>S18-T18</f>
        <v>2.3233727201045912E-3</v>
      </c>
      <c r="W18" s="23">
        <f>V18*V18</f>
        <v>5.3980607965262071E-6</v>
      </c>
      <c r="X18" s="27">
        <f>EXP(S18+$U$17*J18+$U$18*J18*J18/2+$U$19*J18*J18*J18/3+$U$20*J18*J18*J18*J18/4)</f>
        <v>0.87461597502004729</v>
      </c>
      <c r="Y18" s="27">
        <f>EXP(2*$AH$13*J18)</f>
        <v>0.91235229837445964</v>
      </c>
      <c r="Z18" s="27">
        <f t="shared" si="25"/>
        <v>0.87461597502004729</v>
      </c>
      <c r="AA18" s="27">
        <f t="shared" si="25"/>
        <v>0.91235229837445964</v>
      </c>
      <c r="AC18" t="s">
        <v>2</v>
      </c>
      <c r="AD18" t="s">
        <v>49</v>
      </c>
    </row>
    <row r="19" spans="1:30" ht="15.75" customHeight="1" x14ac:dyDescent="0.2">
      <c r="A19" t="s">
        <v>50</v>
      </c>
      <c r="B19">
        <v>7.2</v>
      </c>
      <c r="D19" s="3"/>
      <c r="E19" s="19">
        <f>E18</f>
        <v>9.9999999999999995E-7</v>
      </c>
      <c r="F19" s="19">
        <f>0.00000000000001/E19</f>
        <v>1E-8</v>
      </c>
      <c r="G19" s="41">
        <v>7.29</v>
      </c>
      <c r="H19" s="21">
        <f>G19/$AE$5</f>
        <v>2.030640668523677E-4</v>
      </c>
      <c r="I19" s="21">
        <f>1000000*H19</f>
        <v>203.06406685236769</v>
      </c>
      <c r="J19" s="22">
        <f>H19/($B$9*(1-H19*$AE$5*$B$5/1000) - L19*($B$11+$B$12) - M19*(2*$B$11+$B$13) - E19*$B$15 - F19*$B$16)</f>
        <v>2.0730924698912425E-7</v>
      </c>
      <c r="K19" s="20">
        <v>0.1</v>
      </c>
      <c r="L19" s="20">
        <f>M19*E19/(10^-$B$19)</f>
        <v>9.4064905689723269E-2</v>
      </c>
      <c r="M19" s="20">
        <f>(10^-$B$19)*K19/(E19+(10^-$B$19))</f>
        <v>5.935094310276748E-3</v>
      </c>
      <c r="N19" s="22">
        <f>(L19+3*M19)/($B$9*(1-H19*$AE$5*$B$5/1000) - L19*($B$11+$B$12) - M19*(2*$B$11+$B$13) - E19*$B$15 - F19*$B$16)</f>
        <v>1.1420890422882729E-4</v>
      </c>
      <c r="O19" s="23">
        <v>48.79</v>
      </c>
      <c r="P19" s="20">
        <f t="shared" si="10"/>
        <v>478.46645349999994</v>
      </c>
      <c r="Q19" s="24">
        <f>$B$1*$B$2*$B$9*1000*(J19+0.25*$AD$22*$AD$22*J19*J19/N19)</f>
        <v>514.60340363294279</v>
      </c>
      <c r="R19" s="25">
        <f>P19/Q19</f>
        <v>0.92977708682486937</v>
      </c>
      <c r="S19" s="25">
        <f>R19-1</f>
        <v>-7.022291317513063E-2</v>
      </c>
      <c r="T19" s="25">
        <f>$U$16+$U$17*J19+$U$18*J19*J19+$U$19*J19*J19*J19+$U$20*J19*J19*J19*J19</f>
        <v>-6.9094188927186745E-2</v>
      </c>
      <c r="U19" s="26">
        <v>-5.0415966237307003E+19</v>
      </c>
      <c r="V19" s="23">
        <f>S19-T19</f>
        <v>-1.1287242479438853E-3</v>
      </c>
      <c r="W19" s="23">
        <f>V19*V19</f>
        <v>1.2740184278964893E-6</v>
      </c>
      <c r="X19" s="27">
        <f>EXP(S19+$U$17*J19+$U$18*J19*J19/2+$U$19*J19*J19*J19/3+$U$20*J19*J19*J19*J19/4)</f>
        <v>0.84297676286578105</v>
      </c>
      <c r="Y19" s="27">
        <f>EXP(2*$AH$13*J19)</f>
        <v>0.88727024582788694</v>
      </c>
      <c r="Z19" s="27">
        <f t="shared" si="25"/>
        <v>0.84297676286578105</v>
      </c>
      <c r="AA19" s="27">
        <f t="shared" si="25"/>
        <v>0.88727024582788694</v>
      </c>
      <c r="AC19">
        <v>3</v>
      </c>
      <c r="AD19" s="42">
        <v>14.2</v>
      </c>
    </row>
    <row r="20" spans="1:30" ht="15.75" customHeight="1" x14ac:dyDescent="0.2">
      <c r="A20" t="s">
        <v>51</v>
      </c>
      <c r="B20">
        <v>12.37</v>
      </c>
      <c r="D20" s="3"/>
      <c r="E20" s="19">
        <f>E19</f>
        <v>9.9999999999999995E-7</v>
      </c>
      <c r="F20" s="19">
        <f>0.00000000000001/E20</f>
        <v>1E-8</v>
      </c>
      <c r="G20" s="20">
        <v>9.2889999999999997</v>
      </c>
      <c r="H20" s="21">
        <f>G20/$AE$5</f>
        <v>2.5874651810584958E-4</v>
      </c>
      <c r="I20" s="21">
        <f>1000000*H20</f>
        <v>258.74651810584959</v>
      </c>
      <c r="J20" s="22">
        <f>H20/($B$9*(1-H20*$AE$5*$B$5/1000) - L20*($B$11+$B$12) - M20*(2*$B$11+$B$13) - E20*$B$15 - F20*$B$16)</f>
        <v>2.6455194505724951E-7</v>
      </c>
      <c r="K20" s="20">
        <v>0.1</v>
      </c>
      <c r="L20" s="20">
        <f>M20*E20/(10^-$B$19)</f>
        <v>9.4064905689723269E-2</v>
      </c>
      <c r="M20" s="20">
        <f>(10^-$B$19)*K20/(E20+(10^-$B$19))</f>
        <v>5.935094310276748E-3</v>
      </c>
      <c r="N20" s="22">
        <f>(L20+3*M20)/($B$9*(1-H20*$AE$5*$B$5/1000) - L20*($B$11+$B$12) - M20*(2*$B$11+$B$13) - E20*$B$15 - F20*$B$16)</f>
        <v>1.1438019035054885E-4</v>
      </c>
      <c r="O20" s="23">
        <v>60.8</v>
      </c>
      <c r="P20" s="20">
        <f t="shared" si="10"/>
        <v>596.2443199999999</v>
      </c>
      <c r="Q20" s="24">
        <f>$B$1*$B$2*$B$9*1000*(J20+0.25*$AD$22*$AD$22*J20*J20/N20)</f>
        <v>657.47874341012357</v>
      </c>
      <c r="R20" s="25">
        <f>P20/Q20</f>
        <v>0.90686478608795618</v>
      </c>
      <c r="S20" s="25">
        <f>R20-1</f>
        <v>-9.3135213912043824E-2</v>
      </c>
      <c r="T20" s="25">
        <f>$U$16+$U$17*J20+$U$18*J20*J20+$U$19*J20*J20*J20+$U$20*J20*J20*J20*J20</f>
        <v>-9.332053777044147E-2</v>
      </c>
      <c r="U20" s="26">
        <v>7.7876079198981197E+25</v>
      </c>
      <c r="V20" s="23">
        <f>S20-T20</f>
        <v>1.8532385839764576E-4</v>
      </c>
      <c r="W20" s="23">
        <f>V20*V20</f>
        <v>3.4344932491390659E-8</v>
      </c>
      <c r="X20" s="27">
        <f>EXP(S20+$U$17*J20+$U$18*J20*J20/2+$U$19*J20*J20*J20/3+$U$20*J20*J20*J20*J20/4)</f>
        <v>0.80774357487939508</v>
      </c>
      <c r="Y20" s="27">
        <f>EXP(2*$AH$13*J20)</f>
        <v>0.8584460378828318</v>
      </c>
      <c r="Z20" s="27">
        <f t="shared" si="25"/>
        <v>0.80774357487939508</v>
      </c>
      <c r="AA20" s="27">
        <f t="shared" si="25"/>
        <v>0.8584460378828318</v>
      </c>
      <c r="AC20">
        <v>4</v>
      </c>
      <c r="AD20" s="42">
        <v>10.199999999999999</v>
      </c>
    </row>
    <row r="21" spans="1:30" ht="15.75" customHeight="1" x14ac:dyDescent="0.2">
      <c r="D21" s="3"/>
      <c r="E21" s="28"/>
      <c r="F21" s="28"/>
      <c r="G21" s="29"/>
      <c r="H21" s="30"/>
      <c r="I21" s="30"/>
      <c r="J21" s="31"/>
      <c r="K21" s="29"/>
      <c r="L21" s="29"/>
      <c r="M21" s="29"/>
      <c r="N21" s="31"/>
      <c r="O21" s="32"/>
      <c r="P21" s="29">
        <f t="shared" si="10"/>
        <v>0</v>
      </c>
      <c r="Q21" s="33"/>
      <c r="R21" s="34"/>
      <c r="S21" s="34"/>
      <c r="T21" s="34"/>
      <c r="U21" s="35">
        <f>SUM(W16:W21)</f>
        <v>1.212704241533755E-5</v>
      </c>
      <c r="V21" s="32"/>
      <c r="W21" s="32"/>
      <c r="X21" s="36"/>
      <c r="Y21" s="36"/>
      <c r="Z21" s="36"/>
      <c r="AA21" s="36"/>
      <c r="AC21">
        <v>5</v>
      </c>
      <c r="AD21" s="42">
        <v>5.2</v>
      </c>
    </row>
    <row r="22" spans="1:30" ht="15.75" customHeight="1" x14ac:dyDescent="0.2">
      <c r="D22" s="2">
        <v>7</v>
      </c>
      <c r="E22" s="19">
        <f>10^-D22</f>
        <v>9.9999999999999995E-8</v>
      </c>
      <c r="F22" s="19">
        <f t="shared" ref="F22:F38" si="26">0.00000000000001/E22</f>
        <v>1.0000000000000001E-7</v>
      </c>
      <c r="G22" s="20">
        <v>0.92100000000000004</v>
      </c>
      <c r="H22" s="21">
        <f t="shared" ref="H22:H27" si="27">G22/$AE$6</f>
        <v>2.4959349593495936E-5</v>
      </c>
      <c r="I22" s="21">
        <f t="shared" ref="I22:I38" si="28">1000000*H22</f>
        <v>24.959349593495936</v>
      </c>
      <c r="J22" s="22">
        <f t="shared" ref="J22:J27" si="29">H22/($B$9*(1-H22*$AE$6*$B$5/1000) - L22*($B$11+$B$12) - M22*(2*$B$11+$B$13) - E22*$B$15 - F22*$B$16)</f>
        <v>2.5378705303611364E-8</v>
      </c>
      <c r="K22" s="20">
        <v>0.1</v>
      </c>
      <c r="L22" s="20">
        <f t="shared" ref="L22:L38" si="30">M22*E22/(10^-$B$19)</f>
        <v>6.1313682015314362E-2</v>
      </c>
      <c r="M22" s="20">
        <f t="shared" ref="M22:M38" si="31">(10^-$B$19)*K22/(E22+(10^-$B$19))</f>
        <v>3.8686317984685643E-2</v>
      </c>
      <c r="N22" s="22">
        <f t="shared" ref="N22:N27" si="32">(L22+3*M22)/($B$9*(1-H22*$AE$6*$B$5/1000) - L22*($B$11+$B$12) - M22*(2*$B$11+$B$13) - E22*$B$15 - F22*$B$16)</f>
        <v>1.8035277082558421E-4</v>
      </c>
      <c r="O22" s="23">
        <v>6.4</v>
      </c>
      <c r="P22" s="20">
        <v>62.6</v>
      </c>
      <c r="Q22" s="24">
        <f t="shared" ref="Q22:Q27" si="33">$B$1*$B$2*$B$9*1000*(J22+0.25*$AD$23*$AD$23*J22*J22/N22)</f>
        <v>62.73280808693972</v>
      </c>
      <c r="R22" s="25">
        <f t="shared" ref="R22:R38" si="34">P22/Q22</f>
        <v>0.99788295644671821</v>
      </c>
      <c r="S22" s="25">
        <f t="shared" ref="S22:S38" si="35">R22-1</f>
        <v>-2.1170435532817944E-3</v>
      </c>
      <c r="T22" s="25">
        <f t="shared" ref="T22:T27" si="36">$U$22+$U$23*J22+$U$24*J22*J22+$U$25*J22*J22*J22+$U$26*J22*J22*J22*J22</f>
        <v>-8.0834488110119954E-3</v>
      </c>
      <c r="U22" s="37">
        <v>0</v>
      </c>
      <c r="V22" s="23">
        <f t="shared" ref="V22:V38" si="37">S22-T22</f>
        <v>5.966405257730201E-3</v>
      </c>
      <c r="W22" s="23">
        <f t="shared" ref="W22:W38" si="38">V22*V22</f>
        <v>3.5597991699470588E-5</v>
      </c>
      <c r="X22" s="27">
        <f t="shared" ref="X22:X27" si="39">EXP(S22+$U$23*J22+$U$24*J22*J22/2+$U$25*J22*J22*J22/3+$U$26*J22*J22*J22*J22/4)</f>
        <v>0.99020546036101642</v>
      </c>
      <c r="Y22" s="27">
        <f t="shared" ref="Y22:Y27" si="40">EXP(2*$AH$14*J22)</f>
        <v>0.99587798582994913</v>
      </c>
      <c r="Z22" s="27">
        <f t="shared" ref="Z22:Z38" si="41">X22</f>
        <v>0.99020546036101642</v>
      </c>
      <c r="AA22" s="27">
        <f t="shared" ref="AA22:AA38" si="42">Y22</f>
        <v>0.99587798582994913</v>
      </c>
      <c r="AC22">
        <v>6</v>
      </c>
      <c r="AD22" s="42">
        <v>3.1</v>
      </c>
    </row>
    <row r="23" spans="1:30" ht="15.75" customHeight="1" x14ac:dyDescent="0.2">
      <c r="D23" s="2"/>
      <c r="E23" s="19">
        <f>E22</f>
        <v>9.9999999999999995E-8</v>
      </c>
      <c r="F23" s="19">
        <f t="shared" si="26"/>
        <v>1.0000000000000001E-7</v>
      </c>
      <c r="G23" s="41">
        <v>1.84</v>
      </c>
      <c r="H23" s="21">
        <f t="shared" si="27"/>
        <v>4.9864498644986449E-5</v>
      </c>
      <c r="I23" s="21">
        <f t="shared" si="28"/>
        <v>49.864498644986448</v>
      </c>
      <c r="J23" s="22">
        <f t="shared" si="29"/>
        <v>5.0737089075838948E-8</v>
      </c>
      <c r="K23" s="20">
        <v>0.1</v>
      </c>
      <c r="L23" s="20">
        <f t="shared" si="30"/>
        <v>6.1313682015314362E-2</v>
      </c>
      <c r="M23" s="20">
        <f t="shared" si="31"/>
        <v>3.8686317984685643E-2</v>
      </c>
      <c r="N23" s="22">
        <f t="shared" si="32"/>
        <v>1.8047652087843012E-4</v>
      </c>
      <c r="O23" s="23">
        <v>12.5</v>
      </c>
      <c r="P23" s="20">
        <f t="shared" ref="P23:P38" si="43">O23*9.80665</f>
        <v>122.583125</v>
      </c>
      <c r="Q23" s="24">
        <f t="shared" si="33"/>
        <v>125.43299131020154</v>
      </c>
      <c r="R23" s="25">
        <f t="shared" si="34"/>
        <v>0.97727977081281836</v>
      </c>
      <c r="S23" s="25">
        <f t="shared" si="35"/>
        <v>-2.272022918718164E-2</v>
      </c>
      <c r="T23" s="25">
        <f t="shared" si="36"/>
        <v>-1.6211128158261898E-2</v>
      </c>
      <c r="U23" s="26">
        <v>-284042.67856064602</v>
      </c>
      <c r="V23" s="23">
        <f t="shared" si="37"/>
        <v>-6.5091010289197414E-3</v>
      </c>
      <c r="W23" s="23">
        <f t="shared" si="38"/>
        <v>4.2368396204684036E-5</v>
      </c>
      <c r="X23" s="27">
        <f t="shared" si="39"/>
        <v>0.96213799195528249</v>
      </c>
      <c r="Y23" s="27">
        <f t="shared" si="40"/>
        <v>0.99177624290402144</v>
      </c>
      <c r="Z23" s="27">
        <f t="shared" si="41"/>
        <v>0.96213799195528249</v>
      </c>
      <c r="AA23" s="27">
        <f t="shared" si="42"/>
        <v>0.99177624290402144</v>
      </c>
      <c r="AC23">
        <v>7</v>
      </c>
      <c r="AD23" s="42">
        <v>2</v>
      </c>
    </row>
    <row r="24" spans="1:30" ht="15.75" customHeight="1" x14ac:dyDescent="0.2">
      <c r="D24" s="2"/>
      <c r="E24" s="19">
        <f>E23</f>
        <v>9.9999999999999995E-8</v>
      </c>
      <c r="F24" s="19">
        <f t="shared" si="26"/>
        <v>1.0000000000000001E-7</v>
      </c>
      <c r="G24" s="20">
        <v>3.637</v>
      </c>
      <c r="H24" s="21">
        <f t="shared" si="27"/>
        <v>9.856368563685637E-5</v>
      </c>
      <c r="I24" s="21">
        <f t="shared" si="28"/>
        <v>98.563685636856377</v>
      </c>
      <c r="J24" s="22">
        <f t="shared" si="29"/>
        <v>1.0042321217651373E-7</v>
      </c>
      <c r="K24" s="20">
        <v>0.1</v>
      </c>
      <c r="L24" s="20">
        <f t="shared" si="30"/>
        <v>6.1313682015314362E-2</v>
      </c>
      <c r="M24" s="20">
        <f t="shared" si="31"/>
        <v>3.8686317984685643E-2</v>
      </c>
      <c r="N24" s="22">
        <f t="shared" si="32"/>
        <v>1.807189913929016E-4</v>
      </c>
      <c r="O24" s="23">
        <v>24.75</v>
      </c>
      <c r="P24" s="24">
        <f t="shared" si="43"/>
        <v>242.71458749999999</v>
      </c>
      <c r="Q24" s="24">
        <f t="shared" si="33"/>
        <v>248.33591369996003</v>
      </c>
      <c r="R24" s="25">
        <f t="shared" si="34"/>
        <v>0.97736402231877051</v>
      </c>
      <c r="S24" s="25">
        <f t="shared" si="35"/>
        <v>-2.2635977681229491E-2</v>
      </c>
      <c r="T24" s="25">
        <f t="shared" si="36"/>
        <v>-2.5786538493567809E-2</v>
      </c>
      <c r="U24" s="26">
        <v>-2128749639285.1001</v>
      </c>
      <c r="V24" s="23">
        <f t="shared" si="37"/>
        <v>3.1505608123383183E-3</v>
      </c>
      <c r="W24" s="23">
        <f t="shared" si="38"/>
        <v>9.9260334322418835E-6</v>
      </c>
      <c r="X24" s="27">
        <f t="shared" si="39"/>
        <v>0.94828865606529888</v>
      </c>
      <c r="Y24" s="27">
        <f t="shared" si="40"/>
        <v>0.98378837946021092</v>
      </c>
      <c r="Z24" s="27">
        <f t="shared" si="41"/>
        <v>0.94828865606529888</v>
      </c>
      <c r="AA24" s="27">
        <f t="shared" si="42"/>
        <v>0.98378837946021092</v>
      </c>
      <c r="AC24">
        <v>8</v>
      </c>
      <c r="AD24" s="42">
        <v>0.2</v>
      </c>
    </row>
    <row r="25" spans="1:30" ht="15.75" customHeight="1" x14ac:dyDescent="0.2">
      <c r="D25" s="2"/>
      <c r="E25" s="19">
        <f>E24</f>
        <v>9.9999999999999995E-8</v>
      </c>
      <c r="F25" s="19">
        <f t="shared" si="26"/>
        <v>1.0000000000000001E-7</v>
      </c>
      <c r="G25" s="20">
        <v>5.4720000000000004</v>
      </c>
      <c r="H25" s="21">
        <f t="shared" si="27"/>
        <v>1.4829268292682927E-4</v>
      </c>
      <c r="I25" s="21">
        <f t="shared" si="28"/>
        <v>148.29268292682929</v>
      </c>
      <c r="J25" s="22">
        <f t="shared" si="29"/>
        <v>1.5129797635200778E-7</v>
      </c>
      <c r="K25" s="20">
        <v>0.1</v>
      </c>
      <c r="L25" s="20">
        <f t="shared" si="30"/>
        <v>6.1313682015314362E-2</v>
      </c>
      <c r="M25" s="20">
        <f t="shared" si="31"/>
        <v>3.8686317984685643E-2</v>
      </c>
      <c r="N25" s="22">
        <f t="shared" si="32"/>
        <v>1.8096726252925593E-4</v>
      </c>
      <c r="O25" s="23">
        <v>37.200000000000003</v>
      </c>
      <c r="P25" s="20">
        <f t="shared" si="43"/>
        <v>364.80738000000002</v>
      </c>
      <c r="Q25" s="24">
        <f t="shared" si="33"/>
        <v>374.24862830053434</v>
      </c>
      <c r="R25" s="25">
        <f t="shared" si="34"/>
        <v>0.97477279116985116</v>
      </c>
      <c r="S25" s="25">
        <f t="shared" si="35"/>
        <v>-2.522720883014884E-2</v>
      </c>
      <c r="T25" s="25">
        <f t="shared" si="36"/>
        <v>-2.4091211119493146E-2</v>
      </c>
      <c r="U25" s="26">
        <v>3.2544876435448599E+19</v>
      </c>
      <c r="V25" s="23">
        <f t="shared" si="37"/>
        <v>-1.1359977106556937E-3</v>
      </c>
      <c r="W25" s="23">
        <f t="shared" si="38"/>
        <v>1.2904907986149773E-6</v>
      </c>
      <c r="X25" s="27">
        <f t="shared" si="39"/>
        <v>0.93587744651623839</v>
      </c>
      <c r="Y25" s="27">
        <f t="shared" si="40"/>
        <v>0.97567608015558005</v>
      </c>
      <c r="Z25" s="27">
        <f t="shared" si="41"/>
        <v>0.93587744651623839</v>
      </c>
      <c r="AA25" s="27">
        <f t="shared" si="42"/>
        <v>0.97567608015558005</v>
      </c>
      <c r="AC25">
        <v>8.25</v>
      </c>
      <c r="AD25" s="42">
        <v>0</v>
      </c>
    </row>
    <row r="26" spans="1:30" ht="15.75" customHeight="1" x14ac:dyDescent="0.2">
      <c r="D26" s="2"/>
      <c r="E26" s="19">
        <f>E25</f>
        <v>9.9999999999999995E-8</v>
      </c>
      <c r="F26" s="19">
        <f t="shared" si="26"/>
        <v>1.0000000000000001E-7</v>
      </c>
      <c r="G26" s="41">
        <v>7.29</v>
      </c>
      <c r="H26" s="21">
        <f t="shared" si="27"/>
        <v>1.9756097560975609E-4</v>
      </c>
      <c r="I26" s="21">
        <f t="shared" si="28"/>
        <v>197.5609756097561</v>
      </c>
      <c r="J26" s="22">
        <f t="shared" si="29"/>
        <v>2.0183945572516298E-7</v>
      </c>
      <c r="K26" s="20">
        <v>0.1</v>
      </c>
      <c r="L26" s="20">
        <f t="shared" si="30"/>
        <v>6.1313682015314362E-2</v>
      </c>
      <c r="M26" s="20">
        <f t="shared" si="31"/>
        <v>3.8686317984685643E-2</v>
      </c>
      <c r="N26" s="22">
        <f t="shared" si="32"/>
        <v>1.8121390722079138E-4</v>
      </c>
      <c r="O26" s="23">
        <v>49.95</v>
      </c>
      <c r="P26" s="20">
        <f t="shared" si="43"/>
        <v>489.84216750000002</v>
      </c>
      <c r="Q26" s="24">
        <f t="shared" si="33"/>
        <v>499.40591242977837</v>
      </c>
      <c r="R26" s="25">
        <f t="shared" si="34"/>
        <v>0.98084975629694193</v>
      </c>
      <c r="S26" s="25">
        <f t="shared" si="35"/>
        <v>-1.9150243703058067E-2</v>
      </c>
      <c r="T26" s="25">
        <f t="shared" si="36"/>
        <v>-1.9297298348239206E-2</v>
      </c>
      <c r="U26" s="26">
        <v>-8.6071949806542407E+25</v>
      </c>
      <c r="V26" s="23">
        <f t="shared" si="37"/>
        <v>1.4705464518113831E-4</v>
      </c>
      <c r="W26" s="23">
        <f t="shared" si="38"/>
        <v>2.1625068669350484E-8</v>
      </c>
      <c r="X26" s="27">
        <f t="shared" si="39"/>
        <v>0.9358005166144947</v>
      </c>
      <c r="Y26" s="27">
        <f t="shared" si="40"/>
        <v>0.96768316434462165</v>
      </c>
      <c r="Z26" s="27">
        <f t="shared" si="41"/>
        <v>0.9358005166144947</v>
      </c>
      <c r="AA26" s="27">
        <f t="shared" si="42"/>
        <v>0.96768316434462165</v>
      </c>
      <c r="AC26">
        <v>9</v>
      </c>
      <c r="AD26" s="42">
        <v>-1</v>
      </c>
    </row>
    <row r="27" spans="1:30" ht="15.75" customHeight="1" x14ac:dyDescent="0.2">
      <c r="D27" s="2"/>
      <c r="E27" s="19">
        <f>E26</f>
        <v>9.9999999999999995E-8</v>
      </c>
      <c r="F27" s="19">
        <f t="shared" si="26"/>
        <v>1.0000000000000001E-7</v>
      </c>
      <c r="G27" s="20">
        <v>8.9760000000000009</v>
      </c>
      <c r="H27" s="21">
        <f t="shared" si="27"/>
        <v>2.4325203252032523E-4</v>
      </c>
      <c r="I27" s="21">
        <f t="shared" si="28"/>
        <v>243.25203252032523</v>
      </c>
      <c r="J27" s="22">
        <f t="shared" si="29"/>
        <v>2.4883453964346402E-7</v>
      </c>
      <c r="K27" s="20">
        <v>0.1</v>
      </c>
      <c r="L27" s="20">
        <f t="shared" si="30"/>
        <v>6.1313682015314362E-2</v>
      </c>
      <c r="M27" s="20">
        <f t="shared" si="31"/>
        <v>3.8686317984685643E-2</v>
      </c>
      <c r="N27" s="22">
        <f t="shared" si="32"/>
        <v>1.8144324534307175E-4</v>
      </c>
      <c r="O27" s="23">
        <v>60.85</v>
      </c>
      <c r="P27" s="24">
        <f t="shared" si="43"/>
        <v>596.73465249999992</v>
      </c>
      <c r="Q27" s="24">
        <f t="shared" si="33"/>
        <v>615.84300238218816</v>
      </c>
      <c r="R27" s="25">
        <f t="shared" si="34"/>
        <v>0.96897204351064503</v>
      </c>
      <c r="S27" s="25">
        <f t="shared" si="35"/>
        <v>-3.1027956489354969E-2</v>
      </c>
      <c r="T27" s="25">
        <f t="shared" si="36"/>
        <v>-3.104658929749321E-2</v>
      </c>
      <c r="U27" s="40">
        <f>SUM(W22:W27)</f>
        <v>8.9204884385219959E-5</v>
      </c>
      <c r="V27" s="23">
        <f t="shared" si="37"/>
        <v>1.8632808138241419E-5</v>
      </c>
      <c r="W27" s="23">
        <f t="shared" si="38"/>
        <v>3.4718153911651565E-10</v>
      </c>
      <c r="X27" s="27">
        <f t="shared" si="39"/>
        <v>0.92038299854563665</v>
      </c>
      <c r="Y27" s="27">
        <f t="shared" si="40"/>
        <v>0.96030985565226867</v>
      </c>
      <c r="Z27" s="27">
        <f t="shared" si="41"/>
        <v>0.92038299854563665</v>
      </c>
      <c r="AA27" s="27">
        <f t="shared" si="42"/>
        <v>0.96030985565226867</v>
      </c>
      <c r="AC27">
        <v>10</v>
      </c>
      <c r="AD27" s="42">
        <v>-6</v>
      </c>
    </row>
    <row r="28" spans="1:30" ht="15.75" customHeight="1" x14ac:dyDescent="0.2">
      <c r="D28" s="3">
        <v>8.25</v>
      </c>
      <c r="E28" s="9">
        <f>10^-D28</f>
        <v>5.6234132519034744E-9</v>
      </c>
      <c r="F28" s="9">
        <f t="shared" si="26"/>
        <v>1.778279410038928E-6</v>
      </c>
      <c r="G28" s="7">
        <v>0.95699999999999996</v>
      </c>
      <c r="H28" s="10">
        <f t="shared" ref="H28:H33" si="44">G28/$AE$7</f>
        <v>3.0477707006369424E-5</v>
      </c>
      <c r="I28" s="10">
        <f t="shared" si="28"/>
        <v>30.477707006369425</v>
      </c>
      <c r="J28" s="12">
        <f t="shared" ref="J28:J33" si="45">H28/($B$9*(1-H28*$AE$7*$B$5/1000) - L28*($B$11+$B$12) - M28*(2*$B$11+$B$13) - E28*$B$15 - F28*$B$16)</f>
        <v>3.1027459966208962E-8</v>
      </c>
      <c r="K28" s="7">
        <v>0.1</v>
      </c>
      <c r="L28" s="7">
        <f t="shared" si="30"/>
        <v>8.1831824755151973E-3</v>
      </c>
      <c r="M28" s="7">
        <f t="shared" si="31"/>
        <v>9.1816817524484812E-2</v>
      </c>
      <c r="N28" s="12">
        <f t="shared" ref="N28:N33" si="46">(L28+3*M28)/($B$9*(1-H28*$AE$7*$B$5/1000) - L28*($B$11+$B$12) - M28*(2*$B$11+$B$13) - E28*$B$15 - F28*$B$16)</f>
        <v>2.887497820854128E-4</v>
      </c>
      <c r="O28" s="14">
        <v>7.75</v>
      </c>
      <c r="P28" s="7">
        <f t="shared" si="43"/>
        <v>76.001537499999998</v>
      </c>
      <c r="Q28" s="15">
        <f t="shared" ref="Q28:Q33" si="47">$B$1*$B$2*$B$9*1000*(J28+0.25*$AD$25*$AD$25*J28*J28/N28)</f>
        <v>76.684992773958555</v>
      </c>
      <c r="R28" s="16">
        <f t="shared" si="34"/>
        <v>0.99108749640267746</v>
      </c>
      <c r="S28" s="16">
        <f t="shared" si="35"/>
        <v>-8.9125035973225408E-3</v>
      </c>
      <c r="T28" s="16">
        <f t="shared" ref="T28:T33" si="48">$U$28+$U$29*J28+$U$30*J28*J28+$U$31*J28*J28*J28+$U$32*J28*J28*J28*J28</f>
        <v>-1.9773952670840519E-2</v>
      </c>
      <c r="U28" s="17">
        <v>0</v>
      </c>
      <c r="V28" s="14">
        <f t="shared" si="37"/>
        <v>1.0861449073517979E-2</v>
      </c>
      <c r="W28" s="14">
        <f t="shared" si="38"/>
        <v>1.1797107597662455E-4</v>
      </c>
      <c r="X28" s="18">
        <f t="shared" ref="X28:X33" si="49">EXP(S28+$U$29*J28+$U$30*J28*J28/2+$U$31*J28*J28*J28/3+$U$32*J28*J28*J28*J28/4)</f>
        <v>0.97207660471704826</v>
      </c>
      <c r="Y28" s="18">
        <f t="shared" ref="Y28:Y33" si="50">EXP(2*$AH$15*J28)</f>
        <v>0.97313460952426623</v>
      </c>
      <c r="Z28" s="18">
        <f t="shared" si="41"/>
        <v>0.97207660471704826</v>
      </c>
      <c r="AA28" s="18">
        <f t="shared" si="42"/>
        <v>0.97313460952426623</v>
      </c>
      <c r="AC28">
        <v>11</v>
      </c>
      <c r="AD28" s="42">
        <v>-12</v>
      </c>
    </row>
    <row r="29" spans="1:30" ht="15.75" customHeight="1" x14ac:dyDescent="0.2">
      <c r="D29" s="3"/>
      <c r="E29" s="19">
        <f>E28</f>
        <v>5.6234132519034744E-9</v>
      </c>
      <c r="F29" s="19">
        <f t="shared" si="26"/>
        <v>1.778279410038928E-6</v>
      </c>
      <c r="G29" s="20">
        <v>2.2090000000000001</v>
      </c>
      <c r="H29" s="21">
        <f t="shared" si="44"/>
        <v>7.0350318471337588E-5</v>
      </c>
      <c r="I29" s="21">
        <f t="shared" si="28"/>
        <v>70.350318471337587</v>
      </c>
      <c r="J29" s="22">
        <f t="shared" si="45"/>
        <v>7.1686335201566507E-8</v>
      </c>
      <c r="K29" s="20">
        <v>0.1</v>
      </c>
      <c r="L29" s="20">
        <f t="shared" si="30"/>
        <v>8.1831824755151973E-3</v>
      </c>
      <c r="M29" s="20">
        <f t="shared" si="31"/>
        <v>9.1816817524484812E-2</v>
      </c>
      <c r="N29" s="22">
        <f t="shared" si="46"/>
        <v>2.8902009654502465E-4</v>
      </c>
      <c r="O29" s="23">
        <v>17.100000000000001</v>
      </c>
      <c r="P29" s="20">
        <f t="shared" si="43"/>
        <v>167.693715</v>
      </c>
      <c r="Q29" s="24">
        <f t="shared" si="47"/>
        <v>177.17422254063334</v>
      </c>
      <c r="R29" s="25">
        <f t="shared" si="34"/>
        <v>0.94649048036060057</v>
      </c>
      <c r="S29" s="25">
        <f t="shared" si="35"/>
        <v>-5.3509519639399428E-2</v>
      </c>
      <c r="T29" s="25">
        <f t="shared" si="48"/>
        <v>-4.5583992174968828E-2</v>
      </c>
      <c r="U29" s="26">
        <v>-608843.33290695702</v>
      </c>
      <c r="V29" s="23">
        <f t="shared" si="37"/>
        <v>-7.9255274644305998E-3</v>
      </c>
      <c r="W29" s="23">
        <f t="shared" si="38"/>
        <v>6.2813985589443727E-5</v>
      </c>
      <c r="X29" s="27">
        <f t="shared" si="49"/>
        <v>0.90580623135000304</v>
      </c>
      <c r="Y29" s="27">
        <f t="shared" si="50"/>
        <v>0.93901931067021904</v>
      </c>
      <c r="Z29" s="27">
        <f t="shared" si="41"/>
        <v>0.90580623135000304</v>
      </c>
      <c r="AA29" s="27">
        <f t="shared" si="42"/>
        <v>0.93901931067021904</v>
      </c>
      <c r="AC29">
        <v>12</v>
      </c>
      <c r="AD29" s="42">
        <v>-15.6</v>
      </c>
    </row>
    <row r="30" spans="1:30" ht="15.75" customHeight="1" x14ac:dyDescent="0.2">
      <c r="D30" s="3"/>
      <c r="E30" s="19">
        <f>E29</f>
        <v>5.6234132519034744E-9</v>
      </c>
      <c r="F30" s="19">
        <f t="shared" si="26"/>
        <v>1.778279410038928E-6</v>
      </c>
      <c r="G30" s="20">
        <v>3.637</v>
      </c>
      <c r="H30" s="21">
        <f t="shared" si="44"/>
        <v>1.1582802547770701E-4</v>
      </c>
      <c r="I30" s="21">
        <f t="shared" si="28"/>
        <v>115.82802547770702</v>
      </c>
      <c r="J30" s="22">
        <f t="shared" si="45"/>
        <v>1.1815386469861956E-7</v>
      </c>
      <c r="K30" s="20">
        <v>0.1</v>
      </c>
      <c r="L30" s="20">
        <f t="shared" si="30"/>
        <v>8.1831824755151973E-3</v>
      </c>
      <c r="M30" s="20">
        <f t="shared" si="31"/>
        <v>9.1816817524484812E-2</v>
      </c>
      <c r="N30" s="22">
        <f t="shared" si="46"/>
        <v>2.8932902897497472E-4</v>
      </c>
      <c r="O30" s="23">
        <v>27.6</v>
      </c>
      <c r="P30" s="20">
        <f t="shared" si="43"/>
        <v>270.66354000000001</v>
      </c>
      <c r="Q30" s="24">
        <f t="shared" si="47"/>
        <v>292.01965840892439</v>
      </c>
      <c r="R30" s="25">
        <f t="shared" si="34"/>
        <v>0.92686753170905112</v>
      </c>
      <c r="S30" s="25">
        <f t="shared" si="35"/>
        <v>-7.3132468290948882E-2</v>
      </c>
      <c r="T30" s="25">
        <f t="shared" si="48"/>
        <v>-7.0529140129682089E-2</v>
      </c>
      <c r="U30" s="26">
        <v>-1406001768223.46</v>
      </c>
      <c r="V30" s="23">
        <f t="shared" si="37"/>
        <v>-2.6033281612667936E-3</v>
      </c>
      <c r="W30" s="23">
        <f t="shared" si="38"/>
        <v>6.7773175152447447E-6</v>
      </c>
      <c r="X30" s="27">
        <f t="shared" si="49"/>
        <v>0.86302380726845385</v>
      </c>
      <c r="Y30" s="27">
        <f t="shared" si="50"/>
        <v>0.90149221208647068</v>
      </c>
      <c r="Z30" s="27">
        <f t="shared" si="41"/>
        <v>0.86302380726845385</v>
      </c>
      <c r="AA30" s="27">
        <f t="shared" si="42"/>
        <v>0.90149221208647068</v>
      </c>
    </row>
    <row r="31" spans="1:30" ht="15.75" customHeight="1" x14ac:dyDescent="0.2">
      <c r="D31" s="3"/>
      <c r="E31" s="19">
        <f>E30</f>
        <v>5.6234132519034744E-9</v>
      </c>
      <c r="F31" s="19">
        <f t="shared" si="26"/>
        <v>1.778279410038928E-6</v>
      </c>
      <c r="G31" s="20">
        <v>5.6769999999999996</v>
      </c>
      <c r="H31" s="21">
        <f t="shared" si="44"/>
        <v>1.8079617834394903E-4</v>
      </c>
      <c r="I31" s="21">
        <f t="shared" si="28"/>
        <v>180.79617834394904</v>
      </c>
      <c r="J31" s="22">
        <f t="shared" si="45"/>
        <v>1.8470863410168862E-7</v>
      </c>
      <c r="K31" s="20">
        <v>0.1</v>
      </c>
      <c r="L31" s="20">
        <f t="shared" si="30"/>
        <v>8.1831824755151973E-3</v>
      </c>
      <c r="M31" s="20">
        <f t="shared" si="31"/>
        <v>9.1816817524484812E-2</v>
      </c>
      <c r="N31" s="22">
        <f t="shared" si="46"/>
        <v>2.8977150841941684E-4</v>
      </c>
      <c r="O31" s="23">
        <v>42.55</v>
      </c>
      <c r="P31" s="20">
        <f t="shared" si="43"/>
        <v>417.27295749999996</v>
      </c>
      <c r="Q31" s="24">
        <f t="shared" si="47"/>
        <v>456.51111263383245</v>
      </c>
      <c r="R31" s="25">
        <f t="shared" si="34"/>
        <v>0.91404775470316879</v>
      </c>
      <c r="S31" s="25">
        <f t="shared" si="35"/>
        <v>-8.5952245296831209E-2</v>
      </c>
      <c r="T31" s="25">
        <f t="shared" si="48"/>
        <v>-9.4486499515073E-2</v>
      </c>
      <c r="U31" s="26">
        <v>1.6817866000322501E+19</v>
      </c>
      <c r="V31" s="23">
        <f t="shared" si="37"/>
        <v>8.5342542182417908E-3</v>
      </c>
      <c r="W31" s="23">
        <f t="shared" si="38"/>
        <v>7.2833495061577804E-5</v>
      </c>
      <c r="X31" s="27">
        <f t="shared" si="49"/>
        <v>0.82112639120300546</v>
      </c>
      <c r="Y31" s="27">
        <f t="shared" si="50"/>
        <v>0.85033990189700981</v>
      </c>
      <c r="Z31" s="27">
        <f t="shared" si="41"/>
        <v>0.82112639120300546</v>
      </c>
      <c r="AA31" s="27">
        <f t="shared" si="42"/>
        <v>0.85033990189700981</v>
      </c>
    </row>
    <row r="32" spans="1:30" ht="15.75" customHeight="1" x14ac:dyDescent="0.2">
      <c r="D32" s="3"/>
      <c r="E32" s="19">
        <f>E31</f>
        <v>5.6234132519034744E-9</v>
      </c>
      <c r="F32" s="19">
        <f t="shared" si="26"/>
        <v>1.778279410038928E-6</v>
      </c>
      <c r="G32" s="20">
        <v>7.2089999999999996</v>
      </c>
      <c r="H32" s="21">
        <f t="shared" si="44"/>
        <v>2.2958598726114648E-4</v>
      </c>
      <c r="I32" s="21">
        <f t="shared" si="28"/>
        <v>229.58598726114647</v>
      </c>
      <c r="J32" s="22">
        <f t="shared" si="45"/>
        <v>2.3482395612343508E-7</v>
      </c>
      <c r="K32" s="20">
        <v>0.1</v>
      </c>
      <c r="L32" s="20">
        <f t="shared" si="30"/>
        <v>8.1831824755151973E-3</v>
      </c>
      <c r="M32" s="20">
        <f t="shared" si="31"/>
        <v>9.1816817524484812E-2</v>
      </c>
      <c r="N32" s="22">
        <f t="shared" si="46"/>
        <v>2.9010469265317062E-4</v>
      </c>
      <c r="O32" s="23">
        <v>52.5</v>
      </c>
      <c r="P32" s="20">
        <f t="shared" si="43"/>
        <v>514.84912499999996</v>
      </c>
      <c r="Q32" s="24">
        <f t="shared" si="47"/>
        <v>580.37214126097842</v>
      </c>
      <c r="R32" s="25">
        <f t="shared" si="34"/>
        <v>0.88710172042611113</v>
      </c>
      <c r="S32" s="25">
        <f t="shared" si="35"/>
        <v>-0.11289827957388887</v>
      </c>
      <c r="T32" s="25">
        <f t="shared" si="48"/>
        <v>-0.10732973966531871</v>
      </c>
      <c r="U32" s="26">
        <v>-3.43998281978123E+25</v>
      </c>
      <c r="V32" s="23">
        <f t="shared" si="37"/>
        <v>-5.5685399085701609E-3</v>
      </c>
      <c r="W32" s="23">
        <f t="shared" si="38"/>
        <v>3.1008636713338573E-5</v>
      </c>
      <c r="X32" s="27">
        <f t="shared" si="49"/>
        <v>0.7802085662493381</v>
      </c>
      <c r="Y32" s="27">
        <f t="shared" si="50"/>
        <v>0.81374727044017059</v>
      </c>
      <c r="Z32" s="27">
        <f t="shared" si="41"/>
        <v>0.7802085662493381</v>
      </c>
      <c r="AA32" s="27">
        <f t="shared" si="42"/>
        <v>0.81374727044017059</v>
      </c>
    </row>
    <row r="33" spans="4:27" ht="15.75" customHeight="1" x14ac:dyDescent="0.2">
      <c r="D33" s="3"/>
      <c r="E33" s="28">
        <f>E32</f>
        <v>5.6234132519034744E-9</v>
      </c>
      <c r="F33" s="28">
        <f t="shared" si="26"/>
        <v>1.778279410038928E-6</v>
      </c>
      <c r="G33" s="29">
        <v>9.3659999999999997</v>
      </c>
      <c r="H33" s="30">
        <f t="shared" si="44"/>
        <v>2.9828025477707004E-4</v>
      </c>
      <c r="I33" s="30">
        <f t="shared" si="28"/>
        <v>298.28025477707007</v>
      </c>
      <c r="J33" s="31">
        <f t="shared" si="45"/>
        <v>3.0558017663160062E-7</v>
      </c>
      <c r="K33" s="29">
        <v>0.1</v>
      </c>
      <c r="L33" s="29">
        <f t="shared" si="30"/>
        <v>8.1831824755151973E-3</v>
      </c>
      <c r="M33" s="29">
        <f t="shared" si="31"/>
        <v>9.1816817524484812E-2</v>
      </c>
      <c r="N33" s="31">
        <f t="shared" si="46"/>
        <v>2.9057510481779957E-4</v>
      </c>
      <c r="O33" s="32">
        <v>66.5</v>
      </c>
      <c r="P33" s="29">
        <f t="shared" si="43"/>
        <v>652.14222499999994</v>
      </c>
      <c r="Q33" s="33">
        <f t="shared" si="47"/>
        <v>755.24756658714159</v>
      </c>
      <c r="R33" s="34">
        <f t="shared" si="34"/>
        <v>0.86348139848624694</v>
      </c>
      <c r="S33" s="34">
        <f t="shared" si="35"/>
        <v>-0.13651860151375306</v>
      </c>
      <c r="T33" s="34">
        <f t="shared" si="48"/>
        <v>-0.13740222642654248</v>
      </c>
      <c r="U33" s="35">
        <f>SUM(W28:W33)</f>
        <v>2.9218530384273156E-4</v>
      </c>
      <c r="V33" s="32">
        <f t="shared" si="37"/>
        <v>8.836249127894269E-4</v>
      </c>
      <c r="W33" s="32">
        <f t="shared" si="38"/>
        <v>7.8079298650212227E-7</v>
      </c>
      <c r="X33" s="36">
        <f t="shared" si="49"/>
        <v>0.73842290559928192</v>
      </c>
      <c r="Y33" s="36">
        <f t="shared" si="50"/>
        <v>0.76474845888467735</v>
      </c>
      <c r="Z33" s="36">
        <f t="shared" si="41"/>
        <v>0.73842290559928192</v>
      </c>
      <c r="AA33" s="36">
        <f t="shared" si="42"/>
        <v>0.76474845888467735</v>
      </c>
    </row>
    <row r="34" spans="4:27" ht="15.75" customHeight="1" x14ac:dyDescent="0.2">
      <c r="D34" s="3">
        <v>9</v>
      </c>
      <c r="E34" s="9">
        <f>10^-D34</f>
        <v>1.0000000000000001E-9</v>
      </c>
      <c r="F34" s="9">
        <f t="shared" si="26"/>
        <v>9.9999999999999991E-6</v>
      </c>
      <c r="G34" s="7">
        <v>0.91200000000000003</v>
      </c>
      <c r="H34" s="10">
        <f>G34/$AE$8</f>
        <v>2.8860759493670888E-5</v>
      </c>
      <c r="I34" s="10">
        <f t="shared" si="28"/>
        <v>28.860759493670887</v>
      </c>
      <c r="J34" s="12">
        <f>H34/($B$9*(1-H34*$AE$8*$B$5/1000) - L34*($B$11+$B$12) - M34*(2*$B$11+$B$13) - E34*$B$15 - F34*$B$16)</f>
        <v>2.9384717715977883E-8</v>
      </c>
      <c r="K34" s="7">
        <v>0.1</v>
      </c>
      <c r="L34" s="7">
        <f t="shared" si="30"/>
        <v>1.5601662241829643E-3</v>
      </c>
      <c r="M34" s="7">
        <f t="shared" si="31"/>
        <v>9.8439833775817054E-2</v>
      </c>
      <c r="N34" s="12">
        <f>(L34+3*M34)/($B$9*(1-H34*$AE$8*$B$5/1000) - L34*($B$11+$B$12) - M34*(2*$B$11+$B$13) - E34*$B$15 - F34*$B$16)</f>
        <v>3.0226942671176843E-4</v>
      </c>
      <c r="O34" s="14">
        <v>7.25</v>
      </c>
      <c r="P34" s="7">
        <f t="shared" si="43"/>
        <v>71.098212500000002</v>
      </c>
      <c r="Q34" s="15">
        <f>$B$1*$B$2*$B$9*1000*(J34+0.25*$AD$26*$AD$26*J34*J34/N34)</f>
        <v>72.626687220920118</v>
      </c>
      <c r="R34" s="16">
        <f t="shared" si="34"/>
        <v>0.9789543654074333</v>
      </c>
      <c r="S34" s="16">
        <f t="shared" si="35"/>
        <v>-2.1045634592566698E-2</v>
      </c>
      <c r="T34" s="16">
        <f>$U$34+$U$35*J34+$U$36*J34*J34+$U$37*J34*J34*J34+$U$38*J34*J34*J34*J34</f>
        <v>-2.0912538392893591E-2</v>
      </c>
      <c r="U34" s="17">
        <v>0</v>
      </c>
      <c r="V34" s="14">
        <f t="shared" si="37"/>
        <v>-1.3309619967310712E-4</v>
      </c>
      <c r="W34" s="14">
        <f t="shared" si="38"/>
        <v>1.77145983674236E-8</v>
      </c>
      <c r="X34" s="18">
        <f>EXP(S34+$U$35*J34+$U$36*J34*J34/2+$U$37*J34*J34*J34/3+$U$38*J34*J34*J34*J34/4)</f>
        <v>0.95927147008726288</v>
      </c>
      <c r="Y34" s="18">
        <f>EXP(2*$AH$16*J34)</f>
        <v>0.96707034465849606</v>
      </c>
      <c r="Z34" s="18">
        <f t="shared" si="41"/>
        <v>0.95927147008726288</v>
      </c>
      <c r="AA34" s="18">
        <f t="shared" si="42"/>
        <v>0.96707034465849606</v>
      </c>
    </row>
    <row r="35" spans="4:27" ht="15.75" customHeight="1" x14ac:dyDescent="0.2">
      <c r="D35" s="3"/>
      <c r="E35" s="19">
        <f>E34</f>
        <v>1.0000000000000001E-9</v>
      </c>
      <c r="F35" s="19">
        <f t="shared" si="26"/>
        <v>9.9999999999999991E-6</v>
      </c>
      <c r="G35" s="20">
        <v>3.637</v>
      </c>
      <c r="H35" s="21">
        <f>G35/$AE$8</f>
        <v>1.1509493670886077E-4</v>
      </c>
      <c r="I35" s="21">
        <f t="shared" si="28"/>
        <v>115.09493670886077</v>
      </c>
      <c r="J35" s="22">
        <f>H35/($B$9*(1-H35*$AE$8*$B$5/1000) - L35*($B$11+$B$12) - M35*(2*$B$11+$B$13) - E35*$B$15 - F35*$B$16)</f>
        <v>1.17423510692811E-7</v>
      </c>
      <c r="K35" s="20">
        <v>0.1</v>
      </c>
      <c r="L35" s="20">
        <f t="shared" si="30"/>
        <v>1.5601662241829643E-3</v>
      </c>
      <c r="M35" s="20">
        <f t="shared" si="31"/>
        <v>9.8439833775817054E-2</v>
      </c>
      <c r="N35" s="22">
        <f>(L35+3*M35)/($B$9*(1-H35*$AE$8*$B$5/1000) - L35*($B$11+$B$12) - M35*(2*$B$11+$B$13) - E35*$B$15 - F35*$B$16)</f>
        <v>3.028860679198209E-4</v>
      </c>
      <c r="O35" s="23">
        <v>27.2</v>
      </c>
      <c r="P35" s="24">
        <f t="shared" si="43"/>
        <v>266.74088</v>
      </c>
      <c r="Q35" s="24">
        <f>$B$1*$B$2*$B$9*1000*(J35+0.25*$AD$26*$AD$26*J35*J35/N35)</f>
        <v>290.24270151048421</v>
      </c>
      <c r="R35" s="25">
        <f t="shared" si="34"/>
        <v>0.91902700261479175</v>
      </c>
      <c r="S35" s="25">
        <f t="shared" si="35"/>
        <v>-8.0972997385208245E-2</v>
      </c>
      <c r="T35" s="25">
        <f>$U$34+$U$35*J35+$U$36*J35*J35+$U$37*J35*J35*J35+$U$38*J35*J35*J35*J35</f>
        <v>-8.1186396258902671E-2</v>
      </c>
      <c r="U35" s="26">
        <v>-682083.81961147406</v>
      </c>
      <c r="V35" s="23">
        <f t="shared" si="37"/>
        <v>2.1339887369442589E-4</v>
      </c>
      <c r="W35" s="23">
        <f t="shared" si="38"/>
        <v>4.5539079294049536E-8</v>
      </c>
      <c r="X35" s="27">
        <f>EXP(S35+$U$35*J35+$U$36*J35*J35/2+$U$37*J35*J35*J35/3+$U$38*J35*J35*J35*J35/4)</f>
        <v>0.84855973212830726</v>
      </c>
      <c r="Y35" s="27">
        <f>EXP(2*$AH$16*J35)</f>
        <v>0.87476087982919448</v>
      </c>
      <c r="Z35" s="27">
        <f t="shared" si="41"/>
        <v>0.84855973212830726</v>
      </c>
      <c r="AA35" s="27">
        <f t="shared" si="42"/>
        <v>0.87476087982919448</v>
      </c>
    </row>
    <row r="36" spans="4:27" ht="15.75" customHeight="1" x14ac:dyDescent="0.2">
      <c r="D36" s="3"/>
      <c r="E36" s="19">
        <f>E35</f>
        <v>1.0000000000000001E-9</v>
      </c>
      <c r="F36" s="19">
        <f t="shared" si="26"/>
        <v>9.9999999999999991E-6</v>
      </c>
      <c r="G36" s="20">
        <v>5.4809999999999999</v>
      </c>
      <c r="H36" s="21">
        <f>G36/$AE$8</f>
        <v>1.7344936708860758E-4</v>
      </c>
      <c r="I36" s="21">
        <f t="shared" si="28"/>
        <v>173.44936708860757</v>
      </c>
      <c r="J36" s="22">
        <f>H36/($B$9*(1-H36*$AE$8*$B$5/1000) - L36*($B$11+$B$12) - M36*(2*$B$11+$B$13) - E36*$B$15 - F36*$B$16)</f>
        <v>1.7720318125169438E-7</v>
      </c>
      <c r="K36" s="20">
        <v>0.1</v>
      </c>
      <c r="L36" s="20">
        <f t="shared" si="30"/>
        <v>1.5601662241829643E-3</v>
      </c>
      <c r="M36" s="20">
        <f t="shared" si="31"/>
        <v>9.8439833775817054E-2</v>
      </c>
      <c r="N36" s="22">
        <f>(L36+3*M36)/($B$9*(1-H36*$AE$8*$B$5/1000) - L36*($B$11+$B$12) - M36*(2*$B$11+$B$13) - E36*$B$15 - F36*$B$16)</f>
        <v>3.0330477661656669E-4</v>
      </c>
      <c r="O36" s="23">
        <v>39.65</v>
      </c>
      <c r="P36" s="20">
        <f t="shared" si="43"/>
        <v>388.83367249999998</v>
      </c>
      <c r="Q36" s="24">
        <f>$B$1*$B$2*$B$9*1000*(J36+0.25*$AD$26*$AD$26*J36*J36/N36)</f>
        <v>438.02520337810358</v>
      </c>
      <c r="R36" s="25">
        <f t="shared" si="34"/>
        <v>0.88769703090431207</v>
      </c>
      <c r="S36" s="25">
        <f t="shared" si="35"/>
        <v>-0.11230296909568793</v>
      </c>
      <c r="T36" s="25">
        <f>$U$34+$U$35*J36+$U$36*J36*J36+$U$37*J36*J36*J36+$U$38*J36*J36*J36*J36</f>
        <v>-0.11205222966128434</v>
      </c>
      <c r="U36" s="26">
        <v>-1422358441426.5701</v>
      </c>
      <c r="V36" s="23">
        <f t="shared" si="37"/>
        <v>-2.5073943440359625E-4</v>
      </c>
      <c r="W36" s="23">
        <f t="shared" si="38"/>
        <v>6.2870263965035351E-8</v>
      </c>
      <c r="X36" s="27">
        <f>EXP(S36+$U$35*J36+$U$36*J36*J36/2+$U$37*J36*J36*J36/3+$U$38*J36*J36*J36*J36/4)</f>
        <v>0.79044026214028884</v>
      </c>
      <c r="Y36" s="27">
        <f>EXP(2*$AH$16*J36)</f>
        <v>0.81715706198046834</v>
      </c>
      <c r="Z36" s="27">
        <f t="shared" si="41"/>
        <v>0.79044026214028884</v>
      </c>
      <c r="AA36" s="27">
        <f t="shared" si="42"/>
        <v>0.81715706198046834</v>
      </c>
    </row>
    <row r="37" spans="4:27" ht="15.75" customHeight="1" x14ac:dyDescent="0.2">
      <c r="D37" s="3"/>
      <c r="E37" s="19">
        <f>E36</f>
        <v>1.0000000000000001E-9</v>
      </c>
      <c r="F37" s="19">
        <f t="shared" si="26"/>
        <v>9.9999999999999991E-6</v>
      </c>
      <c r="G37" s="20">
        <v>7.4240000000000004</v>
      </c>
      <c r="H37" s="21">
        <f>G37/$AE$8</f>
        <v>2.3493670886075949E-4</v>
      </c>
      <c r="I37" s="21">
        <f t="shared" si="28"/>
        <v>234.9367088607595</v>
      </c>
      <c r="J37" s="22">
        <f>H37/($B$9*(1-H37*$AE$8*$B$5/1000) - L37*($B$11+$B$12) - M37*(2*$B$11+$B$13) - E37*$B$15 - F37*$B$16)</f>
        <v>2.4037136858582796E-7</v>
      </c>
      <c r="K37" s="20">
        <v>0.1</v>
      </c>
      <c r="L37" s="20">
        <f t="shared" si="30"/>
        <v>1.5601662241829643E-3</v>
      </c>
      <c r="M37" s="20">
        <f t="shared" si="31"/>
        <v>9.8439833775817054E-2</v>
      </c>
      <c r="N37" s="22">
        <f>(L37+3*M37)/($B$9*(1-H37*$AE$8*$B$5/1000) - L37*($B$11+$B$12) - M37*(2*$B$11+$B$13) - E37*$B$15 - F37*$B$16)</f>
        <v>3.0374721915844084E-4</v>
      </c>
      <c r="O37" s="23">
        <v>52.15</v>
      </c>
      <c r="P37" s="24">
        <f t="shared" si="43"/>
        <v>511.41679749999997</v>
      </c>
      <c r="Q37" s="24">
        <f>$B$1*$B$2*$B$9*1000*(J37+0.25*$AD$26*$AD$26*J37*J37/N37)</f>
        <v>594.20021531440761</v>
      </c>
      <c r="R37" s="25">
        <f t="shared" si="34"/>
        <v>0.86068093601984863</v>
      </c>
      <c r="S37" s="25">
        <f t="shared" si="35"/>
        <v>-0.13931906398015137</v>
      </c>
      <c r="T37" s="25">
        <f>$U$34+$U$35*J37+$U$36*J37*J37+$U$37*J37*J37*J37+$U$38*J37*J37*J37*J37</f>
        <v>-0.13946205009330764</v>
      </c>
      <c r="U37" s="26">
        <v>1.50254849460173E+19</v>
      </c>
      <c r="V37" s="23">
        <f t="shared" si="37"/>
        <v>1.4298611315627374E-4</v>
      </c>
      <c r="W37" s="23">
        <f t="shared" si="38"/>
        <v>2.0445028555538719E-8</v>
      </c>
      <c r="X37" s="27">
        <f>EXP(S37+$U$35*J37+$U$36*J37*J37/2+$U$37*J37*J37*J37/3+$U$38*J37*J37*J37*J37/4)</f>
        <v>0.74059215422981972</v>
      </c>
      <c r="Y37" s="27">
        <f>EXP(2*$AH$16*J37)</f>
        <v>0.76040473368868844</v>
      </c>
      <c r="Z37" s="27">
        <f t="shared" si="41"/>
        <v>0.74059215422981972</v>
      </c>
      <c r="AA37" s="27">
        <f t="shared" si="42"/>
        <v>0.76040473368868844</v>
      </c>
    </row>
    <row r="38" spans="4:27" ht="15.75" customHeight="1" x14ac:dyDescent="0.2">
      <c r="D38" s="3"/>
      <c r="E38" s="19">
        <f>E37</f>
        <v>1.0000000000000001E-9</v>
      </c>
      <c r="F38" s="19">
        <f t="shared" si="26"/>
        <v>9.9999999999999991E-6</v>
      </c>
      <c r="G38" s="20">
        <v>8.9489999999999998</v>
      </c>
      <c r="H38" s="21">
        <f>G38/$AE$8</f>
        <v>2.8319620253164558E-4</v>
      </c>
      <c r="I38" s="21">
        <f t="shared" si="28"/>
        <v>283.19620253164555</v>
      </c>
      <c r="J38" s="22">
        <f>H38/($B$9*(1-H38*$AE$8*$B$5/1000) - L38*($B$11+$B$12) - M38*(2*$B$11+$B$13) - E38*$B$15 - F38*$B$16)</f>
        <v>2.9007933945931436E-7</v>
      </c>
      <c r="K38" s="20">
        <v>0.1</v>
      </c>
      <c r="L38" s="20">
        <f t="shared" si="30"/>
        <v>1.5601662241829643E-3</v>
      </c>
      <c r="M38" s="20">
        <f t="shared" si="31"/>
        <v>9.8439833775817054E-2</v>
      </c>
      <c r="N38" s="22">
        <f>(L38+3*M38)/($B$9*(1-H38*$AE$8*$B$5/1000) - L38*($B$11+$B$12) - M38*(2*$B$11+$B$13) - E38*$B$15 - F38*$B$16)</f>
        <v>3.0409538366834416E-4</v>
      </c>
      <c r="O38" s="23">
        <v>60.9</v>
      </c>
      <c r="P38" s="20">
        <f t="shared" si="43"/>
        <v>597.22498499999995</v>
      </c>
      <c r="Q38" s="24">
        <f>$B$1*$B$2*$B$9*1000*(J38+0.25*$AD$26*$AD$26*J38*J38/N38)</f>
        <v>717.1079082001927</v>
      </c>
      <c r="R38" s="25">
        <f t="shared" si="34"/>
        <v>0.83282443014597818</v>
      </c>
      <c r="S38" s="25">
        <f t="shared" si="35"/>
        <v>-0.16717556985402182</v>
      </c>
      <c r="T38" s="25">
        <f>$U$34+$U$35*J38+$U$36*J38*J38+$U$37*J38*J38*J38+$U$38*J38*J38*J38*J38</f>
        <v>-0.16713735619510423</v>
      </c>
      <c r="U38" s="26">
        <v>-3.0555597040525701E+25</v>
      </c>
      <c r="V38" s="23">
        <f t="shared" si="37"/>
        <v>-3.8213658917596316E-5</v>
      </c>
      <c r="W38" s="23">
        <f t="shared" si="38"/>
        <v>1.4602837278703885E-9</v>
      </c>
      <c r="X38" s="27">
        <f>EXP(S38+$U$35*J38+$U$36*J38*J38/2+$U$37*J38*J38*J38/3+$U$38*J38*J38*J38*J38/4)</f>
        <v>0.69997401832589112</v>
      </c>
      <c r="Y38" s="27">
        <f>EXP(2*$AH$16*J38)</f>
        <v>0.71853063402989359</v>
      </c>
      <c r="Z38" s="27">
        <f t="shared" si="41"/>
        <v>0.69997401832589112</v>
      </c>
      <c r="AA38" s="27">
        <f t="shared" si="42"/>
        <v>0.71853063402989359</v>
      </c>
    </row>
    <row r="39" spans="4:27" ht="15.75" customHeight="1" x14ac:dyDescent="0.2">
      <c r="D39" s="3"/>
      <c r="E39" s="28"/>
      <c r="F39" s="28"/>
      <c r="G39" s="29"/>
      <c r="H39" s="30"/>
      <c r="I39" s="30"/>
      <c r="J39" s="31"/>
      <c r="K39" s="29"/>
      <c r="L39" s="29"/>
      <c r="M39" s="29"/>
      <c r="N39" s="31"/>
      <c r="O39" s="32"/>
      <c r="P39" s="29"/>
      <c r="Q39" s="33"/>
      <c r="R39" s="34"/>
      <c r="S39" s="34"/>
      <c r="T39" s="34"/>
      <c r="U39" s="35">
        <f>SUM(W34:W39)</f>
        <v>1.4802925390991757E-7</v>
      </c>
      <c r="V39" s="32"/>
      <c r="W39" s="32"/>
      <c r="X39" s="36"/>
      <c r="Y39" s="36"/>
      <c r="Z39" s="36"/>
      <c r="AA39" s="36"/>
    </row>
    <row r="42" spans="4:27" ht="15.75" customHeight="1" x14ac:dyDescent="0.2">
      <c r="L42" s="43"/>
    </row>
  </sheetData>
  <mergeCells count="6">
    <mergeCell ref="D34:D39"/>
    <mergeCell ref="D4:D9"/>
    <mergeCell ref="D10:D15"/>
    <mergeCell ref="D16:D21"/>
    <mergeCell ref="D22:D27"/>
    <mergeCell ref="D28:D33"/>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3"/>
  <sheetViews>
    <sheetView zoomScaleNormal="100" workbookViewId="0"/>
  </sheetViews>
  <sheetFormatPr baseColWidth="10" defaultColWidth="8.6640625" defaultRowHeight="16" x14ac:dyDescent="0.2"/>
  <cols>
    <col min="1" max="1" width="10" customWidth="1"/>
    <col min="2" max="3" width="45" customWidth="1"/>
    <col min="4" max="4" width="70" customWidth="1"/>
  </cols>
  <sheetData>
    <row r="1" spans="1:4" x14ac:dyDescent="0.2">
      <c r="A1" s="44" t="s">
        <v>52</v>
      </c>
    </row>
    <row r="3" spans="1:4" ht="60" customHeight="1" x14ac:dyDescent="0.2">
      <c r="A3" s="1" t="s">
        <v>53</v>
      </c>
      <c r="B3" s="1"/>
      <c r="C3" s="1"/>
      <c r="D3" s="1"/>
    </row>
    <row r="4" spans="1:4" ht="75" customHeight="1" x14ac:dyDescent="0.2">
      <c r="A4" s="1" t="s">
        <v>54</v>
      </c>
      <c r="B4" s="1"/>
      <c r="C4" s="1"/>
      <c r="D4" s="1"/>
    </row>
    <row r="5" spans="1:4" ht="90" customHeight="1" x14ac:dyDescent="0.2">
      <c r="A5" s="1" t="s">
        <v>55</v>
      </c>
      <c r="B5" s="1"/>
      <c r="C5" s="1"/>
      <c r="D5" s="1"/>
    </row>
    <row r="6" spans="1:4" ht="45" customHeight="1" x14ac:dyDescent="0.2">
      <c r="A6" s="1" t="s">
        <v>56</v>
      </c>
      <c r="B6" s="1"/>
      <c r="C6" s="1"/>
      <c r="D6" s="1"/>
    </row>
    <row r="8" spans="1:4" x14ac:dyDescent="0.2">
      <c r="A8" s="45" t="s">
        <v>57</v>
      </c>
      <c r="B8" s="45" t="s">
        <v>58</v>
      </c>
      <c r="C8" s="45" t="s">
        <v>59</v>
      </c>
      <c r="D8" s="45" t="s">
        <v>60</v>
      </c>
    </row>
    <row r="9" spans="1:4" ht="26" x14ac:dyDescent="0.2">
      <c r="A9" s="46" t="s">
        <v>61</v>
      </c>
      <c r="B9" s="47" t="s">
        <v>62</v>
      </c>
      <c r="C9" s="47" t="s">
        <v>63</v>
      </c>
      <c r="D9" s="47" t="s">
        <v>64</v>
      </c>
    </row>
    <row r="10" spans="1:4" ht="26" x14ac:dyDescent="0.2">
      <c r="A10" s="46" t="s">
        <v>65</v>
      </c>
      <c r="B10" s="47" t="s">
        <v>66</v>
      </c>
      <c r="C10" s="47" t="s">
        <v>67</v>
      </c>
      <c r="D10" s="47" t="s">
        <v>68</v>
      </c>
    </row>
    <row r="11" spans="1:4" ht="26" x14ac:dyDescent="0.2">
      <c r="A11" s="46" t="s">
        <v>69</v>
      </c>
      <c r="B11" s="47" t="s">
        <v>70</v>
      </c>
      <c r="C11" s="47" t="s">
        <v>71</v>
      </c>
      <c r="D11" s="47" t="s">
        <v>64</v>
      </c>
    </row>
    <row r="12" spans="1:4" ht="26" x14ac:dyDescent="0.2">
      <c r="A12" s="46" t="s">
        <v>72</v>
      </c>
      <c r="B12" s="47" t="s">
        <v>73</v>
      </c>
      <c r="C12" s="47" t="s">
        <v>74</v>
      </c>
      <c r="D12" s="47" t="s">
        <v>68</v>
      </c>
    </row>
    <row r="13" spans="1:4" ht="26" x14ac:dyDescent="0.2">
      <c r="A13" s="46" t="s">
        <v>75</v>
      </c>
      <c r="B13" s="47" t="s">
        <v>76</v>
      </c>
      <c r="C13" s="47" t="s">
        <v>77</v>
      </c>
      <c r="D13" s="47" t="s">
        <v>64</v>
      </c>
    </row>
    <row r="14" spans="1:4" ht="26" x14ac:dyDescent="0.2">
      <c r="A14" s="46" t="s">
        <v>78</v>
      </c>
      <c r="B14" s="47" t="s">
        <v>79</v>
      </c>
      <c r="C14" s="47" t="s">
        <v>80</v>
      </c>
      <c r="D14" s="47" t="s">
        <v>68</v>
      </c>
    </row>
    <row r="15" spans="1:4" ht="26" x14ac:dyDescent="0.2">
      <c r="A15" s="46" t="s">
        <v>81</v>
      </c>
      <c r="B15" s="47" t="s">
        <v>82</v>
      </c>
      <c r="C15" s="47" t="s">
        <v>83</v>
      </c>
      <c r="D15" s="47" t="s">
        <v>64</v>
      </c>
    </row>
    <row r="16" spans="1:4" ht="26" x14ac:dyDescent="0.2">
      <c r="A16" s="46" t="s">
        <v>84</v>
      </c>
      <c r="B16" s="47" t="s">
        <v>85</v>
      </c>
      <c r="C16" s="47" t="s">
        <v>86</v>
      </c>
      <c r="D16" s="47" t="s">
        <v>68</v>
      </c>
    </row>
    <row r="17" spans="1:4" ht="26" x14ac:dyDescent="0.2">
      <c r="A17" s="46" t="s">
        <v>87</v>
      </c>
      <c r="B17" s="47" t="s">
        <v>88</v>
      </c>
      <c r="C17" s="47" t="s">
        <v>89</v>
      </c>
      <c r="D17" s="47" t="s">
        <v>64</v>
      </c>
    </row>
    <row r="18" spans="1:4" ht="26" x14ac:dyDescent="0.2">
      <c r="A18" s="46" t="s">
        <v>90</v>
      </c>
      <c r="B18" s="47" t="s">
        <v>91</v>
      </c>
      <c r="C18" s="47" t="s">
        <v>92</v>
      </c>
      <c r="D18" s="47" t="s">
        <v>68</v>
      </c>
    </row>
    <row r="19" spans="1:4" ht="26" x14ac:dyDescent="0.2">
      <c r="A19" s="46" t="s">
        <v>93</v>
      </c>
      <c r="B19" s="47" t="s">
        <v>94</v>
      </c>
      <c r="C19" s="47" t="s">
        <v>95</v>
      </c>
      <c r="D19" s="47" t="s">
        <v>64</v>
      </c>
    </row>
    <row r="20" spans="1:4" ht="26" x14ac:dyDescent="0.2">
      <c r="A20" s="46" t="s">
        <v>96</v>
      </c>
      <c r="B20" s="47" t="s">
        <v>97</v>
      </c>
      <c r="C20" s="47" t="s">
        <v>98</v>
      </c>
      <c r="D20" s="47" t="s">
        <v>68</v>
      </c>
    </row>
    <row r="21" spans="1:4" ht="26" x14ac:dyDescent="0.2">
      <c r="A21" s="46" t="s">
        <v>99</v>
      </c>
      <c r="B21" s="47" t="s">
        <v>100</v>
      </c>
      <c r="C21" s="47" t="s">
        <v>101</v>
      </c>
      <c r="D21" s="47" t="s">
        <v>64</v>
      </c>
    </row>
    <row r="22" spans="1:4" ht="26" x14ac:dyDescent="0.2">
      <c r="A22" s="46" t="s">
        <v>102</v>
      </c>
      <c r="B22" s="47" t="s">
        <v>103</v>
      </c>
      <c r="C22" s="47" t="s">
        <v>104</v>
      </c>
      <c r="D22" s="47" t="s">
        <v>68</v>
      </c>
    </row>
    <row r="23" spans="1:4" ht="26" x14ac:dyDescent="0.2">
      <c r="A23" s="46" t="s">
        <v>105</v>
      </c>
      <c r="B23" s="47" t="s">
        <v>106</v>
      </c>
      <c r="C23" s="47" t="s">
        <v>107</v>
      </c>
      <c r="D23" s="47" t="s">
        <v>64</v>
      </c>
    </row>
    <row r="24" spans="1:4" ht="26" x14ac:dyDescent="0.2">
      <c r="A24" s="46" t="s">
        <v>108</v>
      </c>
      <c r="B24" s="47" t="s">
        <v>109</v>
      </c>
      <c r="C24" s="47" t="s">
        <v>110</v>
      </c>
      <c r="D24" s="47" t="s">
        <v>68</v>
      </c>
    </row>
    <row r="25" spans="1:4" ht="26" x14ac:dyDescent="0.2">
      <c r="A25" s="46" t="s">
        <v>111</v>
      </c>
      <c r="B25" s="47" t="s">
        <v>112</v>
      </c>
      <c r="C25" s="47" t="s">
        <v>113</v>
      </c>
      <c r="D25" s="47" t="s">
        <v>64</v>
      </c>
    </row>
    <row r="26" spans="1:4" ht="26" x14ac:dyDescent="0.2">
      <c r="A26" s="46" t="s">
        <v>114</v>
      </c>
      <c r="B26" s="47" t="s">
        <v>115</v>
      </c>
      <c r="C26" s="47" t="s">
        <v>116</v>
      </c>
      <c r="D26" s="47" t="s">
        <v>68</v>
      </c>
    </row>
    <row r="27" spans="1:4" ht="26" x14ac:dyDescent="0.2">
      <c r="A27" s="46" t="s">
        <v>117</v>
      </c>
      <c r="B27" s="47" t="s">
        <v>118</v>
      </c>
      <c r="C27" s="47" t="s">
        <v>119</v>
      </c>
      <c r="D27" s="47" t="s">
        <v>64</v>
      </c>
    </row>
    <row r="28" spans="1:4" ht="26" x14ac:dyDescent="0.2">
      <c r="A28" s="46" t="s">
        <v>120</v>
      </c>
      <c r="B28" s="47" t="s">
        <v>121</v>
      </c>
      <c r="C28" s="47" t="s">
        <v>122</v>
      </c>
      <c r="D28" s="47" t="s">
        <v>68</v>
      </c>
    </row>
    <row r="29" spans="1:4" ht="26" x14ac:dyDescent="0.2">
      <c r="A29" s="46" t="s">
        <v>123</v>
      </c>
      <c r="B29" s="47" t="s">
        <v>124</v>
      </c>
      <c r="C29" s="47" t="s">
        <v>125</v>
      </c>
      <c r="D29" s="47" t="s">
        <v>64</v>
      </c>
    </row>
    <row r="30" spans="1:4" ht="26" x14ac:dyDescent="0.2">
      <c r="A30" s="46" t="s">
        <v>126</v>
      </c>
      <c r="B30" s="47" t="s">
        <v>127</v>
      </c>
      <c r="C30" s="47" t="s">
        <v>128</v>
      </c>
      <c r="D30" s="47" t="s">
        <v>68</v>
      </c>
    </row>
    <row r="31" spans="1:4" ht="26" x14ac:dyDescent="0.2">
      <c r="A31" s="46" t="s">
        <v>129</v>
      </c>
      <c r="B31" s="47" t="s">
        <v>130</v>
      </c>
      <c r="C31" s="47" t="s">
        <v>131</v>
      </c>
      <c r="D31" s="47" t="s">
        <v>64</v>
      </c>
    </row>
    <row r="32" spans="1:4" ht="26" x14ac:dyDescent="0.2">
      <c r="A32" s="46" t="s">
        <v>132</v>
      </c>
      <c r="B32" s="47" t="s">
        <v>133</v>
      </c>
      <c r="C32" s="47" t="s">
        <v>134</v>
      </c>
      <c r="D32" s="47" t="s">
        <v>68</v>
      </c>
    </row>
    <row r="33" spans="1:4" ht="26" x14ac:dyDescent="0.2">
      <c r="A33" s="46" t="s">
        <v>135</v>
      </c>
      <c r="B33" s="47" t="s">
        <v>136</v>
      </c>
      <c r="C33" s="47" t="s">
        <v>137</v>
      </c>
      <c r="D33" s="47" t="s">
        <v>64</v>
      </c>
    </row>
    <row r="34" spans="1:4" ht="26" x14ac:dyDescent="0.2">
      <c r="A34" s="46" t="s">
        <v>138</v>
      </c>
      <c r="B34" s="47" t="s">
        <v>139</v>
      </c>
      <c r="C34" s="47" t="s">
        <v>140</v>
      </c>
      <c r="D34" s="47" t="s">
        <v>68</v>
      </c>
    </row>
    <row r="35" spans="1:4" ht="26" x14ac:dyDescent="0.2">
      <c r="A35" s="46" t="s">
        <v>141</v>
      </c>
      <c r="B35" s="47" t="s">
        <v>142</v>
      </c>
      <c r="C35" s="47" t="s">
        <v>143</v>
      </c>
      <c r="D35" s="47" t="s">
        <v>64</v>
      </c>
    </row>
    <row r="36" spans="1:4" ht="26" x14ac:dyDescent="0.2">
      <c r="A36" s="46" t="s">
        <v>144</v>
      </c>
      <c r="B36" s="47" t="s">
        <v>145</v>
      </c>
      <c r="C36" s="47" t="s">
        <v>146</v>
      </c>
      <c r="D36" s="47" t="s">
        <v>68</v>
      </c>
    </row>
    <row r="37" spans="1:4" ht="26" x14ac:dyDescent="0.2">
      <c r="A37" s="46" t="s">
        <v>147</v>
      </c>
      <c r="B37" s="47" t="s">
        <v>148</v>
      </c>
      <c r="C37" s="47" t="s">
        <v>149</v>
      </c>
      <c r="D37" s="47" t="s">
        <v>64</v>
      </c>
    </row>
    <row r="38" spans="1:4" ht="26" x14ac:dyDescent="0.2">
      <c r="A38" s="46" t="s">
        <v>150</v>
      </c>
      <c r="B38" s="47" t="s">
        <v>151</v>
      </c>
      <c r="C38" s="47" t="s">
        <v>152</v>
      </c>
      <c r="D38" s="47" t="s">
        <v>68</v>
      </c>
    </row>
    <row r="39" spans="1:4" ht="26" x14ac:dyDescent="0.2">
      <c r="A39" s="46" t="s">
        <v>153</v>
      </c>
      <c r="B39" s="47" t="s">
        <v>154</v>
      </c>
      <c r="C39" s="47" t="s">
        <v>155</v>
      </c>
      <c r="D39" s="47" t="s">
        <v>64</v>
      </c>
    </row>
    <row r="40" spans="1:4" ht="26" x14ac:dyDescent="0.2">
      <c r="A40" s="46" t="s">
        <v>156</v>
      </c>
      <c r="B40" s="47" t="s">
        <v>157</v>
      </c>
      <c r="C40" s="47" t="s">
        <v>158</v>
      </c>
      <c r="D40" s="47" t="s">
        <v>68</v>
      </c>
    </row>
    <row r="41" spans="1:4" ht="26" x14ac:dyDescent="0.2">
      <c r="A41" s="46" t="s">
        <v>159</v>
      </c>
      <c r="B41" s="47" t="s">
        <v>160</v>
      </c>
      <c r="C41" s="47" t="s">
        <v>161</v>
      </c>
      <c r="D41" s="47" t="s">
        <v>64</v>
      </c>
    </row>
    <row r="42" spans="1:4" ht="26" x14ac:dyDescent="0.2">
      <c r="A42" s="46" t="s">
        <v>162</v>
      </c>
      <c r="B42" s="47" t="s">
        <v>163</v>
      </c>
      <c r="C42" s="47" t="s">
        <v>164</v>
      </c>
      <c r="D42" s="47" t="s">
        <v>68</v>
      </c>
    </row>
    <row r="43" spans="1:4" ht="26" x14ac:dyDescent="0.2">
      <c r="A43" s="46" t="s">
        <v>165</v>
      </c>
      <c r="B43" s="47" t="s">
        <v>166</v>
      </c>
      <c r="C43" s="47" t="s">
        <v>167</v>
      </c>
      <c r="D43" s="47" t="s">
        <v>64</v>
      </c>
    </row>
    <row r="44" spans="1:4" ht="26" x14ac:dyDescent="0.2">
      <c r="A44" s="46" t="s">
        <v>168</v>
      </c>
      <c r="B44" s="47" t="s">
        <v>169</v>
      </c>
      <c r="C44" s="47" t="s">
        <v>170</v>
      </c>
      <c r="D44" s="47" t="s">
        <v>68</v>
      </c>
    </row>
    <row r="45" spans="1:4" ht="26" x14ac:dyDescent="0.2">
      <c r="A45" s="46" t="s">
        <v>171</v>
      </c>
      <c r="B45" s="47" t="s">
        <v>172</v>
      </c>
      <c r="C45" s="47" t="s">
        <v>173</v>
      </c>
      <c r="D45" s="47" t="s">
        <v>64</v>
      </c>
    </row>
    <row r="46" spans="1:4" ht="26" x14ac:dyDescent="0.2">
      <c r="A46" s="46" t="s">
        <v>174</v>
      </c>
      <c r="B46" s="47" t="s">
        <v>175</v>
      </c>
      <c r="C46" s="47" t="s">
        <v>176</v>
      </c>
      <c r="D46" s="47" t="s">
        <v>68</v>
      </c>
    </row>
    <row r="47" spans="1:4" ht="26" x14ac:dyDescent="0.2">
      <c r="A47" s="46" t="s">
        <v>177</v>
      </c>
      <c r="B47" s="47" t="s">
        <v>178</v>
      </c>
      <c r="C47" s="47" t="s">
        <v>179</v>
      </c>
      <c r="D47" s="47" t="s">
        <v>64</v>
      </c>
    </row>
    <row r="48" spans="1:4" ht="26" x14ac:dyDescent="0.2">
      <c r="A48" s="46" t="s">
        <v>180</v>
      </c>
      <c r="B48" s="47" t="s">
        <v>181</v>
      </c>
      <c r="C48" s="47" t="s">
        <v>182</v>
      </c>
      <c r="D48" s="47" t="s">
        <v>68</v>
      </c>
    </row>
    <row r="49" spans="1:4" ht="26" x14ac:dyDescent="0.2">
      <c r="A49" s="46" t="s">
        <v>183</v>
      </c>
      <c r="B49" s="47" t="s">
        <v>184</v>
      </c>
      <c r="C49" s="47" t="s">
        <v>185</v>
      </c>
      <c r="D49" s="47" t="s">
        <v>64</v>
      </c>
    </row>
    <row r="50" spans="1:4" ht="26" x14ac:dyDescent="0.2">
      <c r="A50" s="46" t="s">
        <v>186</v>
      </c>
      <c r="B50" s="47" t="s">
        <v>187</v>
      </c>
      <c r="C50" s="47" t="s">
        <v>188</v>
      </c>
      <c r="D50" s="47" t="s">
        <v>68</v>
      </c>
    </row>
    <row r="51" spans="1:4" ht="26" x14ac:dyDescent="0.2">
      <c r="A51" s="46" t="s">
        <v>189</v>
      </c>
      <c r="B51" s="47" t="s">
        <v>190</v>
      </c>
      <c r="C51" s="47" t="s">
        <v>191</v>
      </c>
      <c r="D51" s="47" t="s">
        <v>64</v>
      </c>
    </row>
    <row r="52" spans="1:4" ht="26" x14ac:dyDescent="0.2">
      <c r="A52" s="46" t="s">
        <v>192</v>
      </c>
      <c r="B52" s="47" t="s">
        <v>193</v>
      </c>
      <c r="C52" s="47" t="s">
        <v>194</v>
      </c>
      <c r="D52" s="47" t="s">
        <v>68</v>
      </c>
    </row>
    <row r="53" spans="1:4" ht="26" x14ac:dyDescent="0.2">
      <c r="A53" s="46" t="s">
        <v>195</v>
      </c>
      <c r="B53" s="47" t="s">
        <v>196</v>
      </c>
      <c r="C53" s="47" t="s">
        <v>197</v>
      </c>
      <c r="D53" s="47" t="s">
        <v>64</v>
      </c>
    </row>
    <row r="54" spans="1:4" ht="26" x14ac:dyDescent="0.2">
      <c r="A54" s="46" t="s">
        <v>198</v>
      </c>
      <c r="B54" s="47" t="s">
        <v>199</v>
      </c>
      <c r="C54" s="47" t="s">
        <v>200</v>
      </c>
      <c r="D54" s="47" t="s">
        <v>68</v>
      </c>
    </row>
    <row r="55" spans="1:4" ht="26" x14ac:dyDescent="0.2">
      <c r="A55" s="46" t="s">
        <v>201</v>
      </c>
      <c r="B55" s="47" t="s">
        <v>202</v>
      </c>
      <c r="C55" s="47" t="s">
        <v>203</v>
      </c>
      <c r="D55" s="47" t="s">
        <v>64</v>
      </c>
    </row>
    <row r="56" spans="1:4" ht="26" x14ac:dyDescent="0.2">
      <c r="A56" s="46" t="s">
        <v>204</v>
      </c>
      <c r="B56" s="47" t="s">
        <v>205</v>
      </c>
      <c r="C56" s="47" t="s">
        <v>206</v>
      </c>
      <c r="D56" s="47" t="s">
        <v>68</v>
      </c>
    </row>
    <row r="57" spans="1:4" ht="26" x14ac:dyDescent="0.2">
      <c r="A57" s="46" t="s">
        <v>207</v>
      </c>
      <c r="B57" s="47" t="s">
        <v>208</v>
      </c>
      <c r="C57" s="47" t="s">
        <v>209</v>
      </c>
      <c r="D57" s="47" t="s">
        <v>64</v>
      </c>
    </row>
    <row r="58" spans="1:4" ht="26" x14ac:dyDescent="0.2">
      <c r="A58" s="46" t="s">
        <v>210</v>
      </c>
      <c r="B58" s="47" t="s">
        <v>211</v>
      </c>
      <c r="C58" s="47" t="s">
        <v>212</v>
      </c>
      <c r="D58" s="47" t="s">
        <v>68</v>
      </c>
    </row>
    <row r="59" spans="1:4" ht="26" x14ac:dyDescent="0.2">
      <c r="A59" s="46" t="s">
        <v>213</v>
      </c>
      <c r="B59" s="47" t="s">
        <v>214</v>
      </c>
      <c r="C59" s="47" t="s">
        <v>215</v>
      </c>
      <c r="D59" s="47" t="s">
        <v>64</v>
      </c>
    </row>
    <row r="60" spans="1:4" ht="26" x14ac:dyDescent="0.2">
      <c r="A60" s="46" t="s">
        <v>216</v>
      </c>
      <c r="B60" s="47" t="s">
        <v>217</v>
      </c>
      <c r="C60" s="47" t="s">
        <v>218</v>
      </c>
      <c r="D60" s="47" t="s">
        <v>68</v>
      </c>
    </row>
    <row r="61" spans="1:4" ht="26" x14ac:dyDescent="0.2">
      <c r="A61" s="46" t="s">
        <v>219</v>
      </c>
      <c r="B61" s="47" t="s">
        <v>220</v>
      </c>
      <c r="C61" s="47" t="s">
        <v>221</v>
      </c>
      <c r="D61" s="47" t="s">
        <v>64</v>
      </c>
    </row>
    <row r="62" spans="1:4" ht="26" x14ac:dyDescent="0.2">
      <c r="A62" s="46" t="s">
        <v>222</v>
      </c>
      <c r="B62" s="47" t="s">
        <v>223</v>
      </c>
      <c r="C62" s="47" t="s">
        <v>224</v>
      </c>
      <c r="D62" s="47" t="s">
        <v>68</v>
      </c>
    </row>
    <row r="63" spans="1:4" ht="26" x14ac:dyDescent="0.2">
      <c r="A63" s="46" t="s">
        <v>225</v>
      </c>
      <c r="B63" s="47" t="s">
        <v>226</v>
      </c>
      <c r="C63" s="47" t="s">
        <v>227</v>
      </c>
      <c r="D63" s="47" t="s">
        <v>64</v>
      </c>
    </row>
    <row r="64" spans="1:4" ht="26" x14ac:dyDescent="0.2">
      <c r="A64" s="46" t="s">
        <v>228</v>
      </c>
      <c r="B64" s="47" t="s">
        <v>229</v>
      </c>
      <c r="C64" s="47" t="s">
        <v>230</v>
      </c>
      <c r="D64" s="47" t="s">
        <v>68</v>
      </c>
    </row>
    <row r="65" spans="1:4" ht="26" x14ac:dyDescent="0.2">
      <c r="A65" s="46" t="s">
        <v>231</v>
      </c>
      <c r="B65" s="47" t="s">
        <v>232</v>
      </c>
      <c r="C65" s="47" t="s">
        <v>233</v>
      </c>
      <c r="D65" s="47" t="s">
        <v>64</v>
      </c>
    </row>
    <row r="66" spans="1:4" ht="26" x14ac:dyDescent="0.2">
      <c r="A66" s="46" t="s">
        <v>234</v>
      </c>
      <c r="B66" s="47" t="s">
        <v>235</v>
      </c>
      <c r="C66" s="47" t="s">
        <v>236</v>
      </c>
      <c r="D66" s="47" t="s">
        <v>68</v>
      </c>
    </row>
    <row r="67" spans="1:4" ht="26" x14ac:dyDescent="0.2">
      <c r="A67" s="46" t="s">
        <v>237</v>
      </c>
      <c r="B67" s="47" t="s">
        <v>238</v>
      </c>
      <c r="C67" s="47" t="s">
        <v>239</v>
      </c>
      <c r="D67" s="47" t="s">
        <v>64</v>
      </c>
    </row>
    <row r="68" spans="1:4" ht="26" x14ac:dyDescent="0.2">
      <c r="A68" s="46" t="s">
        <v>240</v>
      </c>
      <c r="B68" s="47" t="s">
        <v>241</v>
      </c>
      <c r="C68" s="47" t="s">
        <v>242</v>
      </c>
      <c r="D68" s="47" t="s">
        <v>68</v>
      </c>
    </row>
    <row r="69" spans="1:4" ht="26" x14ac:dyDescent="0.2">
      <c r="A69" s="46" t="s">
        <v>243</v>
      </c>
      <c r="B69" s="47" t="s">
        <v>244</v>
      </c>
      <c r="C69" s="47" t="s">
        <v>245</v>
      </c>
      <c r="D69" s="47" t="s">
        <v>64</v>
      </c>
    </row>
    <row r="70" spans="1:4" ht="26" x14ac:dyDescent="0.2">
      <c r="A70" s="46" t="s">
        <v>246</v>
      </c>
      <c r="B70" s="47" t="s">
        <v>247</v>
      </c>
      <c r="C70" s="47" t="s">
        <v>248</v>
      </c>
      <c r="D70" s="47" t="s">
        <v>68</v>
      </c>
    </row>
    <row r="71" spans="1:4" ht="26" x14ac:dyDescent="0.2">
      <c r="A71" s="46" t="s">
        <v>249</v>
      </c>
      <c r="B71" s="47" t="s">
        <v>250</v>
      </c>
      <c r="C71" s="47" t="s">
        <v>251</v>
      </c>
      <c r="D71" s="47" t="s">
        <v>64</v>
      </c>
    </row>
    <row r="72" spans="1:4" ht="26" x14ac:dyDescent="0.2">
      <c r="A72" s="46" t="s">
        <v>252</v>
      </c>
      <c r="B72" s="47" t="s">
        <v>253</v>
      </c>
      <c r="C72" s="47" t="s">
        <v>254</v>
      </c>
      <c r="D72" s="47" t="s">
        <v>68</v>
      </c>
    </row>
    <row r="73" spans="1:4" ht="26" x14ac:dyDescent="0.2">
      <c r="A73" s="46" t="s">
        <v>255</v>
      </c>
      <c r="B73" s="47" t="s">
        <v>256</v>
      </c>
      <c r="C73" s="47" t="s">
        <v>257</v>
      </c>
      <c r="D73" s="47" t="s">
        <v>64</v>
      </c>
    </row>
    <row r="74" spans="1:4" ht="26" x14ac:dyDescent="0.2">
      <c r="A74" s="46" t="s">
        <v>258</v>
      </c>
      <c r="B74" s="47" t="s">
        <v>259</v>
      </c>
      <c r="C74" s="47" t="s">
        <v>260</v>
      </c>
      <c r="D74" s="47" t="s">
        <v>68</v>
      </c>
    </row>
    <row r="75" spans="1:4" ht="39" x14ac:dyDescent="0.2">
      <c r="A75" s="46" t="s">
        <v>65</v>
      </c>
      <c r="B75" s="47" t="s">
        <v>67</v>
      </c>
      <c r="C75" s="47" t="s">
        <v>261</v>
      </c>
      <c r="D75" s="47" t="s">
        <v>262</v>
      </c>
    </row>
    <row r="76" spans="1:4" ht="39" x14ac:dyDescent="0.2">
      <c r="A76" s="46" t="s">
        <v>72</v>
      </c>
      <c r="B76" s="47" t="s">
        <v>74</v>
      </c>
      <c r="C76" s="47" t="s">
        <v>263</v>
      </c>
      <c r="D76" s="47" t="s">
        <v>262</v>
      </c>
    </row>
    <row r="77" spans="1:4" ht="39" x14ac:dyDescent="0.2">
      <c r="A77" s="46" t="s">
        <v>78</v>
      </c>
      <c r="B77" s="47" t="s">
        <v>80</v>
      </c>
      <c r="C77" s="47" t="s">
        <v>264</v>
      </c>
      <c r="D77" s="47" t="s">
        <v>262</v>
      </c>
    </row>
    <row r="78" spans="1:4" ht="39" x14ac:dyDescent="0.2">
      <c r="A78" s="46" t="s">
        <v>84</v>
      </c>
      <c r="B78" s="47" t="s">
        <v>86</v>
      </c>
      <c r="C78" s="47" t="s">
        <v>265</v>
      </c>
      <c r="D78" s="47" t="s">
        <v>262</v>
      </c>
    </row>
    <row r="79" spans="1:4" ht="39" x14ac:dyDescent="0.2">
      <c r="A79" s="46" t="s">
        <v>90</v>
      </c>
      <c r="B79" s="47" t="s">
        <v>92</v>
      </c>
      <c r="C79" s="47" t="s">
        <v>266</v>
      </c>
      <c r="D79" s="47" t="s">
        <v>262</v>
      </c>
    </row>
    <row r="80" spans="1:4" ht="39" x14ac:dyDescent="0.2">
      <c r="A80" s="46" t="s">
        <v>96</v>
      </c>
      <c r="B80" s="47" t="s">
        <v>98</v>
      </c>
      <c r="C80" s="47" t="s">
        <v>267</v>
      </c>
      <c r="D80" s="47" t="s">
        <v>262</v>
      </c>
    </row>
    <row r="81" spans="1:4" ht="39" x14ac:dyDescent="0.2">
      <c r="A81" s="46" t="s">
        <v>102</v>
      </c>
      <c r="B81" s="47" t="s">
        <v>104</v>
      </c>
      <c r="C81" s="47" t="s">
        <v>268</v>
      </c>
      <c r="D81" s="47" t="s">
        <v>262</v>
      </c>
    </row>
    <row r="82" spans="1:4" ht="39" x14ac:dyDescent="0.2">
      <c r="A82" s="46" t="s">
        <v>108</v>
      </c>
      <c r="B82" s="47" t="s">
        <v>110</v>
      </c>
      <c r="C82" s="47" t="s">
        <v>269</v>
      </c>
      <c r="D82" s="47" t="s">
        <v>262</v>
      </c>
    </row>
    <row r="83" spans="1:4" ht="39" x14ac:dyDescent="0.2">
      <c r="A83" s="46" t="s">
        <v>114</v>
      </c>
      <c r="B83" s="47" t="s">
        <v>116</v>
      </c>
      <c r="C83" s="47" t="s">
        <v>270</v>
      </c>
      <c r="D83" s="47" t="s">
        <v>262</v>
      </c>
    </row>
    <row r="84" spans="1:4" ht="39" x14ac:dyDescent="0.2">
      <c r="A84" s="46" t="s">
        <v>120</v>
      </c>
      <c r="B84" s="47" t="s">
        <v>122</v>
      </c>
      <c r="C84" s="47" t="s">
        <v>271</v>
      </c>
      <c r="D84" s="47" t="s">
        <v>262</v>
      </c>
    </row>
    <row r="85" spans="1:4" ht="39" x14ac:dyDescent="0.2">
      <c r="A85" s="46" t="s">
        <v>126</v>
      </c>
      <c r="B85" s="47" t="s">
        <v>128</v>
      </c>
      <c r="C85" s="47" t="s">
        <v>272</v>
      </c>
      <c r="D85" s="47" t="s">
        <v>262</v>
      </c>
    </row>
    <row r="86" spans="1:4" ht="39" x14ac:dyDescent="0.2">
      <c r="A86" s="46" t="s">
        <v>132</v>
      </c>
      <c r="B86" s="47" t="s">
        <v>134</v>
      </c>
      <c r="C86" s="47" t="s">
        <v>273</v>
      </c>
      <c r="D86" s="47" t="s">
        <v>262</v>
      </c>
    </row>
    <row r="87" spans="1:4" ht="39" x14ac:dyDescent="0.2">
      <c r="A87" s="46" t="s">
        <v>138</v>
      </c>
      <c r="B87" s="47" t="s">
        <v>140</v>
      </c>
      <c r="C87" s="47" t="s">
        <v>274</v>
      </c>
      <c r="D87" s="47" t="s">
        <v>262</v>
      </c>
    </row>
    <row r="88" spans="1:4" ht="39" x14ac:dyDescent="0.2">
      <c r="A88" s="46" t="s">
        <v>144</v>
      </c>
      <c r="B88" s="47" t="s">
        <v>146</v>
      </c>
      <c r="C88" s="47" t="s">
        <v>275</v>
      </c>
      <c r="D88" s="47" t="s">
        <v>262</v>
      </c>
    </row>
    <row r="89" spans="1:4" ht="39" x14ac:dyDescent="0.2">
      <c r="A89" s="46" t="s">
        <v>150</v>
      </c>
      <c r="B89" s="47" t="s">
        <v>152</v>
      </c>
      <c r="C89" s="47" t="s">
        <v>276</v>
      </c>
      <c r="D89" s="47" t="s">
        <v>262</v>
      </c>
    </row>
    <row r="90" spans="1:4" ht="39" x14ac:dyDescent="0.2">
      <c r="A90" s="46" t="s">
        <v>156</v>
      </c>
      <c r="B90" s="47" t="s">
        <v>158</v>
      </c>
      <c r="C90" s="47" t="s">
        <v>277</v>
      </c>
      <c r="D90" s="47" t="s">
        <v>262</v>
      </c>
    </row>
    <row r="91" spans="1:4" ht="39" x14ac:dyDescent="0.2">
      <c r="A91" s="46" t="s">
        <v>162</v>
      </c>
      <c r="B91" s="47" t="s">
        <v>164</v>
      </c>
      <c r="C91" s="47" t="s">
        <v>278</v>
      </c>
      <c r="D91" s="47" t="s">
        <v>262</v>
      </c>
    </row>
    <row r="92" spans="1:4" ht="39" x14ac:dyDescent="0.2">
      <c r="A92" s="46" t="s">
        <v>168</v>
      </c>
      <c r="B92" s="47" t="s">
        <v>170</v>
      </c>
      <c r="C92" s="47" t="s">
        <v>279</v>
      </c>
      <c r="D92" s="47" t="s">
        <v>262</v>
      </c>
    </row>
    <row r="93" spans="1:4" ht="39" x14ac:dyDescent="0.2">
      <c r="A93" s="46" t="s">
        <v>174</v>
      </c>
      <c r="B93" s="47" t="s">
        <v>176</v>
      </c>
      <c r="C93" s="47" t="s">
        <v>280</v>
      </c>
      <c r="D93" s="47" t="s">
        <v>262</v>
      </c>
    </row>
    <row r="94" spans="1:4" ht="39" x14ac:dyDescent="0.2">
      <c r="A94" s="46" t="s">
        <v>180</v>
      </c>
      <c r="B94" s="47" t="s">
        <v>182</v>
      </c>
      <c r="C94" s="47" t="s">
        <v>281</v>
      </c>
      <c r="D94" s="47" t="s">
        <v>262</v>
      </c>
    </row>
    <row r="95" spans="1:4" ht="39" x14ac:dyDescent="0.2">
      <c r="A95" s="46" t="s">
        <v>186</v>
      </c>
      <c r="B95" s="47" t="s">
        <v>188</v>
      </c>
      <c r="C95" s="47" t="s">
        <v>282</v>
      </c>
      <c r="D95" s="47" t="s">
        <v>262</v>
      </c>
    </row>
    <row r="96" spans="1:4" ht="39" x14ac:dyDescent="0.2">
      <c r="A96" s="46" t="s">
        <v>192</v>
      </c>
      <c r="B96" s="47" t="s">
        <v>194</v>
      </c>
      <c r="C96" s="47" t="s">
        <v>283</v>
      </c>
      <c r="D96" s="47" t="s">
        <v>262</v>
      </c>
    </row>
    <row r="97" spans="1:4" ht="39" x14ac:dyDescent="0.2">
      <c r="A97" s="46" t="s">
        <v>198</v>
      </c>
      <c r="B97" s="47" t="s">
        <v>200</v>
      </c>
      <c r="C97" s="47" t="s">
        <v>284</v>
      </c>
      <c r="D97" s="47" t="s">
        <v>262</v>
      </c>
    </row>
    <row r="98" spans="1:4" ht="39" x14ac:dyDescent="0.2">
      <c r="A98" s="46" t="s">
        <v>204</v>
      </c>
      <c r="B98" s="47" t="s">
        <v>206</v>
      </c>
      <c r="C98" s="47" t="s">
        <v>285</v>
      </c>
      <c r="D98" s="47" t="s">
        <v>262</v>
      </c>
    </row>
    <row r="99" spans="1:4" ht="39" x14ac:dyDescent="0.2">
      <c r="A99" s="46" t="s">
        <v>210</v>
      </c>
      <c r="B99" s="47" t="s">
        <v>212</v>
      </c>
      <c r="C99" s="47" t="s">
        <v>286</v>
      </c>
      <c r="D99" s="47" t="s">
        <v>262</v>
      </c>
    </row>
    <row r="100" spans="1:4" ht="39" x14ac:dyDescent="0.2">
      <c r="A100" s="46" t="s">
        <v>216</v>
      </c>
      <c r="B100" s="47" t="s">
        <v>218</v>
      </c>
      <c r="C100" s="47" t="s">
        <v>287</v>
      </c>
      <c r="D100" s="47" t="s">
        <v>262</v>
      </c>
    </row>
    <row r="101" spans="1:4" ht="39" x14ac:dyDescent="0.2">
      <c r="A101" s="46" t="s">
        <v>222</v>
      </c>
      <c r="B101" s="47" t="s">
        <v>224</v>
      </c>
      <c r="C101" s="47" t="s">
        <v>288</v>
      </c>
      <c r="D101" s="47" t="s">
        <v>262</v>
      </c>
    </row>
    <row r="102" spans="1:4" ht="39" x14ac:dyDescent="0.2">
      <c r="A102" s="46" t="s">
        <v>228</v>
      </c>
      <c r="B102" s="47" t="s">
        <v>230</v>
      </c>
      <c r="C102" s="47" t="s">
        <v>289</v>
      </c>
      <c r="D102" s="47" t="s">
        <v>262</v>
      </c>
    </row>
    <row r="103" spans="1:4" ht="39" x14ac:dyDescent="0.2">
      <c r="A103" s="46" t="s">
        <v>234</v>
      </c>
      <c r="B103" s="47" t="s">
        <v>236</v>
      </c>
      <c r="C103" s="47" t="s">
        <v>290</v>
      </c>
      <c r="D103" s="47" t="s">
        <v>262</v>
      </c>
    </row>
    <row r="104" spans="1:4" ht="39" x14ac:dyDescent="0.2">
      <c r="A104" s="46" t="s">
        <v>240</v>
      </c>
      <c r="B104" s="47" t="s">
        <v>242</v>
      </c>
      <c r="C104" s="47" t="s">
        <v>291</v>
      </c>
      <c r="D104" s="47" t="s">
        <v>262</v>
      </c>
    </row>
    <row r="105" spans="1:4" ht="39" x14ac:dyDescent="0.2">
      <c r="A105" s="46" t="s">
        <v>246</v>
      </c>
      <c r="B105" s="47" t="s">
        <v>248</v>
      </c>
      <c r="C105" s="47" t="s">
        <v>292</v>
      </c>
      <c r="D105" s="47" t="s">
        <v>262</v>
      </c>
    </row>
    <row r="106" spans="1:4" ht="39" x14ac:dyDescent="0.2">
      <c r="A106" s="46" t="s">
        <v>252</v>
      </c>
      <c r="B106" s="47" t="s">
        <v>254</v>
      </c>
      <c r="C106" s="47" t="s">
        <v>293</v>
      </c>
      <c r="D106" s="47" t="s">
        <v>262</v>
      </c>
    </row>
    <row r="107" spans="1:4" ht="39" x14ac:dyDescent="0.2">
      <c r="A107" s="46" t="s">
        <v>258</v>
      </c>
      <c r="B107" s="47" t="s">
        <v>260</v>
      </c>
      <c r="C107" s="47" t="s">
        <v>294</v>
      </c>
      <c r="D107" s="47" t="s">
        <v>262</v>
      </c>
    </row>
    <row r="108" spans="1:4" x14ac:dyDescent="0.2">
      <c r="A108" s="46" t="s">
        <v>295</v>
      </c>
      <c r="B108" s="47" t="s">
        <v>296</v>
      </c>
      <c r="C108" s="47" t="s">
        <v>17</v>
      </c>
      <c r="D108" s="47" t="s">
        <v>297</v>
      </c>
    </row>
    <row r="109" spans="1:4" ht="26" x14ac:dyDescent="0.2">
      <c r="A109" s="46" t="s">
        <v>298</v>
      </c>
      <c r="B109" s="47" t="s">
        <v>299</v>
      </c>
      <c r="C109" s="47" t="s">
        <v>300</v>
      </c>
      <c r="D109" s="47" t="s">
        <v>301</v>
      </c>
    </row>
    <row r="110" spans="1:4" ht="26" x14ac:dyDescent="0.2">
      <c r="A110" s="46" t="s">
        <v>302</v>
      </c>
      <c r="B110" s="47" t="s">
        <v>303</v>
      </c>
      <c r="C110" s="47" t="s">
        <v>304</v>
      </c>
      <c r="D110" s="47" t="s">
        <v>301</v>
      </c>
    </row>
    <row r="111" spans="1:4" ht="26" x14ac:dyDescent="0.2">
      <c r="A111" s="46" t="s">
        <v>305</v>
      </c>
      <c r="B111" s="47" t="s">
        <v>306</v>
      </c>
      <c r="C111" s="47" t="s">
        <v>307</v>
      </c>
      <c r="D111" s="47" t="s">
        <v>301</v>
      </c>
    </row>
    <row r="112" spans="1:4" ht="26" x14ac:dyDescent="0.2">
      <c r="A112" s="46" t="s">
        <v>308</v>
      </c>
      <c r="B112" s="47" t="s">
        <v>309</v>
      </c>
      <c r="C112" s="47" t="s">
        <v>310</v>
      </c>
      <c r="D112" s="47" t="s">
        <v>301</v>
      </c>
    </row>
    <row r="113" spans="1:4" ht="26" x14ac:dyDescent="0.2">
      <c r="A113" s="46" t="s">
        <v>311</v>
      </c>
      <c r="B113" s="47" t="s">
        <v>312</v>
      </c>
      <c r="C113" s="47" t="s">
        <v>313</v>
      </c>
      <c r="D113" s="47" t="s">
        <v>301</v>
      </c>
    </row>
    <row r="114" spans="1:4" ht="26" x14ac:dyDescent="0.2">
      <c r="A114" s="46" t="s">
        <v>314</v>
      </c>
      <c r="B114" s="47" t="s">
        <v>315</v>
      </c>
      <c r="C114" s="47" t="s">
        <v>316</v>
      </c>
      <c r="D114" s="47" t="s">
        <v>301</v>
      </c>
    </row>
    <row r="115" spans="1:4" ht="26" x14ac:dyDescent="0.2">
      <c r="A115" s="46" t="s">
        <v>317</v>
      </c>
      <c r="B115" s="47" t="s">
        <v>318</v>
      </c>
      <c r="C115" s="47" t="s">
        <v>319</v>
      </c>
      <c r="D115" s="47" t="s">
        <v>301</v>
      </c>
    </row>
    <row r="116" spans="1:4" ht="26" x14ac:dyDescent="0.2">
      <c r="A116" s="46" t="s">
        <v>320</v>
      </c>
      <c r="B116" s="47" t="s">
        <v>321</v>
      </c>
      <c r="C116" s="47" t="s">
        <v>322</v>
      </c>
      <c r="D116" s="47" t="s">
        <v>301</v>
      </c>
    </row>
    <row r="117" spans="1:4" ht="26" x14ac:dyDescent="0.2">
      <c r="A117" s="46" t="s">
        <v>323</v>
      </c>
      <c r="B117" s="47" t="s">
        <v>324</v>
      </c>
      <c r="C117" s="47" t="s">
        <v>325</v>
      </c>
      <c r="D117" s="47" t="s">
        <v>301</v>
      </c>
    </row>
    <row r="118" spans="1:4" ht="26" x14ac:dyDescent="0.2">
      <c r="A118" s="46" t="s">
        <v>326</v>
      </c>
      <c r="B118" s="47" t="s">
        <v>327</v>
      </c>
      <c r="C118" s="47" t="s">
        <v>328</v>
      </c>
      <c r="D118" s="47" t="s">
        <v>301</v>
      </c>
    </row>
    <row r="119" spans="1:4" ht="26" x14ac:dyDescent="0.2">
      <c r="A119" s="46" t="s">
        <v>329</v>
      </c>
      <c r="B119" s="47" t="s">
        <v>330</v>
      </c>
      <c r="C119" s="47" t="s">
        <v>331</v>
      </c>
      <c r="D119" s="47" t="s">
        <v>301</v>
      </c>
    </row>
    <row r="120" spans="1:4" ht="26" x14ac:dyDescent="0.2">
      <c r="A120" s="46" t="s">
        <v>332</v>
      </c>
      <c r="B120" s="47" t="s">
        <v>333</v>
      </c>
      <c r="C120" s="47" t="s">
        <v>334</v>
      </c>
      <c r="D120" s="47" t="s">
        <v>301</v>
      </c>
    </row>
    <row r="121" spans="1:4" ht="26" x14ac:dyDescent="0.2">
      <c r="A121" s="46" t="s">
        <v>335</v>
      </c>
      <c r="B121" s="47" t="s">
        <v>336</v>
      </c>
      <c r="C121" s="47" t="s">
        <v>337</v>
      </c>
      <c r="D121" s="47" t="s">
        <v>301</v>
      </c>
    </row>
    <row r="122" spans="1:4" ht="26" x14ac:dyDescent="0.2">
      <c r="A122" s="46" t="s">
        <v>338</v>
      </c>
      <c r="B122" s="47" t="s">
        <v>339</v>
      </c>
      <c r="C122" s="47" t="s">
        <v>340</v>
      </c>
      <c r="D122" s="47" t="s">
        <v>301</v>
      </c>
    </row>
    <row r="123" spans="1:4" ht="26" x14ac:dyDescent="0.2">
      <c r="A123" s="46" t="s">
        <v>341</v>
      </c>
      <c r="B123" s="47" t="s">
        <v>342</v>
      </c>
      <c r="C123" s="47" t="s">
        <v>343</v>
      </c>
      <c r="D123" s="47" t="s">
        <v>301</v>
      </c>
    </row>
    <row r="124" spans="1:4" ht="26" x14ac:dyDescent="0.2">
      <c r="A124" s="46" t="s">
        <v>344</v>
      </c>
      <c r="B124" s="47" t="s">
        <v>345</v>
      </c>
      <c r="C124" s="47" t="s">
        <v>346</v>
      </c>
      <c r="D124" s="47" t="s">
        <v>301</v>
      </c>
    </row>
    <row r="125" spans="1:4" ht="26" x14ac:dyDescent="0.2">
      <c r="A125" s="46" t="s">
        <v>347</v>
      </c>
      <c r="B125" s="47" t="s">
        <v>348</v>
      </c>
      <c r="C125" s="47" t="s">
        <v>349</v>
      </c>
      <c r="D125" s="47" t="s">
        <v>301</v>
      </c>
    </row>
    <row r="126" spans="1:4" ht="26" x14ac:dyDescent="0.2">
      <c r="A126" s="46" t="s">
        <v>350</v>
      </c>
      <c r="B126" s="47" t="s">
        <v>351</v>
      </c>
      <c r="C126" s="47" t="s">
        <v>352</v>
      </c>
      <c r="D126" s="47" t="s">
        <v>301</v>
      </c>
    </row>
    <row r="127" spans="1:4" ht="26" x14ac:dyDescent="0.2">
      <c r="A127" s="46" t="s">
        <v>353</v>
      </c>
      <c r="B127" s="47" t="s">
        <v>354</v>
      </c>
      <c r="C127" s="47" t="s">
        <v>355</v>
      </c>
      <c r="D127" s="47" t="s">
        <v>301</v>
      </c>
    </row>
    <row r="128" spans="1:4" ht="26" x14ac:dyDescent="0.2">
      <c r="A128" s="46" t="s">
        <v>356</v>
      </c>
      <c r="B128" s="47" t="s">
        <v>357</v>
      </c>
      <c r="C128" s="47" t="s">
        <v>358</v>
      </c>
      <c r="D128" s="47" t="s">
        <v>301</v>
      </c>
    </row>
    <row r="129" spans="1:4" ht="26" x14ac:dyDescent="0.2">
      <c r="A129" s="46" t="s">
        <v>359</v>
      </c>
      <c r="B129" s="47" t="s">
        <v>360</v>
      </c>
      <c r="C129" s="47" t="s">
        <v>361</v>
      </c>
      <c r="D129" s="47" t="s">
        <v>301</v>
      </c>
    </row>
    <row r="130" spans="1:4" ht="26" x14ac:dyDescent="0.2">
      <c r="A130" s="46" t="s">
        <v>362</v>
      </c>
      <c r="B130" s="47" t="s">
        <v>363</v>
      </c>
      <c r="C130" s="47" t="s">
        <v>364</v>
      </c>
      <c r="D130" s="47" t="s">
        <v>301</v>
      </c>
    </row>
    <row r="131" spans="1:4" x14ac:dyDescent="0.2">
      <c r="A131" s="46" t="s">
        <v>365</v>
      </c>
      <c r="B131" s="47" t="s">
        <v>366</v>
      </c>
      <c r="C131" s="47" t="s">
        <v>367</v>
      </c>
      <c r="D131" s="47" t="s">
        <v>368</v>
      </c>
    </row>
    <row r="132" spans="1:4" x14ac:dyDescent="0.2">
      <c r="A132" s="46" t="s">
        <v>369</v>
      </c>
      <c r="B132" s="47" t="s">
        <v>370</v>
      </c>
      <c r="C132" s="47" t="s">
        <v>367</v>
      </c>
      <c r="D132" s="47" t="s">
        <v>368</v>
      </c>
    </row>
    <row r="133" spans="1:4" ht="26" x14ac:dyDescent="0.2">
      <c r="A133" s="46" t="s">
        <v>371</v>
      </c>
      <c r="B133" s="47" t="s">
        <v>372</v>
      </c>
      <c r="C133" s="47" t="s">
        <v>373</v>
      </c>
      <c r="D133" s="47" t="s">
        <v>301</v>
      </c>
    </row>
    <row r="134" spans="1:4" ht="26" x14ac:dyDescent="0.2">
      <c r="A134" s="46" t="s">
        <v>374</v>
      </c>
      <c r="B134" s="47" t="s">
        <v>375</v>
      </c>
      <c r="C134" s="47" t="s">
        <v>376</v>
      </c>
      <c r="D134" s="47" t="s">
        <v>301</v>
      </c>
    </row>
    <row r="135" spans="1:4" ht="26" x14ac:dyDescent="0.2">
      <c r="A135" s="46" t="s">
        <v>377</v>
      </c>
      <c r="B135" s="47" t="s">
        <v>378</v>
      </c>
      <c r="C135" s="47" t="s">
        <v>379</v>
      </c>
      <c r="D135" s="47" t="s">
        <v>301</v>
      </c>
    </row>
    <row r="136" spans="1:4" ht="26" x14ac:dyDescent="0.2">
      <c r="A136" s="46" t="s">
        <v>380</v>
      </c>
      <c r="B136" s="47" t="s">
        <v>381</v>
      </c>
      <c r="C136" s="47" t="s">
        <v>382</v>
      </c>
      <c r="D136" s="47" t="s">
        <v>301</v>
      </c>
    </row>
    <row r="137" spans="1:4" ht="26" x14ac:dyDescent="0.2">
      <c r="A137" s="46" t="s">
        <v>383</v>
      </c>
      <c r="B137" s="47" t="s">
        <v>384</v>
      </c>
      <c r="C137" s="47" t="s">
        <v>385</v>
      </c>
      <c r="D137" s="47" t="s">
        <v>301</v>
      </c>
    </row>
    <row r="138" spans="1:4" ht="26" x14ac:dyDescent="0.2">
      <c r="A138" s="46" t="s">
        <v>386</v>
      </c>
      <c r="B138" s="47" t="s">
        <v>387</v>
      </c>
      <c r="C138" s="47" t="s">
        <v>388</v>
      </c>
      <c r="D138" s="47" t="s">
        <v>301</v>
      </c>
    </row>
    <row r="139" spans="1:4" ht="26" x14ac:dyDescent="0.2">
      <c r="A139" s="46" t="s">
        <v>389</v>
      </c>
      <c r="B139" s="47" t="s">
        <v>390</v>
      </c>
      <c r="C139" s="47" t="s">
        <v>391</v>
      </c>
      <c r="D139" s="47" t="s">
        <v>301</v>
      </c>
    </row>
    <row r="140" spans="1:4" ht="26" x14ac:dyDescent="0.2">
      <c r="A140" s="46" t="s">
        <v>392</v>
      </c>
      <c r="B140" s="47" t="s">
        <v>393</v>
      </c>
      <c r="C140" s="47" t="s">
        <v>394</v>
      </c>
      <c r="D140" s="47" t="s">
        <v>301</v>
      </c>
    </row>
    <row r="141" spans="1:4" ht="26" x14ac:dyDescent="0.2">
      <c r="A141" s="46" t="s">
        <v>395</v>
      </c>
      <c r="B141" s="47" t="s">
        <v>396</v>
      </c>
      <c r="C141" s="47" t="s">
        <v>397</v>
      </c>
      <c r="D141" s="47" t="s">
        <v>301</v>
      </c>
    </row>
    <row r="142" spans="1:4" ht="26" x14ac:dyDescent="0.2">
      <c r="A142" s="46" t="s">
        <v>398</v>
      </c>
      <c r="B142" s="47" t="s">
        <v>399</v>
      </c>
      <c r="C142" s="47" t="s">
        <v>400</v>
      </c>
      <c r="D142" s="47" t="s">
        <v>301</v>
      </c>
    </row>
    <row r="143" spans="1:4" x14ac:dyDescent="0.2">
      <c r="A143" s="46" t="s">
        <v>401</v>
      </c>
      <c r="B143" s="47" t="s">
        <v>402</v>
      </c>
      <c r="C143" s="47" t="s">
        <v>367</v>
      </c>
      <c r="D143" s="47" t="s">
        <v>368</v>
      </c>
    </row>
    <row r="144" spans="1:4" x14ac:dyDescent="0.2">
      <c r="A144" s="46" t="s">
        <v>403</v>
      </c>
      <c r="B144" s="47" t="s">
        <v>404</v>
      </c>
      <c r="C144" s="47" t="s">
        <v>367</v>
      </c>
      <c r="D144" s="47" t="s">
        <v>368</v>
      </c>
    </row>
    <row r="145" spans="1:4" ht="26" x14ac:dyDescent="0.2">
      <c r="A145" s="46" t="s">
        <v>405</v>
      </c>
      <c r="B145" s="47" t="s">
        <v>406</v>
      </c>
      <c r="C145" s="47" t="s">
        <v>407</v>
      </c>
      <c r="D145" s="47" t="s">
        <v>301</v>
      </c>
    </row>
    <row r="146" spans="1:4" ht="26" x14ac:dyDescent="0.2">
      <c r="A146" s="46" t="s">
        <v>408</v>
      </c>
      <c r="B146" s="47" t="s">
        <v>409</v>
      </c>
      <c r="C146" s="47" t="s">
        <v>410</v>
      </c>
      <c r="D146" s="47" t="s">
        <v>301</v>
      </c>
    </row>
    <row r="147" spans="1:4" ht="26" x14ac:dyDescent="0.2">
      <c r="A147" s="46" t="s">
        <v>411</v>
      </c>
      <c r="B147" s="47" t="s">
        <v>412</v>
      </c>
      <c r="C147" s="47" t="s">
        <v>413</v>
      </c>
      <c r="D147" s="47" t="s">
        <v>301</v>
      </c>
    </row>
    <row r="148" spans="1:4" ht="26" x14ac:dyDescent="0.2">
      <c r="A148" s="46" t="s">
        <v>414</v>
      </c>
      <c r="B148" s="47" t="s">
        <v>415</v>
      </c>
      <c r="C148" s="47" t="s">
        <v>416</v>
      </c>
      <c r="D148" s="47" t="s">
        <v>301</v>
      </c>
    </row>
    <row r="149" spans="1:4" ht="26" x14ac:dyDescent="0.2">
      <c r="A149" s="46" t="s">
        <v>417</v>
      </c>
      <c r="B149" s="47" t="s">
        <v>418</v>
      </c>
      <c r="C149" s="47" t="s">
        <v>419</v>
      </c>
      <c r="D149" s="47" t="s">
        <v>301</v>
      </c>
    </row>
    <row r="150" spans="1:4" ht="26" x14ac:dyDescent="0.2">
      <c r="A150" s="46" t="s">
        <v>420</v>
      </c>
      <c r="B150" s="47" t="s">
        <v>421</v>
      </c>
      <c r="C150" s="47" t="s">
        <v>422</v>
      </c>
      <c r="D150" s="47" t="s">
        <v>301</v>
      </c>
    </row>
    <row r="151" spans="1:4" ht="26" x14ac:dyDescent="0.2">
      <c r="A151" s="46" t="s">
        <v>423</v>
      </c>
      <c r="B151" s="47" t="s">
        <v>424</v>
      </c>
      <c r="C151" s="47" t="s">
        <v>425</v>
      </c>
      <c r="D151" s="47" t="s">
        <v>301</v>
      </c>
    </row>
    <row r="152" spans="1:4" ht="26" x14ac:dyDescent="0.2">
      <c r="A152" s="46" t="s">
        <v>426</v>
      </c>
      <c r="B152" s="47" t="s">
        <v>427</v>
      </c>
      <c r="C152" s="47" t="s">
        <v>428</v>
      </c>
      <c r="D152" s="47" t="s">
        <v>301</v>
      </c>
    </row>
    <row r="153" spans="1:4" ht="26" x14ac:dyDescent="0.2">
      <c r="A153" s="46" t="s">
        <v>429</v>
      </c>
      <c r="B153" s="47" t="s">
        <v>430</v>
      </c>
      <c r="C153" s="47" t="s">
        <v>431</v>
      </c>
      <c r="D153" s="47" t="s">
        <v>301</v>
      </c>
    </row>
    <row r="154" spans="1:4" ht="26" x14ac:dyDescent="0.2">
      <c r="A154" s="46" t="s">
        <v>432</v>
      </c>
      <c r="B154" s="47" t="s">
        <v>433</v>
      </c>
      <c r="C154" s="47" t="s">
        <v>434</v>
      </c>
      <c r="D154" s="47" t="s">
        <v>301</v>
      </c>
    </row>
    <row r="155" spans="1:4" ht="26" x14ac:dyDescent="0.2">
      <c r="A155" s="46" t="s">
        <v>435</v>
      </c>
      <c r="B155" s="47" t="s">
        <v>436</v>
      </c>
      <c r="C155" s="47" t="s">
        <v>437</v>
      </c>
      <c r="D155" s="47" t="s">
        <v>301</v>
      </c>
    </row>
    <row r="156" spans="1:4" ht="26" x14ac:dyDescent="0.2">
      <c r="A156" s="46" t="s">
        <v>438</v>
      </c>
      <c r="B156" s="47" t="s">
        <v>439</v>
      </c>
      <c r="C156" s="47" t="s">
        <v>440</v>
      </c>
      <c r="D156" s="47" t="s">
        <v>301</v>
      </c>
    </row>
    <row r="157" spans="1:4" ht="26" x14ac:dyDescent="0.2">
      <c r="A157" s="46" t="s">
        <v>441</v>
      </c>
      <c r="B157" s="47" t="s">
        <v>442</v>
      </c>
      <c r="C157" s="47" t="s">
        <v>443</v>
      </c>
      <c r="D157" s="47" t="s">
        <v>301</v>
      </c>
    </row>
    <row r="158" spans="1:4" ht="26" x14ac:dyDescent="0.2">
      <c r="A158" s="46" t="s">
        <v>444</v>
      </c>
      <c r="B158" s="47" t="s">
        <v>445</v>
      </c>
      <c r="C158" s="47" t="s">
        <v>446</v>
      </c>
      <c r="D158" s="47" t="s">
        <v>301</v>
      </c>
    </row>
    <row r="159" spans="1:4" ht="26" x14ac:dyDescent="0.2">
      <c r="A159" s="46" t="s">
        <v>447</v>
      </c>
      <c r="B159" s="47" t="s">
        <v>448</v>
      </c>
      <c r="C159" s="47" t="s">
        <v>449</v>
      </c>
      <c r="D159" s="47" t="s">
        <v>301</v>
      </c>
    </row>
    <row r="160" spans="1:4" ht="26" x14ac:dyDescent="0.2">
      <c r="A160" s="46" t="s">
        <v>450</v>
      </c>
      <c r="B160" s="47" t="s">
        <v>451</v>
      </c>
      <c r="C160" s="47" t="s">
        <v>452</v>
      </c>
      <c r="D160" s="47" t="s">
        <v>301</v>
      </c>
    </row>
    <row r="161" spans="1:4" ht="26" x14ac:dyDescent="0.2">
      <c r="A161" s="46" t="s">
        <v>453</v>
      </c>
      <c r="B161" s="47" t="s">
        <v>454</v>
      </c>
      <c r="C161" s="47" t="s">
        <v>455</v>
      </c>
      <c r="D161" s="47" t="s">
        <v>301</v>
      </c>
    </row>
    <row r="162" spans="1:4" ht="26" x14ac:dyDescent="0.2">
      <c r="A162" s="46" t="s">
        <v>456</v>
      </c>
      <c r="B162" s="47" t="s">
        <v>457</v>
      </c>
      <c r="C162" s="47" t="s">
        <v>458</v>
      </c>
      <c r="D162" s="47" t="s">
        <v>301</v>
      </c>
    </row>
    <row r="163" spans="1:4" ht="26" x14ac:dyDescent="0.2">
      <c r="A163" s="46" t="s">
        <v>459</v>
      </c>
      <c r="B163" s="47" t="s">
        <v>460</v>
      </c>
      <c r="C163" s="47" t="s">
        <v>461</v>
      </c>
      <c r="D163" s="47" t="s">
        <v>301</v>
      </c>
    </row>
    <row r="164" spans="1:4" ht="26" x14ac:dyDescent="0.2">
      <c r="A164" s="46" t="s">
        <v>462</v>
      </c>
      <c r="B164" s="47" t="s">
        <v>463</v>
      </c>
      <c r="C164" s="47" t="s">
        <v>464</v>
      </c>
      <c r="D164" s="47" t="s">
        <v>301</v>
      </c>
    </row>
    <row r="165" spans="1:4" ht="26" x14ac:dyDescent="0.2">
      <c r="A165" s="46" t="s">
        <v>465</v>
      </c>
      <c r="B165" s="47" t="s">
        <v>466</v>
      </c>
      <c r="C165" s="47" t="s">
        <v>467</v>
      </c>
      <c r="D165" s="47" t="s">
        <v>301</v>
      </c>
    </row>
    <row r="166" spans="1:4" ht="26" x14ac:dyDescent="0.2">
      <c r="A166" s="46" t="s">
        <v>468</v>
      </c>
      <c r="B166" s="47" t="s">
        <v>469</v>
      </c>
      <c r="C166" s="47" t="s">
        <v>470</v>
      </c>
      <c r="D166" s="47" t="s">
        <v>301</v>
      </c>
    </row>
    <row r="167" spans="1:4" ht="26" x14ac:dyDescent="0.2">
      <c r="A167" s="46" t="s">
        <v>471</v>
      </c>
      <c r="B167" s="47" t="s">
        <v>472</v>
      </c>
      <c r="C167" s="47" t="s">
        <v>473</v>
      </c>
      <c r="D167" s="47" t="s">
        <v>301</v>
      </c>
    </row>
    <row r="168" spans="1:4" ht="26" x14ac:dyDescent="0.2">
      <c r="A168" s="46" t="s">
        <v>474</v>
      </c>
      <c r="B168" s="47" t="s">
        <v>475</v>
      </c>
      <c r="C168" s="47" t="s">
        <v>476</v>
      </c>
      <c r="D168" s="47" t="s">
        <v>301</v>
      </c>
    </row>
    <row r="169" spans="1:4" ht="26" x14ac:dyDescent="0.2">
      <c r="A169" s="46" t="s">
        <v>477</v>
      </c>
      <c r="B169" s="47" t="s">
        <v>478</v>
      </c>
      <c r="C169" s="47" t="s">
        <v>479</v>
      </c>
      <c r="D169" s="47" t="s">
        <v>301</v>
      </c>
    </row>
    <row r="170" spans="1:4" ht="26" x14ac:dyDescent="0.2">
      <c r="A170" s="46" t="s">
        <v>480</v>
      </c>
      <c r="B170" s="47" t="s">
        <v>481</v>
      </c>
      <c r="C170" s="47" t="s">
        <v>482</v>
      </c>
      <c r="D170" s="47" t="s">
        <v>301</v>
      </c>
    </row>
    <row r="171" spans="1:4" ht="26" x14ac:dyDescent="0.2">
      <c r="A171" s="46" t="s">
        <v>483</v>
      </c>
      <c r="B171" s="47" t="s">
        <v>484</v>
      </c>
      <c r="C171" s="47" t="s">
        <v>485</v>
      </c>
      <c r="D171" s="47" t="s">
        <v>301</v>
      </c>
    </row>
    <row r="172" spans="1:4" ht="26" x14ac:dyDescent="0.2">
      <c r="A172" s="46" t="s">
        <v>486</v>
      </c>
      <c r="B172" s="47" t="s">
        <v>487</v>
      </c>
      <c r="C172" s="47" t="s">
        <v>488</v>
      </c>
      <c r="D172" s="47" t="s">
        <v>301</v>
      </c>
    </row>
    <row r="173" spans="1:4" ht="26" x14ac:dyDescent="0.2">
      <c r="A173" s="46" t="s">
        <v>489</v>
      </c>
      <c r="B173" s="47" t="s">
        <v>490</v>
      </c>
      <c r="C173" s="47" t="s">
        <v>491</v>
      </c>
      <c r="D173" s="47" t="s">
        <v>301</v>
      </c>
    </row>
    <row r="174" spans="1:4" ht="26" x14ac:dyDescent="0.2">
      <c r="A174" s="46" t="s">
        <v>492</v>
      </c>
      <c r="B174" s="47" t="s">
        <v>493</v>
      </c>
      <c r="C174" s="47" t="s">
        <v>494</v>
      </c>
      <c r="D174" s="47" t="s">
        <v>301</v>
      </c>
    </row>
    <row r="175" spans="1:4" ht="26" x14ac:dyDescent="0.2">
      <c r="A175" s="46" t="s">
        <v>495</v>
      </c>
      <c r="B175" s="47" t="s">
        <v>496</v>
      </c>
      <c r="C175" s="47" t="s">
        <v>497</v>
      </c>
      <c r="D175" s="47" t="s">
        <v>301</v>
      </c>
    </row>
    <row r="176" spans="1:4" ht="26" x14ac:dyDescent="0.2">
      <c r="A176" s="46" t="s">
        <v>498</v>
      </c>
      <c r="B176" s="47" t="s">
        <v>499</v>
      </c>
      <c r="C176" s="47" t="s">
        <v>500</v>
      </c>
      <c r="D176" s="47" t="s">
        <v>301</v>
      </c>
    </row>
    <row r="177" spans="1:4" ht="26" x14ac:dyDescent="0.2">
      <c r="A177" s="46" t="s">
        <v>501</v>
      </c>
      <c r="B177" s="47" t="s">
        <v>502</v>
      </c>
      <c r="C177" s="47" t="s">
        <v>503</v>
      </c>
      <c r="D177" s="47" t="s">
        <v>301</v>
      </c>
    </row>
    <row r="178" spans="1:4" ht="26" x14ac:dyDescent="0.2">
      <c r="A178" s="46" t="s">
        <v>504</v>
      </c>
      <c r="B178" s="47" t="s">
        <v>505</v>
      </c>
      <c r="C178" s="47" t="s">
        <v>506</v>
      </c>
      <c r="D178" s="47" t="s">
        <v>301</v>
      </c>
    </row>
    <row r="179" spans="1:4" x14ac:dyDescent="0.2">
      <c r="A179" s="46" t="s">
        <v>507</v>
      </c>
      <c r="B179" s="47" t="s">
        <v>508</v>
      </c>
      <c r="C179" s="47" t="s">
        <v>367</v>
      </c>
      <c r="D179" s="47" t="s">
        <v>368</v>
      </c>
    </row>
    <row r="180" spans="1:4" x14ac:dyDescent="0.2">
      <c r="A180" s="46" t="s">
        <v>509</v>
      </c>
      <c r="B180" s="47" t="s">
        <v>510</v>
      </c>
      <c r="C180" s="47" t="s">
        <v>367</v>
      </c>
      <c r="D180" s="47" t="s">
        <v>368</v>
      </c>
    </row>
    <row r="181" spans="1:4" x14ac:dyDescent="0.2">
      <c r="A181" s="46" t="s">
        <v>511</v>
      </c>
      <c r="B181" s="47" t="s">
        <v>512</v>
      </c>
      <c r="C181" s="47" t="s">
        <v>29</v>
      </c>
      <c r="D181" s="47" t="s">
        <v>297</v>
      </c>
    </row>
    <row r="182" spans="1:4" x14ac:dyDescent="0.2">
      <c r="A182" s="46" t="s">
        <v>513</v>
      </c>
      <c r="B182" s="47" t="s">
        <v>514</v>
      </c>
      <c r="C182" s="47" t="s">
        <v>30</v>
      </c>
      <c r="D182" s="47" t="s">
        <v>297</v>
      </c>
    </row>
    <row r="183" spans="1:4" x14ac:dyDescent="0.2">
      <c r="A183" s="46" t="s">
        <v>515</v>
      </c>
      <c r="B183" s="47" t="s">
        <v>516</v>
      </c>
      <c r="C183" s="47" t="s">
        <v>517</v>
      </c>
      <c r="D183" s="47" t="s">
        <v>518</v>
      </c>
    </row>
    <row r="184" spans="1:4" x14ac:dyDescent="0.2">
      <c r="A184" s="46" t="s">
        <v>519</v>
      </c>
      <c r="B184" s="47" t="s">
        <v>520</v>
      </c>
      <c r="C184" s="47" t="s">
        <v>521</v>
      </c>
      <c r="D184" s="47" t="s">
        <v>522</v>
      </c>
    </row>
    <row r="185" spans="1:4" x14ac:dyDescent="0.2">
      <c r="A185" s="46" t="s">
        <v>523</v>
      </c>
      <c r="B185" s="47" t="s">
        <v>524</v>
      </c>
      <c r="C185" s="47" t="s">
        <v>525</v>
      </c>
      <c r="D185" s="47" t="s">
        <v>522</v>
      </c>
    </row>
    <row r="186" spans="1:4" x14ac:dyDescent="0.2">
      <c r="A186" s="46" t="s">
        <v>526</v>
      </c>
      <c r="B186" s="47" t="s">
        <v>527</v>
      </c>
      <c r="C186" s="47" t="s">
        <v>528</v>
      </c>
      <c r="D186" s="47" t="s">
        <v>522</v>
      </c>
    </row>
    <row r="187" spans="1:4" x14ac:dyDescent="0.2">
      <c r="A187" s="46" t="s">
        <v>529</v>
      </c>
      <c r="B187" s="47" t="s">
        <v>530</v>
      </c>
      <c r="C187" s="47" t="s">
        <v>531</v>
      </c>
      <c r="D187" s="47" t="s">
        <v>522</v>
      </c>
    </row>
    <row r="188" spans="1:4" x14ac:dyDescent="0.2">
      <c r="A188" s="46" t="s">
        <v>532</v>
      </c>
      <c r="B188" s="47" t="s">
        <v>533</v>
      </c>
      <c r="C188" s="47" t="s">
        <v>534</v>
      </c>
      <c r="D188" s="47" t="s">
        <v>535</v>
      </c>
    </row>
    <row r="189" spans="1:4" x14ac:dyDescent="0.2">
      <c r="A189" s="46" t="s">
        <v>536</v>
      </c>
      <c r="B189" s="47" t="s">
        <v>537</v>
      </c>
      <c r="C189" s="47" t="s">
        <v>538</v>
      </c>
      <c r="D189" s="47" t="s">
        <v>535</v>
      </c>
    </row>
    <row r="190" spans="1:4" x14ac:dyDescent="0.2">
      <c r="A190" s="46" t="s">
        <v>539</v>
      </c>
      <c r="B190" s="47" t="s">
        <v>540</v>
      </c>
      <c r="C190" s="47" t="s">
        <v>541</v>
      </c>
      <c r="D190" s="47" t="s">
        <v>535</v>
      </c>
    </row>
    <row r="191" spans="1:4" x14ac:dyDescent="0.2">
      <c r="A191" s="46" t="s">
        <v>542</v>
      </c>
      <c r="B191" s="47" t="s">
        <v>543</v>
      </c>
      <c r="C191" s="47" t="s">
        <v>544</v>
      </c>
      <c r="D191" s="47" t="s">
        <v>535</v>
      </c>
    </row>
    <row r="192" spans="1:4" x14ac:dyDescent="0.2">
      <c r="A192" s="46" t="s">
        <v>545</v>
      </c>
      <c r="B192" s="47" t="s">
        <v>546</v>
      </c>
      <c r="C192" s="47" t="s">
        <v>547</v>
      </c>
      <c r="D192" s="47" t="s">
        <v>548</v>
      </c>
    </row>
    <row r="193" spans="1:4" x14ac:dyDescent="0.2">
      <c r="A193" s="46" t="s">
        <v>549</v>
      </c>
      <c r="B193" s="47" t="s">
        <v>550</v>
      </c>
      <c r="C193" s="47" t="s">
        <v>551</v>
      </c>
      <c r="D193" s="47" t="s">
        <v>548</v>
      </c>
    </row>
    <row r="194" spans="1:4" x14ac:dyDescent="0.2">
      <c r="A194" s="46" t="s">
        <v>552</v>
      </c>
      <c r="B194" s="47" t="s">
        <v>553</v>
      </c>
      <c r="C194" s="47" t="s">
        <v>554</v>
      </c>
      <c r="D194" s="47" t="s">
        <v>548</v>
      </c>
    </row>
    <row r="195" spans="1:4" x14ac:dyDescent="0.2">
      <c r="A195" s="46" t="s">
        <v>555</v>
      </c>
      <c r="B195" s="47" t="s">
        <v>556</v>
      </c>
      <c r="C195" s="47" t="s">
        <v>557</v>
      </c>
      <c r="D195" s="47" t="s">
        <v>548</v>
      </c>
    </row>
    <row r="196" spans="1:4" x14ac:dyDescent="0.2">
      <c r="A196" s="46" t="s">
        <v>558</v>
      </c>
      <c r="B196" s="47" t="s">
        <v>559</v>
      </c>
      <c r="C196" s="47" t="s">
        <v>560</v>
      </c>
      <c r="D196" s="47" t="s">
        <v>561</v>
      </c>
    </row>
    <row r="197" spans="1:4" x14ac:dyDescent="0.2">
      <c r="A197" s="46" t="s">
        <v>562</v>
      </c>
      <c r="B197" s="47" t="s">
        <v>563</v>
      </c>
      <c r="C197" s="47" t="s">
        <v>564</v>
      </c>
      <c r="D197" s="47" t="s">
        <v>561</v>
      </c>
    </row>
    <row r="198" spans="1:4" x14ac:dyDescent="0.2">
      <c r="A198" s="46" t="s">
        <v>565</v>
      </c>
      <c r="B198" s="47" t="s">
        <v>566</v>
      </c>
      <c r="C198" s="47" t="s">
        <v>567</v>
      </c>
      <c r="D198" s="47" t="s">
        <v>561</v>
      </c>
    </row>
    <row r="199" spans="1:4" x14ac:dyDescent="0.2">
      <c r="A199" s="46" t="s">
        <v>568</v>
      </c>
      <c r="B199" s="47" t="s">
        <v>569</v>
      </c>
      <c r="C199" s="47" t="s">
        <v>570</v>
      </c>
      <c r="D199" s="47" t="s">
        <v>561</v>
      </c>
    </row>
    <row r="200" spans="1:4" x14ac:dyDescent="0.2">
      <c r="A200" s="46" t="s">
        <v>571</v>
      </c>
      <c r="B200" s="47" t="s">
        <v>572</v>
      </c>
      <c r="C200" s="47" t="s">
        <v>573</v>
      </c>
      <c r="D200" s="47" t="s">
        <v>574</v>
      </c>
    </row>
    <row r="201" spans="1:4" x14ac:dyDescent="0.2">
      <c r="A201" s="46" t="s">
        <v>575</v>
      </c>
      <c r="B201" s="47" t="s">
        <v>576</v>
      </c>
      <c r="C201" s="47" t="s">
        <v>577</v>
      </c>
      <c r="D201" s="47" t="s">
        <v>574</v>
      </c>
    </row>
    <row r="202" spans="1:4" x14ac:dyDescent="0.2">
      <c r="A202" s="46" t="s">
        <v>578</v>
      </c>
      <c r="B202" s="47" t="s">
        <v>579</v>
      </c>
      <c r="C202" s="47" t="s">
        <v>580</v>
      </c>
      <c r="D202" s="47" t="s">
        <v>574</v>
      </c>
    </row>
    <row r="203" spans="1:4" x14ac:dyDescent="0.2">
      <c r="A203" s="46" t="s">
        <v>581</v>
      </c>
      <c r="B203" s="47" t="s">
        <v>582</v>
      </c>
      <c r="C203" s="47" t="s">
        <v>583</v>
      </c>
      <c r="D203" s="47" t="s">
        <v>574</v>
      </c>
    </row>
  </sheetData>
  <mergeCells count="4">
    <mergeCell ref="A3:D3"/>
    <mergeCell ref="A4:D4"/>
    <mergeCell ref="A5:D5"/>
    <mergeCell ref="A6:D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NaHPO4</vt:lpstr>
      <vt:lpstr>Corrections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Filipe Menezes</dc:creator>
  <dc:description/>
  <cp:lastModifiedBy>Dr Filipe Menezes</cp:lastModifiedBy>
  <cp:revision>2</cp:revision>
  <dcterms:created xsi:type="dcterms:W3CDTF">2023-04-12T21:19:53Z</dcterms:created>
  <dcterms:modified xsi:type="dcterms:W3CDTF">2026-10-09T22:02:47Z</dcterms:modified>
  <dc:language>en-US</dc:language>
</cp:coreProperties>
</file>