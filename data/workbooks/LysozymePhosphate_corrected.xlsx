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aHPO4" sheetId="1" state="visible" r:id="rId3"/>
    <sheet name="Corrections log" sheetId="2" state="visible" r:id="rId4"/>
  </sheets>
  <definedNames>
    <definedName function="false" hidden="true" name="_xlchart.v1.0" vbProcedure="false">NaHPO4!$I$13:$I$21</definedName>
    <definedName function="false" hidden="true" name="_xlchart.v1.1" vbProcedure="false">NaHPO4!$I$22:$I$30</definedName>
    <definedName function="false" hidden="true" name="_xlchart.v1.2" vbProcedure="false">NaHPO4!$I$31:$I$39</definedName>
    <definedName function="false" hidden="true" name="_xlchart.v1.3" vbProcedure="false">NaHPO4!$I$4:$I$12</definedName>
    <definedName function="false" hidden="true" name="_xlchart.v1.4" vbProcedure="false">NaHPO4!$Z$13:$Z$21</definedName>
    <definedName function="false" hidden="true" name="_xlchart.v1.5" vbProcedure="false">NaHPO4!$Z$22:$Z$30</definedName>
    <definedName function="false" hidden="true" name="_xlchart.v1.6" vbProcedure="false">NaHPO4!$Z$31:$Z$39</definedName>
    <definedName function="false" hidden="true" name="_xlchart.v1.7" vbProcedure="false">NaHPO4!$Z$4:$Z$12</definedName>
    <definedName function="false" hidden="true" localSheetId="0" name="solver_adj" vbProcedure="false">NaHPO4!$U$32:$U$35</definedName>
    <definedName function="false" hidden="true" localSheetId="0" name="solver_cvg" vbProcedure="false">0.0001</definedName>
    <definedName function="false" hidden="true" localSheetId="0" name="solver_drv" vbProcedure="false">2</definedName>
    <definedName function="false" hidden="true" localSheetId="0" name="solver_eng" vbProcedure="false">1</definedName>
    <definedName function="false" hidden="true" localSheetId="0" name="solver_itr" vbProcedure="false">2147483647</definedName>
    <definedName function="false" hidden="true" localSheetId="0" name="solver_lin" vbProcedure="false">2</definedName>
    <definedName function="false" hidden="true" localSheetId="0" name="solver_mip" vbProcedure="false">2147483647</definedName>
    <definedName function="false" hidden="true" localSheetId="0" name="solver_mni" vbProcedure="false">30</definedName>
    <definedName function="false" hidden="true" localSheetId="0" name="solver_mrt" vbProcedure="false">0.075</definedName>
    <definedName function="false" hidden="true" localSheetId="0" name="solver_msl" vbProcedure="false">2</definedName>
    <definedName function="false" hidden="true" localSheetId="0" name="solver_neg" vbProcedure="false">2</definedName>
    <definedName function="false" hidden="true" localSheetId="0" name="solver_nod" vbProcedure="false">2147483647</definedName>
    <definedName function="false" hidden="true" localSheetId="0" name="solver_num" vbProcedure="false">0</definedName>
    <definedName function="false" hidden="true" localSheetId="0" name="solver_opt" vbProcedure="false">NaHPO4!$U$39</definedName>
    <definedName function="false" hidden="true" localSheetId="0" name="solver_pre" vbProcedure="false">0.000001</definedName>
    <definedName function="false" hidden="true" localSheetId="0" name="solver_rbv" vbProcedure="false">1</definedName>
    <definedName function="false" hidden="true" localSheetId="0" name="solver_rlx" vbProcedure="false">2</definedName>
    <definedName function="false" hidden="true" localSheetId="0" name="solver_rsd" vbProcedure="false">0</definedName>
    <definedName function="false" hidden="true" localSheetId="0" name="solver_scl" vbProcedure="false">1</definedName>
    <definedName function="false" hidden="true" localSheetId="0" name="solver_sho" vbProcedure="false">2</definedName>
    <definedName function="false" hidden="true" localSheetId="0" name="solver_ssz" vbProcedure="false">100</definedName>
    <definedName function="false" hidden="true" localSheetId="0" name="solver_tim" vbProcedure="false">2147483647</definedName>
    <definedName function="false" hidden="true" localSheetId="0" name="solver_tol" vbProcedure="false">0.01</definedName>
    <definedName function="false" hidden="true" localSheetId="0" name="solver_typ" vbProcedure="false">2</definedName>
    <definedName function="false" hidden="true" localSheetId="0" name="solver_val" vbProcedure="false">0</definedName>
    <definedName function="false" hidden="true" localSheetId="0" name="solver_ver" vbProcedure="false">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<sst xmlns="http://schemas.openxmlformats.org/spreadsheetml/2006/main" count="856" uniqueCount="588">
  <si>
    <t xml:space="preserve">R</t>
  </si>
  <si>
    <t xml:space="preserve">T</t>
  </si>
  <si>
    <t xml:space="preserve">pH</t>
  </si>
  <si>
    <t xml:space="preserve">MW (kg/mol)</t>
  </si>
  <si>
    <t xml:space="preserve">MW (g/mol)</t>
  </si>
  <si>
    <t xml:space="preserve">[H3O+]</t>
  </si>
  <si>
    <t xml:space="preserve">[OH-]</t>
  </si>
  <si>
    <t xml:space="preserve">[P] (g/L)</t>
  </si>
  <si>
    <t xml:space="preserve">[P] (mol/L)</t>
  </si>
  <si>
    <t xml:space="preserve">[P] (uM)</t>
  </si>
  <si>
    <t xml:space="preserve">mP (mol/g)</t>
  </si>
  <si>
    <t xml:space="preserve">[Buffer] (mol/L)</t>
  </si>
  <si>
    <t xml:space="preserve">[H2PO4-] (mol/L)</t>
  </si>
  <si>
    <t xml:space="preserve">[HPO4--] (mol/L)</t>
  </si>
  <si>
    <t xml:space="preserve">I (mol/g)</t>
  </si>
  <si>
    <t xml:space="preserve">𝝥 (mmHg)</t>
  </si>
  <si>
    <t xml:space="preserve">𝝥 (Pa)</t>
  </si>
  <si>
    <t xml:space="preserve">𝝥0 (Pa)</t>
  </si>
  <si>
    <t xml:space="preserve">𝝫</t>
  </si>
  <si>
    <t xml:space="preserve">𝝫-1</t>
  </si>
  <si>
    <t xml:space="preserve">𝝫-1 fit</t>
  </si>
  <si>
    <t xml:space="preserve">polynomial</t>
  </si>
  <si>
    <t xml:space="preserve">res</t>
  </si>
  <si>
    <t xml:space="preserve">res2</t>
  </si>
  <si>
    <t xml:space="preserve">𝜸 (m)</t>
  </si>
  <si>
    <t xml:space="preserve">𝜸 Agena (m)</t>
  </si>
  <si>
    <t xml:space="preserve">𝜸 (m) [plotted]</t>
  </si>
  <si>
    <t xml:space="preserve">𝜸 Agena (m) [plotted]</t>
  </si>
  <si>
    <t xml:space="preserve">Partial</t>
  </si>
  <si>
    <t xml:space="preserve">mL/g</t>
  </si>
  <si>
    <t xml:space="preserve">Specific</t>
  </si>
  <si>
    <t xml:space="preserve">10.1016/S0021-9258(17)33347-1</t>
  </si>
  <si>
    <t xml:space="preserve">Volume</t>
  </si>
  <si>
    <t xml:space="preserve">B2 (mL.mol/g.g)</t>
  </si>
  <si>
    <t xml:space="preserve">B2 (mL/g)</t>
  </si>
  <si>
    <t xml:space="preserve">B2 (mL/mol)</t>
  </si>
  <si>
    <t xml:space="preserve">D2 (g/mol)</t>
  </si>
  <si>
    <t xml:space="preserve">Rho(H2O)</t>
  </si>
  <si>
    <t xml:space="preserve">g/L</t>
  </si>
  <si>
    <t xml:space="preserve">MW(NH4+)</t>
  </si>
  <si>
    <t xml:space="preserve">MW(H2PO4-)</t>
  </si>
  <si>
    <t xml:space="preserve">MW(HPO4--)</t>
  </si>
  <si>
    <t xml:space="preserve">MW(PO4---)</t>
  </si>
  <si>
    <t xml:space="preserve">Charge</t>
  </si>
  <si>
    <t xml:space="preserve">MW(H3O+)</t>
  </si>
  <si>
    <t xml:space="preserve">MW(OH-)</t>
  </si>
  <si>
    <t xml:space="preserve">pKa2</t>
  </si>
  <si>
    <t xml:space="preserve">pKa3</t>
  </si>
  <si>
    <t xml:space="preserve">Corrections applied to this workbook</t>
  </si>
  <si>
    <t xml:space="preserve">Donnan reference (equation 10): the term (Z m_P)^2/(4 m_S) is exact only for 1:1 electrolytes. For a general electrolyte, the dilute Donnan limit is (Z m_P)^2/(4 I), with I the ionic strength (both on the molal scale); for 1:1 salts I = m_S. The buffer-molality column now holds the ionic strength: I = [H2X-] + 3[HX2-] for the phosphate/sulphate/oxalate buffers.</t>
  </si>
  <si>
    <t xml:space="preserve">Molality: the original water mass per litre, rho_w - c*M - (salt masses), assumes that the solution density equals the density of water, which overestimates the volume of water displaced by the protein by a factor of about 1/(nu*rho_w) = 1.36. The protein term is now rho_w*c*M*nu (nu = protein partial specific volume, cell B5). The salt terms were kept as in the original; note that subtracting salt masses (instead of salt volumes) underestimates the water mass at high salt (by about 20% at 5 M NaCl).</t>
  </si>
  <si>
    <t xml:space="preserve">Molal versus molar scale: the original conversion in the "(c)" columns, gamma_m*rho*18.015/(rho*18.015 + sum c), differs from gamma_m by less than 1e-4, so all plotted activity coefficients are in fact on the molality scale (per kg of water), like the virial (Agena) values. These columns now equal the molal values explicitly and are labelled accordingly. A molar-scale conversion (gamma_c = gamma_m*m*rho_w/c) would require the solution density, which is not available; with the salt-mass approximation used here it would be unreliable at high salt.</t>
  </si>
  <si>
    <t xml:space="preserve">Polynomial fits of phi-1 versus molality were recomputed by linear least squares with the same terms and the same data points as the original Solver fits (points whose residual was set to 0 in the original remain excluded).</t>
  </si>
  <si>
    <t xml:space="preserve">Cell</t>
  </si>
  <si>
    <t xml:space="preserve">Original</t>
  </si>
  <si>
    <t xml:space="preserve">Corrected</t>
  </si>
  <si>
    <t xml:space="preserve">Reason</t>
  </si>
  <si>
    <t xml:space="preserve">J4</t>
  </si>
  <si>
    <t xml:space="preserve">=H4/($B$9 - H4*$AE$3 - L4*($B$11+$B$12) - M4*(2*$B$11+$B$13) - E4*$B$15 - F4*$B$16)</t>
  </si>
  <si>
    <t xml:space="preserve">=H4/($B$9*(1-H4*$AE$3*$B$5/1000) - L4*($B$11+$B$12) - M4*(2*$B$11+$B$13) - E4*$B$15 - F4*$B$16)</t>
  </si>
  <si>
    <t xml:space="preserve">molality: protein term of the water mass uses the partial specific volume, rho_w*(1 - c*M*nu), instead of subtracting the protein mass from rho_w</t>
  </si>
  <si>
    <t xml:space="preserve">N4</t>
  </si>
  <si>
    <t xml:space="preserve">=K4/($B$9 - H4*$AE$3 - L4*($B$11+$B$12) - M4*(2*$B$11+$B$13) - E4*$B$15 - F4*$B$16)</t>
  </si>
  <si>
    <t xml:space="preserve">=K4/($B$9*(1-H4*$AE$3*$B$5/1000) - L4*($B$11+$B$12) - M4*(2*$B$11+$B$13) - E4*$B$15 - F4*$B$16)</t>
  </si>
  <si>
    <t xml:space="preserve">buffer molality: same correction</t>
  </si>
  <si>
    <t xml:space="preserve">J5</t>
  </si>
  <si>
    <t xml:space="preserve">=H5/($B$9 - H5*$AE$3 - L5*($B$11+$B$12) - M5*(2*$B$11+$B$13) - E5*$B$15 - F5*$B$16)</t>
  </si>
  <si>
    <t xml:space="preserve">=H5/($B$9*(1-H5*$AE$3*$B$5/1000) - L5*($B$11+$B$12) - M5*(2*$B$11+$B$13) - E5*$B$15 - F5*$B$16)</t>
  </si>
  <si>
    <t xml:space="preserve">N5</t>
  </si>
  <si>
    <t xml:space="preserve">=K5/($B$9 - H5*$AE$3 - L5*($B$11+$B$12) - M5*(2*$B$11+$B$13) - E5*$B$15 - F5*$B$16)</t>
  </si>
  <si>
    <t xml:space="preserve">=K5/($B$9*(1-H5*$AE$3*$B$5/1000) - L5*($B$11+$B$12) - M5*(2*$B$11+$B$13) - E5*$B$15 - F5*$B$16)</t>
  </si>
  <si>
    <t xml:space="preserve">J6</t>
  </si>
  <si>
    <t xml:space="preserve">=H6/($B$9 - H6*$AE$3 - L6*($B$11+$B$12) - M6*(2*$B$11+$B$13) - E6*$B$15 - F6*$B$16)</t>
  </si>
  <si>
    <t xml:space="preserve">=H6/($B$9*(1-H6*$AE$3*$B$5/1000) - L6*($B$11+$B$12) - M6*(2*$B$11+$B$13) - E6*$B$15 - F6*$B$16)</t>
  </si>
  <si>
    <t xml:space="preserve">N6</t>
  </si>
  <si>
    <t xml:space="preserve">=K6/($B$9 - H6*$AE$3 - L6*($B$11+$B$12) - M6*(2*$B$11+$B$13) - E6*$B$15 - F6*$B$16)</t>
  </si>
  <si>
    <t xml:space="preserve">=K6/($B$9*(1-H6*$AE$3*$B$5/1000) - L6*($B$11+$B$12) - M6*(2*$B$11+$B$13) - E6*$B$15 - F6*$B$16)</t>
  </si>
  <si>
    <t xml:space="preserve">J7</t>
  </si>
  <si>
    <t xml:space="preserve">=H7/($B$9 - H7*$AE$3 - L7*($B$11+$B$12) - M7*(2*$B$11+$B$13) - E7*$B$15 - F7*$B$16)</t>
  </si>
  <si>
    <t xml:space="preserve">=H7/($B$9*(1-H7*$AE$3*$B$5/1000) - L7*($B$11+$B$12) - M7*(2*$B$11+$B$13) - E7*$B$15 - F7*$B$16)</t>
  </si>
  <si>
    <t xml:space="preserve">N7</t>
  </si>
  <si>
    <t xml:space="preserve">=K7/($B$9 - H7*$AE$3 - L7*($B$11+$B$12) - M7*(2*$B$11+$B$13) - E7*$B$15 - F7*$B$16)</t>
  </si>
  <si>
    <t xml:space="preserve">=K7/($B$9*(1-H7*$AE$3*$B$5/1000) - L7*($B$11+$B$12) - M7*(2*$B$11+$B$13) - E7*$B$15 - F7*$B$16)</t>
  </si>
  <si>
    <t xml:space="preserve">J8</t>
  </si>
  <si>
    <t xml:space="preserve">=H8/($B$9 - H8*$AE$3 - L8*($B$11+$B$12) - M8*(2*$B$11+$B$13) - E8*$B$15 - F8*$B$16)</t>
  </si>
  <si>
    <t xml:space="preserve">=H8/($B$9*(1-H8*$AE$3*$B$5/1000) - L8*($B$11+$B$12) - M8*(2*$B$11+$B$13) - E8*$B$15 - F8*$B$16)</t>
  </si>
  <si>
    <t xml:space="preserve">N8</t>
  </si>
  <si>
    <t xml:space="preserve">=K8/($B$9 - H8*$AE$3 - L8*($B$11+$B$12) - M8*(2*$B$11+$B$13) - E8*$B$15 - F8*$B$16)</t>
  </si>
  <si>
    <t xml:space="preserve">=K8/($B$9*(1-H8*$AE$3*$B$5/1000) - L8*($B$11+$B$12) - M8*(2*$B$11+$B$13) - E8*$B$15 - F8*$B$16)</t>
  </si>
  <si>
    <t xml:space="preserve">J9</t>
  </si>
  <si>
    <t xml:space="preserve">=H9/($B$9 - H9*$AE$3 - L9*($B$11+$B$12) - M9*(2*$B$11+$B$13) - E9*$B$15 - F9*$B$16)</t>
  </si>
  <si>
    <t xml:space="preserve">=H9/($B$9*(1-H9*$AE$3*$B$5/1000) - L9*($B$11+$B$12) - M9*(2*$B$11+$B$13) - E9*$B$15 - F9*$B$16)</t>
  </si>
  <si>
    <t xml:space="preserve">N9</t>
  </si>
  <si>
    <t xml:space="preserve">=K9/($B$9 - H9*$AE$3 - L9*($B$11+$B$12) - M9*(2*$B$11+$B$13) - E9*$B$15 - F9*$B$16)</t>
  </si>
  <si>
    <t xml:space="preserve">=K9/($B$9*(1-H9*$AE$3*$B$5/1000) - L9*($B$11+$B$12) - M9*(2*$B$11+$B$13) - E9*$B$15 - F9*$B$16)</t>
  </si>
  <si>
    <t xml:space="preserve">J10</t>
  </si>
  <si>
    <t xml:space="preserve">=H10/($B$9 - H10*$AE$3 - L10*($B$11+$B$12) - M10*(2*$B$11+$B$13) - E10*$B$15 - F10*$B$16)</t>
  </si>
  <si>
    <t xml:space="preserve">=H10/($B$9*(1-H10*$AE$3*$B$5/1000) - L10*($B$11+$B$12) - M10*(2*$B$11+$B$13) - E10*$B$15 - F10*$B$16)</t>
  </si>
  <si>
    <t xml:space="preserve">N10</t>
  </si>
  <si>
    <t xml:space="preserve">=K10/($B$9 - H10*$AE$3 - L10*($B$11+$B$12) - M10*(2*$B$11+$B$13) - E10*$B$15 - F10*$B$16)</t>
  </si>
  <si>
    <t xml:space="preserve">=K10/($B$9*(1-H10*$AE$3*$B$5/1000) - L10*($B$11+$B$12) - M10*(2*$B$11+$B$13) - E10*$B$15 - F10*$B$16)</t>
  </si>
  <si>
    <t xml:space="preserve">J11</t>
  </si>
  <si>
    <t xml:space="preserve">=H11/($B$9 - H11*$AE$3 - L11*($B$11+$B$12) - M11*(2*$B$11+$B$13) - E11*$B$15 - F11*$B$16)</t>
  </si>
  <si>
    <t xml:space="preserve">=H11/($B$9*(1-H11*$AE$3*$B$5/1000) - L11*($B$11+$B$12) - M11*(2*$B$11+$B$13) - E11*$B$15 - F11*$B$16)</t>
  </si>
  <si>
    <t xml:space="preserve">N11</t>
  </si>
  <si>
    <t xml:space="preserve">=K11/($B$9 - H11*$AE$3 - L11*($B$11+$B$12) - M11*(2*$B$11+$B$13) - E11*$B$15 - F11*$B$16)</t>
  </si>
  <si>
    <t xml:space="preserve">=K11/($B$9*(1-H11*$AE$3*$B$5/1000) - L11*($B$11+$B$12) - M11*(2*$B$11+$B$13) - E11*$B$15 - F11*$B$16)</t>
  </si>
  <si>
    <t xml:space="preserve">J12</t>
  </si>
  <si>
    <t xml:space="preserve">=H12/($B$9 - H12*$AE$3 - L12*($B$11+$B$12) - M12*(2*$B$11+$B$13) - E12*$B$15 - F12*$B$16)</t>
  </si>
  <si>
    <t xml:space="preserve">=H12/($B$9*(1-H12*$AE$3*$B$5/1000) - L12*($B$11+$B$12) - M12*(2*$B$11+$B$13) - E12*$B$15 - F12*$B$16)</t>
  </si>
  <si>
    <t xml:space="preserve">N12</t>
  </si>
  <si>
    <t xml:space="preserve">=K12/($B$9 - H12*$AE$3 - L12*($B$11+$B$12) - M12*(2*$B$11+$B$13) - E12*$B$15 - F12*$B$16)</t>
  </si>
  <si>
    <t xml:space="preserve">=K12/($B$9*(1-H12*$AE$3*$B$5/1000) - L12*($B$11+$B$12) - M12*(2*$B$11+$B$13) - E12*$B$15 - F12*$B$16)</t>
  </si>
  <si>
    <t xml:space="preserve">J13</t>
  </si>
  <si>
    <t xml:space="preserve">=H13/($B$9 - H13*$AE$4 - L13*($B$11+$B$12) - M13*(2*$B$11+$B$13) - E13*$B$15 - F13*$B$16)</t>
  </si>
  <si>
    <t xml:space="preserve">=H13/($B$9*(1-H13*$AE$4*$B$5/1000) - L13*($B$11+$B$12) - M13*(2*$B$11+$B$13) - E13*$B$15 - F13*$B$16)</t>
  </si>
  <si>
    <t xml:space="preserve">N13</t>
  </si>
  <si>
    <t xml:space="preserve">=K13/($B$9 - H13*$AE$3 - L13*($B$11+$B$12) - M13*(2*$B$11+$B$13) - E13*$B$15 - F13*$B$16)</t>
  </si>
  <si>
    <t xml:space="preserve">=K13/($B$9*(1-H13*$AE$3*$B$5/1000) - L13*($B$11+$B$12) - M13*(2*$B$11+$B$13) - E13*$B$15 - F13*$B$16)</t>
  </si>
  <si>
    <t xml:space="preserve">J14</t>
  </si>
  <si>
    <t xml:space="preserve">=H14/($B$9 - H14*$AE$4 - L14*($B$11+$B$12) - M14*(2*$B$11+$B$13) - E14*$B$15 - F14*$B$16)</t>
  </si>
  <si>
    <t xml:space="preserve">=H14/($B$9*(1-H14*$AE$4*$B$5/1000) - L14*($B$11+$B$12) - M14*(2*$B$11+$B$13) - E14*$B$15 - F14*$B$16)</t>
  </si>
  <si>
    <t xml:space="preserve">N14</t>
  </si>
  <si>
    <t xml:space="preserve">=K14/($B$9 - H14*$AE$3 - L14*($B$11+$B$12) - M14*(2*$B$11+$B$13) - E14*$B$15 - F14*$B$16)</t>
  </si>
  <si>
    <t xml:space="preserve">=K14/($B$9*(1-H14*$AE$3*$B$5/1000) - L14*($B$11+$B$12) - M14*(2*$B$11+$B$13) - E14*$B$15 - F14*$B$16)</t>
  </si>
  <si>
    <t xml:space="preserve">J15</t>
  </si>
  <si>
    <t xml:space="preserve">=H15/($B$9 - H15*$AE$4 - L15*($B$11+$B$12) - M15*(2*$B$11+$B$13) - E15*$B$15 - F15*$B$16)</t>
  </si>
  <si>
    <t xml:space="preserve">=H15/($B$9*(1-H15*$AE$4*$B$5/1000) - L15*($B$11+$B$12) - M15*(2*$B$11+$B$13) - E15*$B$15 - F15*$B$16)</t>
  </si>
  <si>
    <t xml:space="preserve">N15</t>
  </si>
  <si>
    <t xml:space="preserve">=K15/($B$9 - H15*$AE$3 - L15*($B$11+$B$12) - M15*(2*$B$11+$B$13) - E15*$B$15 - F15*$B$16)</t>
  </si>
  <si>
    <t xml:space="preserve">=K15/($B$9*(1-H15*$AE$3*$B$5/1000) - L15*($B$11+$B$12) - M15*(2*$B$11+$B$13) - E15*$B$15 - F15*$B$16)</t>
  </si>
  <si>
    <t xml:space="preserve">J16</t>
  </si>
  <si>
    <t xml:space="preserve">=H16/($B$9 - H16*$AE$4 - L16*($B$11+$B$12) - M16*(2*$B$11+$B$13) - E16*$B$15 - F16*$B$16)</t>
  </si>
  <si>
    <t xml:space="preserve">=H16/($B$9*(1-H16*$AE$4*$B$5/1000) - L16*($B$11+$B$12) - M16*(2*$B$11+$B$13) - E16*$B$15 - F16*$B$16)</t>
  </si>
  <si>
    <t xml:space="preserve">N16</t>
  </si>
  <si>
    <t xml:space="preserve">=K16/($B$9 - H16*$AE$3 - L16*($B$11+$B$12) - M16*(2*$B$11+$B$13) - E16*$B$15 - F16*$B$16)</t>
  </si>
  <si>
    <t xml:space="preserve">=K16/($B$9*(1-H16*$AE$3*$B$5/1000) - L16*($B$11+$B$12) - M16*(2*$B$11+$B$13) - E16*$B$15 - F16*$B$16)</t>
  </si>
  <si>
    <t xml:space="preserve">J17</t>
  </si>
  <si>
    <t xml:space="preserve">=H17/($B$9 - H17*$AE$4 - L17*($B$11+$B$12) - M17*(2*$B$11+$B$13) - E17*$B$15 - F17*$B$16)</t>
  </si>
  <si>
    <t xml:space="preserve">=H17/($B$9*(1-H17*$AE$4*$B$5/1000) - L17*($B$11+$B$12) - M17*(2*$B$11+$B$13) - E17*$B$15 - F17*$B$16)</t>
  </si>
  <si>
    <t xml:space="preserve">N17</t>
  </si>
  <si>
    <t xml:space="preserve">=K17/($B$9 - H17*$AE$3 - L17*($B$11+$B$12) - M17*(2*$B$11+$B$13) - E17*$B$15 - F17*$B$16)</t>
  </si>
  <si>
    <t xml:space="preserve">=K17/($B$9*(1-H17*$AE$3*$B$5/1000) - L17*($B$11+$B$12) - M17*(2*$B$11+$B$13) - E17*$B$15 - F17*$B$16)</t>
  </si>
  <si>
    <t xml:space="preserve">J18</t>
  </si>
  <si>
    <t xml:space="preserve">=H18/($B$9 - H18*$AE$4 - L18*($B$11+$B$12) - M18*(2*$B$11+$B$13) - E18*$B$15 - F18*$B$16)</t>
  </si>
  <si>
    <t xml:space="preserve">=H18/($B$9*(1-H18*$AE$4*$B$5/1000) - L18*($B$11+$B$12) - M18*(2*$B$11+$B$13) - E18*$B$15 - F18*$B$16)</t>
  </si>
  <si>
    <t xml:space="preserve">N18</t>
  </si>
  <si>
    <t xml:space="preserve">=K18/($B$9 - H18*$AE$3 - L18*($B$11+$B$12) - M18*(2*$B$11+$B$13) - E18*$B$15 - F18*$B$16)</t>
  </si>
  <si>
    <t xml:space="preserve">=K18/($B$9*(1-H18*$AE$3*$B$5/1000) - L18*($B$11+$B$12) - M18*(2*$B$11+$B$13) - E18*$B$15 - F18*$B$16)</t>
  </si>
  <si>
    <t xml:space="preserve">J19</t>
  </si>
  <si>
    <t xml:space="preserve">=H19/($B$9 - H19*$AE$4 - L19*($B$11+$B$12) - M19*(2*$B$11+$B$13) - E19*$B$15 - F19*$B$16)</t>
  </si>
  <si>
    <t xml:space="preserve">=H19/($B$9*(1-H19*$AE$4*$B$5/1000) - L19*($B$11+$B$12) - M19*(2*$B$11+$B$13) - E19*$B$15 - F19*$B$16)</t>
  </si>
  <si>
    <t xml:space="preserve">N19</t>
  </si>
  <si>
    <t xml:space="preserve">=K19/($B$9 - H19*$AE$3 - L19*($B$11+$B$12) - M19*(2*$B$11+$B$13) - E19*$B$15 - F19*$B$16)</t>
  </si>
  <si>
    <t xml:space="preserve">=K19/($B$9*(1-H19*$AE$3*$B$5/1000) - L19*($B$11+$B$12) - M19*(2*$B$11+$B$13) - E19*$B$15 - F19*$B$16)</t>
  </si>
  <si>
    <t xml:space="preserve">J20</t>
  </si>
  <si>
    <t xml:space="preserve">=H20/($B$9 - H20*$AE$4 - L20*($B$11+$B$12) - M20*(2*$B$11+$B$13) - E20*$B$15 - F20*$B$16)</t>
  </si>
  <si>
    <t xml:space="preserve">=H20/($B$9*(1-H20*$AE$4*$B$5/1000) - L20*($B$11+$B$12) - M20*(2*$B$11+$B$13) - E20*$B$15 - F20*$B$16)</t>
  </si>
  <si>
    <t xml:space="preserve">N20</t>
  </si>
  <si>
    <t xml:space="preserve">=K20/($B$9 - H20*$AE$3 - L20*($B$11+$B$12) - M20*(2*$B$11+$B$13) - E20*$B$15 - F20*$B$16)</t>
  </si>
  <si>
    <t xml:space="preserve">=K20/($B$9*(1-H20*$AE$3*$B$5/1000) - L20*($B$11+$B$12) - M20*(2*$B$11+$B$13) - E20*$B$15 - F20*$B$16)</t>
  </si>
  <si>
    <t xml:space="preserve">J21</t>
  </si>
  <si>
    <t xml:space="preserve">=H21/($B$9 - H21*$AE$4 - L21*($B$11+$B$12) - M21*(2*$B$11+$B$13) - E21*$B$15 - F21*$B$16)</t>
  </si>
  <si>
    <t xml:space="preserve">=H21/($B$9*(1-H21*$AE$4*$B$5/1000) - L21*($B$11+$B$12) - M21*(2*$B$11+$B$13) - E21*$B$15 - F21*$B$16)</t>
  </si>
  <si>
    <t xml:space="preserve">N21</t>
  </si>
  <si>
    <t xml:space="preserve">=K21/($B$9 - H21*$AE$3 - L21*($B$11+$B$12) - M21*(2*$B$11+$B$13) - E21*$B$15 - F21*$B$16)</t>
  </si>
  <si>
    <t xml:space="preserve">=K21/($B$9*(1-H21*$AE$3*$B$5/1000) - L21*($B$11+$B$12) - M21*(2*$B$11+$B$13) - E21*$B$15 - F21*$B$16)</t>
  </si>
  <si>
    <t xml:space="preserve">J22</t>
  </si>
  <si>
    <t xml:space="preserve">=H22/($B$9 - H22*$AE$5 - L22*($B$11+$B$12) - M22*(2*$B$11+$B$13) - E22*$B$15 - F22*$B$16)</t>
  </si>
  <si>
    <t xml:space="preserve">=H22/($B$9*(1-H22*$AE$5*$B$5/1000) - L22*($B$11+$B$12) - M22*(2*$B$11+$B$13) - E22*$B$15 - F22*$B$16)</t>
  </si>
  <si>
    <t xml:space="preserve">N22</t>
  </si>
  <si>
    <t xml:space="preserve">=K22/($B$9 - H22*$AE$3 - L22*($B$11+$B$12) - M22*(2*$B$11+$B$13) - E22*$B$15 - F22*$B$16)</t>
  </si>
  <si>
    <t xml:space="preserve">=K22/($B$9*(1-H22*$AE$3*$B$5/1000) - L22*($B$11+$B$12) - M22*(2*$B$11+$B$13) - E22*$B$15 - F22*$B$16)</t>
  </si>
  <si>
    <t xml:space="preserve">J23</t>
  </si>
  <si>
    <t xml:space="preserve">=H23/($B$9 - H23*$AE$5 - L23*($B$11+$B$12) - M23*(2*$B$11+$B$13) - E23*$B$15 - F23*$B$16)</t>
  </si>
  <si>
    <t xml:space="preserve">=H23/($B$9*(1-H23*$AE$5*$B$5/1000) - L23*($B$11+$B$12) - M23*(2*$B$11+$B$13) - E23*$B$15 - F23*$B$16)</t>
  </si>
  <si>
    <t xml:space="preserve">N23</t>
  </si>
  <si>
    <t xml:space="preserve">=K23/($B$9 - H23*$AE$3 - L23*($B$11+$B$12) - M23*(2*$B$11+$B$13) - E23*$B$15 - F23*$B$16)</t>
  </si>
  <si>
    <t xml:space="preserve">=K23/($B$9*(1-H23*$AE$3*$B$5/1000) - L23*($B$11+$B$12) - M23*(2*$B$11+$B$13) - E23*$B$15 - F23*$B$16)</t>
  </si>
  <si>
    <t xml:space="preserve">J24</t>
  </si>
  <si>
    <t xml:space="preserve">=H24/($B$9 - H24*$AE$5 - L24*($B$11+$B$12) - M24*(2*$B$11+$B$13) - E24*$B$15 - F24*$B$16)</t>
  </si>
  <si>
    <t xml:space="preserve">=H24/($B$9*(1-H24*$AE$5*$B$5/1000) - L24*($B$11+$B$12) - M24*(2*$B$11+$B$13) - E24*$B$15 - F24*$B$16)</t>
  </si>
  <si>
    <t xml:space="preserve">N24</t>
  </si>
  <si>
    <t xml:space="preserve">=K24/($B$9 - H24*$AE$3 - L24*($B$11+$B$12) - M24*(2*$B$11+$B$13) - E24*$B$15 - F24*$B$16)</t>
  </si>
  <si>
    <t xml:space="preserve">=K24/($B$9*(1-H24*$AE$3*$B$5/1000) - L24*($B$11+$B$12) - M24*(2*$B$11+$B$13) - E24*$B$15 - F24*$B$16)</t>
  </si>
  <si>
    <t xml:space="preserve">J25</t>
  </si>
  <si>
    <t xml:space="preserve">=H25/($B$9 - H25*$AE$5 - L25*($B$11+$B$12) - M25*(2*$B$11+$B$13) - E25*$B$15 - F25*$B$16)</t>
  </si>
  <si>
    <t xml:space="preserve">=H25/($B$9*(1-H25*$AE$5*$B$5/1000) - L25*($B$11+$B$12) - M25*(2*$B$11+$B$13) - E25*$B$15 - F25*$B$16)</t>
  </si>
  <si>
    <t xml:space="preserve">N25</t>
  </si>
  <si>
    <t xml:space="preserve">=K25/($B$9 - H25*$AE$3 - L25*($B$11+$B$12) - M25*(2*$B$11+$B$13) - E25*$B$15 - F25*$B$16)</t>
  </si>
  <si>
    <t xml:space="preserve">=K25/($B$9*(1-H25*$AE$3*$B$5/1000) - L25*($B$11+$B$12) - M25*(2*$B$11+$B$13) - E25*$B$15 - F25*$B$16)</t>
  </si>
  <si>
    <t xml:space="preserve">J26</t>
  </si>
  <si>
    <t xml:space="preserve">=H26/($B$9 - H26*$AE$5 - L26*($B$11+$B$12) - M26*(2*$B$11+$B$13) - E26*$B$15 - F26*$B$16)</t>
  </si>
  <si>
    <t xml:space="preserve">=H26/($B$9*(1-H26*$AE$5*$B$5/1000) - L26*($B$11+$B$12) - M26*(2*$B$11+$B$13) - E26*$B$15 - F26*$B$16)</t>
  </si>
  <si>
    <t xml:space="preserve">N26</t>
  </si>
  <si>
    <t xml:space="preserve">=K26/($B$9 - H26*$AE$3 - L26*($B$11+$B$12) - M26*(2*$B$11+$B$13) - E26*$B$15 - F26*$B$16)</t>
  </si>
  <si>
    <t xml:space="preserve">=K26/($B$9*(1-H26*$AE$3*$B$5/1000) - L26*($B$11+$B$12) - M26*(2*$B$11+$B$13) - E26*$B$15 - F26*$B$16)</t>
  </si>
  <si>
    <t xml:space="preserve">J27</t>
  </si>
  <si>
    <t xml:space="preserve">=H27/($B$9 - H27*$AE$5 - L27*($B$11+$B$12) - M27*(2*$B$11+$B$13) - E27*$B$15 - F27*$B$16)</t>
  </si>
  <si>
    <t xml:space="preserve">=H27/($B$9*(1-H27*$AE$5*$B$5/1000) - L27*($B$11+$B$12) - M27*(2*$B$11+$B$13) - E27*$B$15 - F27*$B$16)</t>
  </si>
  <si>
    <t xml:space="preserve">N27</t>
  </si>
  <si>
    <t xml:space="preserve">=K27/($B$9 - H27*$AE$3 - L27*($B$11+$B$12) - M27*(2*$B$11+$B$13) - E27*$B$15 - F27*$B$16)</t>
  </si>
  <si>
    <t xml:space="preserve">=K27/($B$9*(1-H27*$AE$3*$B$5/1000) - L27*($B$11+$B$12) - M27*(2*$B$11+$B$13) - E27*$B$15 - F27*$B$16)</t>
  </si>
  <si>
    <t xml:space="preserve">J28</t>
  </si>
  <si>
    <t xml:space="preserve">=H28/($B$9 - H28*$AE$5 - L28*($B$11+$B$12) - M28*(2*$B$11+$B$13) - E28*$B$15 - F28*$B$16)</t>
  </si>
  <si>
    <t xml:space="preserve">=H28/($B$9*(1-H28*$AE$5*$B$5/1000) - L28*($B$11+$B$12) - M28*(2*$B$11+$B$13) - E28*$B$15 - F28*$B$16)</t>
  </si>
  <si>
    <t xml:space="preserve">N28</t>
  </si>
  <si>
    <t xml:space="preserve">=K28/($B$9 - H28*$AE$3 - L28*($B$11+$B$12) - M28*(2*$B$11+$B$13) - E28*$B$15 - F28*$B$16)</t>
  </si>
  <si>
    <t xml:space="preserve">=K28/($B$9*(1-H28*$AE$3*$B$5/1000) - L28*($B$11+$B$12) - M28*(2*$B$11+$B$13) - E28*$B$15 - F28*$B$16)</t>
  </si>
  <si>
    <t xml:space="preserve">J29</t>
  </si>
  <si>
    <t xml:space="preserve">=H29/($B$9 - H29*$AE$5 - L29*($B$11+$B$12) - M29*(2*$B$11+$B$13) - E29*$B$15 - F29*$B$16)</t>
  </si>
  <si>
    <t xml:space="preserve">=H29/($B$9*(1-H29*$AE$5*$B$5/1000) - L29*($B$11+$B$12) - M29*(2*$B$11+$B$13) - E29*$B$15 - F29*$B$16)</t>
  </si>
  <si>
    <t xml:space="preserve">N29</t>
  </si>
  <si>
    <t xml:space="preserve">=K29/($B$9 - H29*$AE$3 - L29*($B$11+$B$12) - M29*(2*$B$11+$B$13) - E29*$B$15 - F29*$B$16)</t>
  </si>
  <si>
    <t xml:space="preserve">=K29/($B$9*(1-H29*$AE$3*$B$5/1000) - L29*($B$11+$B$12) - M29*(2*$B$11+$B$13) - E29*$B$15 - F29*$B$16)</t>
  </si>
  <si>
    <t xml:space="preserve">J30</t>
  </si>
  <si>
    <t xml:space="preserve">=H30/($B$9 - H30*$AE$5 - L30*($B$11+$B$12) - M30*(2*$B$11+$B$13) - E30*$B$15 - F30*$B$16)</t>
  </si>
  <si>
    <t xml:space="preserve">=H30/($B$9*(1-H30*$AE$5*$B$5/1000) - L30*($B$11+$B$12) - M30*(2*$B$11+$B$13) - E30*$B$15 - F30*$B$16)</t>
  </si>
  <si>
    <t xml:space="preserve">N30</t>
  </si>
  <si>
    <t xml:space="preserve">=K30/($B$9 - H30*$AE$3 - L30*($B$11+$B$12) - M30*(2*$B$11+$B$13) - E30*$B$15 - F30*$B$16)</t>
  </si>
  <si>
    <t xml:space="preserve">=K30/($B$9*(1-H30*$AE$3*$B$5/1000) - L30*($B$11+$B$12) - M30*(2*$B$11+$B$13) - E30*$B$15 - F30*$B$16)</t>
  </si>
  <si>
    <t xml:space="preserve">J31</t>
  </si>
  <si>
    <t xml:space="preserve">=H31/($B$9 - H31*$AE$6 - L31*($B$11+$B$12) - M31*(2*$B$11+$B$13) - E31*$B$15 - F31*$B$16)</t>
  </si>
  <si>
    <t xml:space="preserve">=H31/($B$9*(1-H31*$AE$6*$B$5/1000) - L31*($B$11+$B$12) - M31*(2*$B$11+$B$13) - E31*$B$15 - F31*$B$16)</t>
  </si>
  <si>
    <t xml:space="preserve">N31</t>
  </si>
  <si>
    <t xml:space="preserve">=K31/($B$9 - H31*$AE$3 - L31*($B$11+$B$12) - M31*(2*$B$11+$B$13) - E31*$B$15 - F31*$B$16)</t>
  </si>
  <si>
    <t xml:space="preserve">=K31/($B$9*(1-H31*$AE$3*$B$5/1000) - L31*($B$11+$B$12) - M31*(2*$B$11+$B$13) - E31*$B$15 - F31*$B$16)</t>
  </si>
  <si>
    <t xml:space="preserve">J32</t>
  </si>
  <si>
    <t xml:space="preserve">=H32/($B$9 - H32*$AE$6 - L32*($B$11+$B$12) - M32*(2*$B$11+$B$13) - E32*$B$15 - F32*$B$16)</t>
  </si>
  <si>
    <t xml:space="preserve">=H32/($B$9*(1-H32*$AE$6*$B$5/1000) - L32*($B$11+$B$12) - M32*(2*$B$11+$B$13) - E32*$B$15 - F32*$B$16)</t>
  </si>
  <si>
    <t xml:space="preserve">N32</t>
  </si>
  <si>
    <t xml:space="preserve">=K32/($B$9 - H32*$AE$3 - L32*($B$11+$B$12) - M32*(2*$B$11+$B$13) - E32*$B$15 - F32*$B$16)</t>
  </si>
  <si>
    <t xml:space="preserve">=K32/($B$9*(1-H32*$AE$3*$B$5/1000) - L32*($B$11+$B$12) - M32*(2*$B$11+$B$13) - E32*$B$15 - F32*$B$16)</t>
  </si>
  <si>
    <t xml:space="preserve">J33</t>
  </si>
  <si>
    <t xml:space="preserve">=H33/($B$9 - H33*$AE$6 - L33*($B$11+$B$12) - M33*(2*$B$11+$B$13) - E33*$B$15 - F33*$B$16)</t>
  </si>
  <si>
    <t xml:space="preserve">=H33/($B$9*(1-H33*$AE$6*$B$5/1000) - L33*($B$11+$B$12) - M33*(2*$B$11+$B$13) - E33*$B$15 - F33*$B$16)</t>
  </si>
  <si>
    <t xml:space="preserve">N33</t>
  </si>
  <si>
    <t xml:space="preserve">=K33/($B$9 - H33*$AE$3 - L33*($B$11+$B$12) - M33*(2*$B$11+$B$13) - E33*$B$15 - F33*$B$16)</t>
  </si>
  <si>
    <t xml:space="preserve">=K33/($B$9*(1-H33*$AE$3*$B$5/1000) - L33*($B$11+$B$12) - M33*(2*$B$11+$B$13) - E33*$B$15 - F33*$B$16)</t>
  </si>
  <si>
    <t xml:space="preserve">J34</t>
  </si>
  <si>
    <t xml:space="preserve">=H34/($B$9 - H34*$AE$6 - L34*($B$11+$B$12) - M34*(2*$B$11+$B$13) - E34*$B$15 - F34*$B$16)</t>
  </si>
  <si>
    <t xml:space="preserve">=H34/($B$9*(1-H34*$AE$6*$B$5/1000) - L34*($B$11+$B$12) - M34*(2*$B$11+$B$13) - E34*$B$15 - F34*$B$16)</t>
  </si>
  <si>
    <t xml:space="preserve">N34</t>
  </si>
  <si>
    <t xml:space="preserve">=K34/($B$9 - H34*$AE$3 - L34*($B$11+$B$12) - M34*(2*$B$11+$B$13) - E34*$B$15 - F34*$B$16)</t>
  </si>
  <si>
    <t xml:space="preserve">=K34/($B$9*(1-H34*$AE$3*$B$5/1000) - L34*($B$11+$B$12) - M34*(2*$B$11+$B$13) - E34*$B$15 - F34*$B$16)</t>
  </si>
  <si>
    <t xml:space="preserve">J35</t>
  </si>
  <si>
    <t xml:space="preserve">=H35/($B$9 - H35*$AE$6 - L35*($B$11+$B$12) - M35*(2*$B$11+$B$13) - E35*$B$15 - F35*$B$16)</t>
  </si>
  <si>
    <t xml:space="preserve">=H35/($B$9*(1-H35*$AE$6*$B$5/1000) - L35*($B$11+$B$12) - M35*(2*$B$11+$B$13) - E35*$B$15 - F35*$B$16)</t>
  </si>
  <si>
    <t xml:space="preserve">N35</t>
  </si>
  <si>
    <t xml:space="preserve">=K35/($B$9 - H35*$AE$3 - L35*($B$11+$B$12) - M35*(2*$B$11+$B$13) - E35*$B$15 - F35*$B$16)</t>
  </si>
  <si>
    <t xml:space="preserve">=K35/($B$9*(1-H35*$AE$3*$B$5/1000) - L35*($B$11+$B$12) - M35*(2*$B$11+$B$13) - E35*$B$15 - F35*$B$16)</t>
  </si>
  <si>
    <t xml:space="preserve">J36</t>
  </si>
  <si>
    <t xml:space="preserve">=H36/($B$9 - H36*$AE$6 - L36*($B$11+$B$12) - M36*(2*$B$11+$B$13) - E36*$B$15 - F36*$B$16)</t>
  </si>
  <si>
    <t xml:space="preserve">=H36/($B$9*(1-H36*$AE$6*$B$5/1000) - L36*($B$11+$B$12) - M36*(2*$B$11+$B$13) - E36*$B$15 - F36*$B$16)</t>
  </si>
  <si>
    <t xml:space="preserve">N36</t>
  </si>
  <si>
    <t xml:space="preserve">=K36/($B$9 - H36*$AE$3 - L36*($B$11+$B$12) - M36*(2*$B$11+$B$13) - E36*$B$15 - F36*$B$16)</t>
  </si>
  <si>
    <t xml:space="preserve">=K36/($B$9*(1-H36*$AE$3*$B$5/1000) - L36*($B$11+$B$12) - M36*(2*$B$11+$B$13) - E36*$B$15 - F36*$B$16)</t>
  </si>
  <si>
    <t xml:space="preserve">J37</t>
  </si>
  <si>
    <t xml:space="preserve">=H37/($B$9 - H37*$AE$6 - L37*($B$11+$B$12) - M37*(2*$B$11+$B$13) - E37*$B$15 - F37*$B$16)</t>
  </si>
  <si>
    <t xml:space="preserve">=H37/($B$9*(1-H37*$AE$6*$B$5/1000) - L37*($B$11+$B$12) - M37*(2*$B$11+$B$13) - E37*$B$15 - F37*$B$16)</t>
  </si>
  <si>
    <t xml:space="preserve">N37</t>
  </si>
  <si>
    <t xml:space="preserve">=K37/($B$9 - H37*$AE$3 - L37*($B$11+$B$12) - M37*(2*$B$11+$B$13) - E37*$B$15 - F37*$B$16)</t>
  </si>
  <si>
    <t xml:space="preserve">=K37/($B$9*(1-H37*$AE$3*$B$5/1000) - L37*($B$11+$B$12) - M37*(2*$B$11+$B$13) - E37*$B$15 - F37*$B$16)</t>
  </si>
  <si>
    <t xml:space="preserve">J38</t>
  </si>
  <si>
    <t xml:space="preserve">=H38/($B$9 - H38*$AE$6 - L38*($B$11+$B$12) - M38*(2*$B$11+$B$13) - E38*$B$15 - F38*$B$16)</t>
  </si>
  <si>
    <t xml:space="preserve">=H38/($B$9*(1-H38*$AE$6*$B$5/1000) - L38*($B$11+$B$12) - M38*(2*$B$11+$B$13) - E38*$B$15 - F38*$B$16)</t>
  </si>
  <si>
    <t xml:space="preserve">N38</t>
  </si>
  <si>
    <t xml:space="preserve">=K38/($B$9 - H38*$AE$3 - L38*($B$11+$B$12) - M38*(2*$B$11+$B$13) - E38*$B$15 - F38*$B$16)</t>
  </si>
  <si>
    <t xml:space="preserve">=K38/($B$9*(1-H38*$AE$3*$B$5/1000) - L38*($B$11+$B$12) - M38*(2*$B$11+$B$13) - E38*$B$15 - F38*$B$16)</t>
  </si>
  <si>
    <t xml:space="preserve">J39</t>
  </si>
  <si>
    <t xml:space="preserve">=H39/($B$9 - H39*$AE$6 - L39*($B$11+$B$12) - M39*(2*$B$11+$B$13) - E39*$B$15 - F39*$B$16)</t>
  </si>
  <si>
    <t xml:space="preserve">=H39/($B$9*(1-H39*$AE$6*$B$5/1000) - L39*($B$11+$B$12) - M39*(2*$B$11+$B$13) - E39*$B$15 - F39*$B$16)</t>
  </si>
  <si>
    <t xml:space="preserve">N39</t>
  </si>
  <si>
    <t xml:space="preserve">=K39/($B$9 - H39*$AE$3 - L39*($B$11+$B$12) - M39*(2*$B$11+$B$13) - E39*$B$15 - F39*$B$16)</t>
  </si>
  <si>
    <t xml:space="preserve">=K39/($B$9*(1-H39*$AE$3*$B$5/1000) - L39*($B$11+$B$12) - M39*(2*$B$11+$B$13) - E39*$B$15 - F39*$B$16)</t>
  </si>
  <si>
    <t xml:space="preserve">=(L4+3*M4)/($B$9*(1-H4*$AE$3*$B$5/1000) - L4*($B$11+$B$12) - M4*(2*$B$11+$B$13) - E4*$B$15 - F4*$B$16)</t>
  </si>
  <si>
    <t xml:space="preserve">Donnan term (equation 10): ionic strength (molal) instead of salt molality, which generalises the 1:1 expression to multivalent electrolytes</t>
  </si>
  <si>
    <t xml:space="preserve">=(L5+3*M5)/($B$9*(1-H5*$AE$3*$B$5/1000) - L5*($B$11+$B$12) - M5*(2*$B$11+$B$13) - E5*$B$15 - F5*$B$16)</t>
  </si>
  <si>
    <t xml:space="preserve">=(L6+3*M6)/($B$9*(1-H6*$AE$3*$B$5/1000) - L6*($B$11+$B$12) - M6*(2*$B$11+$B$13) - E6*$B$15 - F6*$B$16)</t>
  </si>
  <si>
    <t xml:space="preserve">=(L7+3*M7)/($B$9*(1-H7*$AE$3*$B$5/1000) - L7*($B$11+$B$12) - M7*(2*$B$11+$B$13) - E7*$B$15 - F7*$B$16)</t>
  </si>
  <si>
    <t xml:space="preserve">=(L8+3*M8)/($B$9*(1-H8*$AE$3*$B$5/1000) - L8*($B$11+$B$12) - M8*(2*$B$11+$B$13) - E8*$B$15 - F8*$B$16)</t>
  </si>
  <si>
    <t xml:space="preserve">=(L9+3*M9)/($B$9*(1-H9*$AE$3*$B$5/1000) - L9*($B$11+$B$12) - M9*(2*$B$11+$B$13) - E9*$B$15 - F9*$B$16)</t>
  </si>
  <si>
    <t xml:space="preserve">=(L10+3*M10)/($B$9*(1-H10*$AE$3*$B$5/1000) - L10*($B$11+$B$12) - M10*(2*$B$11+$B$13) - E10*$B$15 - F10*$B$16)</t>
  </si>
  <si>
    <t xml:space="preserve">=(L11+3*M11)/($B$9*(1-H11*$AE$3*$B$5/1000) - L11*($B$11+$B$12) - M11*(2*$B$11+$B$13) - E11*$B$15 - F11*$B$16)</t>
  </si>
  <si>
    <t xml:space="preserve">=(L12+3*M12)/($B$9*(1-H12*$AE$3*$B$5/1000) - L12*($B$11+$B$12) - M12*(2*$B$11+$B$13) - E12*$B$15 - F12*$B$16)</t>
  </si>
  <si>
    <t xml:space="preserve">=(L13+3*M13)/($B$9*(1-H13*$AE$3*$B$5/1000) - L13*($B$11+$B$12) - M13*(2*$B$11+$B$13) - E13*$B$15 - F13*$B$16)</t>
  </si>
  <si>
    <t xml:space="preserve">=(L14+3*M14)/($B$9*(1-H14*$AE$3*$B$5/1000) - L14*($B$11+$B$12) - M14*(2*$B$11+$B$13) - E14*$B$15 - F14*$B$16)</t>
  </si>
  <si>
    <t xml:space="preserve">=(L15+3*M15)/($B$9*(1-H15*$AE$3*$B$5/1000) - L15*($B$11+$B$12) - M15*(2*$B$11+$B$13) - E15*$B$15 - F15*$B$16)</t>
  </si>
  <si>
    <t xml:space="preserve">=(L16+3*M16)/($B$9*(1-H16*$AE$3*$B$5/1000) - L16*($B$11+$B$12) - M16*(2*$B$11+$B$13) - E16*$B$15 - F16*$B$16)</t>
  </si>
  <si>
    <t xml:space="preserve">=(L17+3*M17)/($B$9*(1-H17*$AE$3*$B$5/1000) - L17*($B$11+$B$12) - M17*(2*$B$11+$B$13) - E17*$B$15 - F17*$B$16)</t>
  </si>
  <si>
    <t xml:space="preserve">=(L18+3*M18)/($B$9*(1-H18*$AE$3*$B$5/1000) - L18*($B$11+$B$12) - M18*(2*$B$11+$B$13) - E18*$B$15 - F18*$B$16)</t>
  </si>
  <si>
    <t xml:space="preserve">=(L19+3*M19)/($B$9*(1-H19*$AE$3*$B$5/1000) - L19*($B$11+$B$12) - M19*(2*$B$11+$B$13) - E19*$B$15 - F19*$B$16)</t>
  </si>
  <si>
    <t xml:space="preserve">=(L20+3*M20)/($B$9*(1-H20*$AE$3*$B$5/1000) - L20*($B$11+$B$12) - M20*(2*$B$11+$B$13) - E20*$B$15 - F20*$B$16)</t>
  </si>
  <si>
    <t xml:space="preserve">=(L21+3*M21)/($B$9*(1-H21*$AE$3*$B$5/1000) - L21*($B$11+$B$12) - M21*(2*$B$11+$B$13) - E21*$B$15 - F21*$B$16)</t>
  </si>
  <si>
    <t xml:space="preserve">=(L22+3*M22)/($B$9*(1-H22*$AE$3*$B$5/1000) - L22*($B$11+$B$12) - M22*(2*$B$11+$B$13) - E22*$B$15 - F22*$B$16)</t>
  </si>
  <si>
    <t xml:space="preserve">=(L23+3*M23)/($B$9*(1-H23*$AE$3*$B$5/1000) - L23*($B$11+$B$12) - M23*(2*$B$11+$B$13) - E23*$B$15 - F23*$B$16)</t>
  </si>
  <si>
    <t xml:space="preserve">=(L24+3*M24)/($B$9*(1-H24*$AE$3*$B$5/1000) - L24*($B$11+$B$12) - M24*(2*$B$11+$B$13) - E24*$B$15 - F24*$B$16)</t>
  </si>
  <si>
    <t xml:space="preserve">=(L25+3*M25)/($B$9*(1-H25*$AE$3*$B$5/1000) - L25*($B$11+$B$12) - M25*(2*$B$11+$B$13) - E25*$B$15 - F25*$B$16)</t>
  </si>
  <si>
    <t xml:space="preserve">=(L26+3*M26)/($B$9*(1-H26*$AE$3*$B$5/1000) - L26*($B$11+$B$12) - M26*(2*$B$11+$B$13) - E26*$B$15 - F26*$B$16)</t>
  </si>
  <si>
    <t xml:space="preserve">=(L27+3*M27)/($B$9*(1-H27*$AE$3*$B$5/1000) - L27*($B$11+$B$12) - M27*(2*$B$11+$B$13) - E27*$B$15 - F27*$B$16)</t>
  </si>
  <si>
    <t xml:space="preserve">=(L28+3*M28)/($B$9*(1-H28*$AE$3*$B$5/1000) - L28*($B$11+$B$12) - M28*(2*$B$11+$B$13) - E28*$B$15 - F28*$B$16)</t>
  </si>
  <si>
    <t xml:space="preserve">=(L29+3*M29)/($B$9*(1-H29*$AE$3*$B$5/1000) - L29*($B$11+$B$12) - M29*(2*$B$11+$B$13) - E29*$B$15 - F29*$B$16)</t>
  </si>
  <si>
    <t xml:space="preserve">=(L30+3*M30)/($B$9*(1-H30*$AE$3*$B$5/1000) - L30*($B$11+$B$12) - M30*(2*$B$11+$B$13) - E30*$B$15 - F30*$B$16)</t>
  </si>
  <si>
    <t xml:space="preserve">=(L31+3*M31)/($B$9*(1-H31*$AE$3*$B$5/1000) - L31*($B$11+$B$12) - M31*(2*$B$11+$B$13) - E31*$B$15 - F31*$B$16)</t>
  </si>
  <si>
    <t xml:space="preserve">=(L32+3*M32)/($B$9*(1-H32*$AE$3*$B$5/1000) - L32*($B$11+$B$12) - M32*(2*$B$11+$B$13) - E32*$B$15 - F32*$B$16)</t>
  </si>
  <si>
    <t xml:space="preserve">=(L33+3*M33)/($B$9*(1-H33*$AE$3*$B$5/1000) - L33*($B$11+$B$12) - M33*(2*$B$11+$B$13) - E33*$B$15 - F33*$B$16)</t>
  </si>
  <si>
    <t xml:space="preserve">=(L34+3*M34)/($B$9*(1-H34*$AE$3*$B$5/1000) - L34*($B$11+$B$12) - M34*(2*$B$11+$B$13) - E34*$B$15 - F34*$B$16)</t>
  </si>
  <si>
    <t xml:space="preserve">=(L35+3*M35)/($B$9*(1-H35*$AE$3*$B$5/1000) - L35*($B$11+$B$12) - M35*(2*$B$11+$B$13) - E35*$B$15 - F35*$B$16)</t>
  </si>
  <si>
    <t xml:space="preserve">=(L36+3*M36)/($B$9*(1-H36*$AE$3*$B$5/1000) - L36*($B$11+$B$12) - M36*(2*$B$11+$B$13) - E36*$B$15 - F36*$B$16)</t>
  </si>
  <si>
    <t xml:space="preserve">=(L37+3*M37)/($B$9*(1-H37*$AE$3*$B$5/1000) - L37*($B$11+$B$12) - M37*(2*$B$11+$B$13) - E37*$B$15 - F37*$B$16)</t>
  </si>
  <si>
    <t xml:space="preserve">=(L38+3*M38)/($B$9*(1-H38*$AE$3*$B$5/1000) - L38*($B$11+$B$12) - M38*(2*$B$11+$B$13) - E38*$B$15 - F38*$B$16)</t>
  </si>
  <si>
    <t xml:space="preserve">=(L39+3*M39)/($B$9*(1-H39*$AE$3*$B$5/1000) - L39*($B$11+$B$12) - M39*(2*$B$11+$B$13) - E39*$B$15 - F39*$B$16)</t>
  </si>
  <si>
    <t xml:space="preserve">N3</t>
  </si>
  <si>
    <t xml:space="preserve">mBuffer (mol/g)</t>
  </si>
  <si>
    <t xml:space="preserve">header</t>
  </si>
  <si>
    <t xml:space="preserve">Z4</t>
  </si>
  <si>
    <t xml:space="preserve">=X4*$B$9*18.01528/($B$9*18.01528 + H4+E4+F4+K4)</t>
  </si>
  <si>
    <t xml:space="preserve">=X4</t>
  </si>
  <si>
    <t xml:space="preserve">the original "molar" conversion equals gamma_m to within 1e-4; the column now states that it holds the molal value</t>
  </si>
  <si>
    <t xml:space="preserve">AA4</t>
  </si>
  <si>
    <t xml:space="preserve">=Y4*$B$9*18.01528/($B$9*18.01528 + H4+E4+F4+K4)</t>
  </si>
  <si>
    <t xml:space="preserve">=Y4</t>
  </si>
  <si>
    <t xml:space="preserve">Z5</t>
  </si>
  <si>
    <t xml:space="preserve">=X5*$B$9*18.01528/($B$9*18.01528 + H5+E5+F5+K5)</t>
  </si>
  <si>
    <t xml:space="preserve">=X5</t>
  </si>
  <si>
    <t xml:space="preserve">AA5</t>
  </si>
  <si>
    <t xml:space="preserve">=Y5*$B$9*18.01528/($B$9*18.01528 + H5+E5+F5+K5)</t>
  </si>
  <si>
    <t xml:space="preserve">=Y5</t>
  </si>
  <si>
    <t xml:space="preserve">Z6</t>
  </si>
  <si>
    <t xml:space="preserve">=X6*$B$9*18.01528/($B$9*18.01528 + H6+E6+F6+K6)</t>
  </si>
  <si>
    <t xml:space="preserve">=X6</t>
  </si>
  <si>
    <t xml:space="preserve">AA6</t>
  </si>
  <si>
    <t xml:space="preserve">=Y6*$B$9*18.01528/($B$9*18.01528 + H6+E6+F6+K6)</t>
  </si>
  <si>
    <t xml:space="preserve">=Y6</t>
  </si>
  <si>
    <t xml:space="preserve">Z7</t>
  </si>
  <si>
    <t xml:space="preserve">=X7*$B$9*18.01528/($B$9*18.01528 + H7+E7+F7+K7)</t>
  </si>
  <si>
    <t xml:space="preserve">=X7</t>
  </si>
  <si>
    <t xml:space="preserve">AA7</t>
  </si>
  <si>
    <t xml:space="preserve">=Y7*$B$9*18.01528/($B$9*18.01528 + H7+E7+F7+K7)</t>
  </si>
  <si>
    <t xml:space="preserve">=Y7</t>
  </si>
  <si>
    <t xml:space="preserve">Z8</t>
  </si>
  <si>
    <t xml:space="preserve">=X8*$B$9*18.01528/($B$9*18.01528 + H8+E8+F8+K8)</t>
  </si>
  <si>
    <t xml:space="preserve">=X8</t>
  </si>
  <si>
    <t xml:space="preserve">AA8</t>
  </si>
  <si>
    <t xml:space="preserve">=Y8*$B$9*18.01528/($B$9*18.01528 + H8+E8+F8+K8)</t>
  </si>
  <si>
    <t xml:space="preserve">=Y8</t>
  </si>
  <si>
    <t xml:space="preserve">Z9</t>
  </si>
  <si>
    <t xml:space="preserve">=X9*$B$9*18.01528/($B$9*18.01528 + H9+E9+F9+K9)</t>
  </si>
  <si>
    <t xml:space="preserve">=X9</t>
  </si>
  <si>
    <t xml:space="preserve">AA9</t>
  </si>
  <si>
    <t xml:space="preserve">=Y9*$B$9*18.01528/($B$9*18.01528 + H9+E9+F9+K9)</t>
  </si>
  <si>
    <t xml:space="preserve">=Y9</t>
  </si>
  <si>
    <t xml:space="preserve">Z10</t>
  </si>
  <si>
    <t xml:space="preserve">=X10*$B$9*18.01528/($B$9*18.01528 + H10+E10+F10+K10)</t>
  </si>
  <si>
    <t xml:space="preserve">=X10</t>
  </si>
  <si>
    <t xml:space="preserve">AA10</t>
  </si>
  <si>
    <t xml:space="preserve">=Y10*$B$9*18.01528/($B$9*18.01528 + H10+E10+F10+K10)</t>
  </si>
  <si>
    <t xml:space="preserve">=Y10</t>
  </si>
  <si>
    <t xml:space="preserve">Z11</t>
  </si>
  <si>
    <t xml:space="preserve">=X11*$B$9*18.01528/($B$9*18.01528 + H11+E11+F11+K11)</t>
  </si>
  <si>
    <t xml:space="preserve">=X11</t>
  </si>
  <si>
    <t xml:space="preserve">AA11</t>
  </si>
  <si>
    <t xml:space="preserve">=Y11*$B$9*18.01528/($B$9*18.01528 + H11+E11+F11+K11)</t>
  </si>
  <si>
    <t xml:space="preserve">=Y11</t>
  </si>
  <si>
    <t xml:space="preserve">Z12</t>
  </si>
  <si>
    <t xml:space="preserve">=X12*$B$9*18.01528/($B$9*18.01528 + H12+E12+F12+K12)</t>
  </si>
  <si>
    <t xml:space="preserve">=X12</t>
  </si>
  <si>
    <t xml:space="preserve">AA12</t>
  </si>
  <si>
    <t xml:space="preserve">=Y12*$B$9*18.01528/($B$9*18.01528 + H12+E12+F12+K12)</t>
  </si>
  <si>
    <t xml:space="preserve">=Y12</t>
  </si>
  <si>
    <t xml:space="preserve">Z13</t>
  </si>
  <si>
    <t xml:space="preserve">=X13*$B$9*18.01528/($B$9*18.01528 + H13+E13+F13+K13)</t>
  </si>
  <si>
    <t xml:space="preserve">=X13</t>
  </si>
  <si>
    <t xml:space="preserve">AA13</t>
  </si>
  <si>
    <t xml:space="preserve">=Y13*$B$9*18.01528/($B$9*18.01528 + H13+E13+F13+K13)</t>
  </si>
  <si>
    <t xml:space="preserve">=Y13</t>
  </si>
  <si>
    <t xml:space="preserve">Z14</t>
  </si>
  <si>
    <t xml:space="preserve">=X14*$B$9*18.01528/($B$9*18.01528 + H14+E14+F14+K14)</t>
  </si>
  <si>
    <t xml:space="preserve">=X14</t>
  </si>
  <si>
    <t xml:space="preserve">AA14</t>
  </si>
  <si>
    <t xml:space="preserve">=Y14*$B$9*18.01528/($B$9*18.01528 + H14+E14+F14+K14)</t>
  </si>
  <si>
    <t xml:space="preserve">=Y14</t>
  </si>
  <si>
    <t xml:space="preserve">Z15</t>
  </si>
  <si>
    <t xml:space="preserve">=X15*$B$9*18.01528/($B$9*18.01528 + H15+E15+F15+K15)</t>
  </si>
  <si>
    <t xml:space="preserve">=X15</t>
  </si>
  <si>
    <t xml:space="preserve">AA15</t>
  </si>
  <si>
    <t xml:space="preserve">=Y15*$B$9*18.01528/($B$9*18.01528 + H15+E15+F15+K15)</t>
  </si>
  <si>
    <t xml:space="preserve">=Y15</t>
  </si>
  <si>
    <t xml:space="preserve">Z16</t>
  </si>
  <si>
    <t xml:space="preserve">=X16*$B$9*18.01528/($B$9*18.01528 + H16+E16+F16+K16)</t>
  </si>
  <si>
    <t xml:space="preserve">=X16</t>
  </si>
  <si>
    <t xml:space="preserve">AA16</t>
  </si>
  <si>
    <t xml:space="preserve">=Y16*$B$9*18.01528/($B$9*18.01528 + H16+E16+F16+K16)</t>
  </si>
  <si>
    <t xml:space="preserve">=Y16</t>
  </si>
  <si>
    <t xml:space="preserve">Z17</t>
  </si>
  <si>
    <t xml:space="preserve">=X17*$B$9*18.01528/($B$9*18.01528 + H17+E17+F17+K17)</t>
  </si>
  <si>
    <t xml:space="preserve">=X17</t>
  </si>
  <si>
    <t xml:space="preserve">AA17</t>
  </si>
  <si>
    <t xml:space="preserve">=Y17*$B$9*18.01528/($B$9*18.01528 + H17+E17+F17+K17)</t>
  </si>
  <si>
    <t xml:space="preserve">=Y17</t>
  </si>
  <si>
    <t xml:space="preserve">Z18</t>
  </si>
  <si>
    <t xml:space="preserve">=X18*$B$9*18.01528/($B$9*18.01528 + H18+E18+F18+K18)</t>
  </si>
  <si>
    <t xml:space="preserve">=X18</t>
  </si>
  <si>
    <t xml:space="preserve">AA18</t>
  </si>
  <si>
    <t xml:space="preserve">=Y18*$B$9*18.01528/($B$9*18.01528 + H18+E18+F18+K18)</t>
  </si>
  <si>
    <t xml:space="preserve">=Y18</t>
  </si>
  <si>
    <t xml:space="preserve">Z19</t>
  </si>
  <si>
    <t xml:space="preserve">=X19*$B$9*18.01528/($B$9*18.01528 + H19+E19+F19+K19)</t>
  </si>
  <si>
    <t xml:space="preserve">=X19</t>
  </si>
  <si>
    <t xml:space="preserve">AA19</t>
  </si>
  <si>
    <t xml:space="preserve">=Y19*$B$9*18.01528/($B$9*18.01528 + H19+E19+F19+K19)</t>
  </si>
  <si>
    <t xml:space="preserve">=Y19</t>
  </si>
  <si>
    <t xml:space="preserve">Z20</t>
  </si>
  <si>
    <t xml:space="preserve">=X20*$B$9*18.01528/($B$9*18.01528 + H20+E20+F20+K20)</t>
  </si>
  <si>
    <t xml:space="preserve">=X20</t>
  </si>
  <si>
    <t xml:space="preserve">AA20</t>
  </si>
  <si>
    <t xml:space="preserve">=Y20*$B$9*18.01528/($B$9*18.01528 + H20+E20+F20+K20)</t>
  </si>
  <si>
    <t xml:space="preserve">=Y20</t>
  </si>
  <si>
    <t xml:space="preserve">Z21</t>
  </si>
  <si>
    <t xml:space="preserve">=X21*$B$9*18.01528/($B$9*18.01528 + H21+E21+F21+K21)</t>
  </si>
  <si>
    <t xml:space="preserve">=X21</t>
  </si>
  <si>
    <t xml:space="preserve">AA21</t>
  </si>
  <si>
    <t xml:space="preserve">=Y21*$B$9*18.01528/($B$9*18.01528 + H21+E21+F21+K21)</t>
  </si>
  <si>
    <t xml:space="preserve">=Y21</t>
  </si>
  <si>
    <t xml:space="preserve">Z22</t>
  </si>
  <si>
    <t xml:space="preserve">=X22*$B$9*18.01528/($B$9*18.01528 + H22+E22+F22+K22)</t>
  </si>
  <si>
    <t xml:space="preserve">=X22</t>
  </si>
  <si>
    <t xml:space="preserve">AA22</t>
  </si>
  <si>
    <t xml:space="preserve">=Y22*$B$9*18.01528/($B$9*18.01528 + H22+E22+F22+K22)</t>
  </si>
  <si>
    <t xml:space="preserve">=Y22</t>
  </si>
  <si>
    <t xml:space="preserve">Z23</t>
  </si>
  <si>
    <t xml:space="preserve">=X23*$B$9*18.01528/($B$9*18.01528 + H23+E23+F23+K23)</t>
  </si>
  <si>
    <t xml:space="preserve">=X23</t>
  </si>
  <si>
    <t xml:space="preserve">AA23</t>
  </si>
  <si>
    <t xml:space="preserve">=Y23*$B$9*18.01528/($B$9*18.01528 + H23+E23+F23+K23)</t>
  </si>
  <si>
    <t xml:space="preserve">=Y23</t>
  </si>
  <si>
    <t xml:space="preserve">Z24</t>
  </si>
  <si>
    <t xml:space="preserve">=X24*$B$9*18.01528/($B$9*18.01528 + H24+E24+F24+K24)</t>
  </si>
  <si>
    <t xml:space="preserve">=X24</t>
  </si>
  <si>
    <t xml:space="preserve">AA24</t>
  </si>
  <si>
    <t xml:space="preserve">=Y24*$B$9*18.01528/($B$9*18.01528 + H24+E24+F24+K24)</t>
  </si>
  <si>
    <t xml:space="preserve">=Y24</t>
  </si>
  <si>
    <t xml:space="preserve">Z25</t>
  </si>
  <si>
    <t xml:space="preserve">=X25*$B$9*18.01528/($B$9*18.01528 + H25+E25+F25+K25)</t>
  </si>
  <si>
    <t xml:space="preserve">=X25</t>
  </si>
  <si>
    <t xml:space="preserve">AA25</t>
  </si>
  <si>
    <t xml:space="preserve">=Y25*$B$9*18.01528/($B$9*18.01528 + H25+E25+F25+K25)</t>
  </si>
  <si>
    <t xml:space="preserve">=Y25</t>
  </si>
  <si>
    <t xml:space="preserve">Z26</t>
  </si>
  <si>
    <t xml:space="preserve">=X26*$B$9*18.01528/($B$9*18.01528 + H26+E26+F26+K26)</t>
  </si>
  <si>
    <t xml:space="preserve">=X26</t>
  </si>
  <si>
    <t xml:space="preserve">AA26</t>
  </si>
  <si>
    <t xml:space="preserve">=Y26*$B$9*18.01528/($B$9*18.01528 + H26+E26+F26+K26)</t>
  </si>
  <si>
    <t xml:space="preserve">=Y26</t>
  </si>
  <si>
    <t xml:space="preserve">Z27</t>
  </si>
  <si>
    <t xml:space="preserve">=X27*$B$9*18.01528/($B$9*18.01528 + H27+E27+F27+K27)</t>
  </si>
  <si>
    <t xml:space="preserve">=X27</t>
  </si>
  <si>
    <t xml:space="preserve">AA27</t>
  </si>
  <si>
    <t xml:space="preserve">=Y27*$B$9*18.01528/($B$9*18.01528 + H27+E27+F27+K27)</t>
  </si>
  <si>
    <t xml:space="preserve">=Y27</t>
  </si>
  <si>
    <t xml:space="preserve">Z28</t>
  </si>
  <si>
    <t xml:space="preserve">=X28*$B$9*18.01528/($B$9*18.01528 + H28+E28+F28+K28)</t>
  </si>
  <si>
    <t xml:space="preserve">=X28</t>
  </si>
  <si>
    <t xml:space="preserve">AA28</t>
  </si>
  <si>
    <t xml:space="preserve">=Y28*$B$9*18.01528/($B$9*18.01528 + H28+E28+F28+K28)</t>
  </si>
  <si>
    <t xml:space="preserve">=Y28</t>
  </si>
  <si>
    <t xml:space="preserve">Z29</t>
  </si>
  <si>
    <t xml:space="preserve">=X29*$B$9*18.01528/($B$9*18.01528 + H29+E29+F29+K29)</t>
  </si>
  <si>
    <t xml:space="preserve">=X29</t>
  </si>
  <si>
    <t xml:space="preserve">AA29</t>
  </si>
  <si>
    <t xml:space="preserve">=Y29*$B$9*18.01528/($B$9*18.01528 + H29+E29+F29+K29)</t>
  </si>
  <si>
    <t xml:space="preserve">=Y29</t>
  </si>
  <si>
    <t xml:space="preserve">Z30</t>
  </si>
  <si>
    <t xml:space="preserve">=X30*$B$9*18.01528/($B$9*18.01528 + H30+E30+F30+K30)</t>
  </si>
  <si>
    <t xml:space="preserve">=X30</t>
  </si>
  <si>
    <t xml:space="preserve">AA30</t>
  </si>
  <si>
    <t xml:space="preserve">=Y30*$B$9*18.01528/($B$9*18.01528 + H30+E30+F30+K30)</t>
  </si>
  <si>
    <t xml:space="preserve">=Y30</t>
  </si>
  <si>
    <t xml:space="preserve">Z31</t>
  </si>
  <si>
    <t xml:space="preserve">=X31*$B$9*18.01528/($B$9*18.01528 + H31+E31+F31+K31)</t>
  </si>
  <si>
    <t xml:space="preserve">=X31</t>
  </si>
  <si>
    <t xml:space="preserve">AA31</t>
  </si>
  <si>
    <t xml:space="preserve">=Y31*$B$9*18.01528/($B$9*18.01528 + H31+E31+F31+K31)</t>
  </si>
  <si>
    <t xml:space="preserve">=Y31</t>
  </si>
  <si>
    <t xml:space="preserve">Z32</t>
  </si>
  <si>
    <t xml:space="preserve">=X32*$B$9*18.01528/($B$9*18.01528 + H32+E32+F32+K32)</t>
  </si>
  <si>
    <t xml:space="preserve">=X32</t>
  </si>
  <si>
    <t xml:space="preserve">AA32</t>
  </si>
  <si>
    <t xml:space="preserve">=Y32*$B$9*18.01528/($B$9*18.01528 + H32+E32+F32+K32)</t>
  </si>
  <si>
    <t xml:space="preserve">=Y32</t>
  </si>
  <si>
    <t xml:space="preserve">Z33</t>
  </si>
  <si>
    <t xml:space="preserve">=X33*$B$9*18.01528/($B$9*18.01528 + H33+E33+F33+K33)</t>
  </si>
  <si>
    <t xml:space="preserve">=X33</t>
  </si>
  <si>
    <t xml:space="preserve">AA33</t>
  </si>
  <si>
    <t xml:space="preserve">=Y33*$B$9*18.01528/($B$9*18.01528 + H33+E33+F33+K33)</t>
  </si>
  <si>
    <t xml:space="preserve">=Y33</t>
  </si>
  <si>
    <t xml:space="preserve">Z34</t>
  </si>
  <si>
    <t xml:space="preserve">=X34*$B$9*18.01528/($B$9*18.01528 + H34+E34+F34+K34)</t>
  </si>
  <si>
    <t xml:space="preserve">=X34</t>
  </si>
  <si>
    <t xml:space="preserve">AA34</t>
  </si>
  <si>
    <t xml:space="preserve">=Y34*$B$9*18.01528/($B$9*18.01528 + H34+E34+F34+K34)</t>
  </si>
  <si>
    <t xml:space="preserve">=Y34</t>
  </si>
  <si>
    <t xml:space="preserve">Z35</t>
  </si>
  <si>
    <t xml:space="preserve">=X35*$B$9*18.01528/($B$9*18.01528 + H35+E35+F35+K35)</t>
  </si>
  <si>
    <t xml:space="preserve">=X35</t>
  </si>
  <si>
    <t xml:space="preserve">AA35</t>
  </si>
  <si>
    <t xml:space="preserve">=Y35*$B$9*18.01528/($B$9*18.01528 + H35+E35+F35+K35)</t>
  </si>
  <si>
    <t xml:space="preserve">=Y35</t>
  </si>
  <si>
    <t xml:space="preserve">Z36</t>
  </si>
  <si>
    <t xml:space="preserve">=X36*$B$9*18.01528/($B$9*18.01528 + H36+E36+F36+K36)</t>
  </si>
  <si>
    <t xml:space="preserve">=X36</t>
  </si>
  <si>
    <t xml:space="preserve">AA36</t>
  </si>
  <si>
    <t xml:space="preserve">=Y36*$B$9*18.01528/($B$9*18.01528 + H36+E36+F36+K36)</t>
  </si>
  <si>
    <t xml:space="preserve">=Y36</t>
  </si>
  <si>
    <t xml:space="preserve">Z37</t>
  </si>
  <si>
    <t xml:space="preserve">=X37*$B$9*18.01528/($B$9*18.01528 + H37+E37+F37+K37)</t>
  </si>
  <si>
    <t xml:space="preserve">=X37</t>
  </si>
  <si>
    <t xml:space="preserve">AA37</t>
  </si>
  <si>
    <t xml:space="preserve">=Y37*$B$9*18.01528/($B$9*18.01528 + H37+E37+F37+K37)</t>
  </si>
  <si>
    <t xml:space="preserve">=Y37</t>
  </si>
  <si>
    <t xml:space="preserve">Z38</t>
  </si>
  <si>
    <t xml:space="preserve">=X38*$B$9*18.01528/($B$9*18.01528 + H38+E38+F38+K38)</t>
  </si>
  <si>
    <t xml:space="preserve">=X38</t>
  </si>
  <si>
    <t xml:space="preserve">AA38</t>
  </si>
  <si>
    <t xml:space="preserve">=Y38*$B$9*18.01528/($B$9*18.01528 + H38+E38+F38+K38)</t>
  </si>
  <si>
    <t xml:space="preserve">=Y38</t>
  </si>
  <si>
    <t xml:space="preserve">Z39</t>
  </si>
  <si>
    <t xml:space="preserve">=X39*$B$9*18.01528/($B$9*18.01528 + H39+E39+F39+K39)</t>
  </si>
  <si>
    <t xml:space="preserve">=X39</t>
  </si>
  <si>
    <t xml:space="preserve">AA39</t>
  </si>
  <si>
    <t xml:space="preserve">=Y39*$B$9*18.01528/($B$9*18.01528 + H39+E39+F39+K39)</t>
  </si>
  <si>
    <t xml:space="preserve">=Y39</t>
  </si>
  <si>
    <t xml:space="preserve">Z3</t>
  </si>
  <si>
    <t xml:space="preserve">𝜸 (c)</t>
  </si>
  <si>
    <t xml:space="preserve">AA3</t>
  </si>
  <si>
    <t xml:space="preserve">𝜸 Agena (c)</t>
  </si>
  <si>
    <t xml:space="preserve">U5</t>
  </si>
  <si>
    <t xml:space="preserve">-346510.191176261</t>
  </si>
  <si>
    <t xml:space="preserve">-323975</t>
  </si>
  <si>
    <t xml:space="preserve">phi-1 fit: polynomial refitted (least squares, rows 4-12)</t>
  </si>
  <si>
    <t xml:space="preserve">U6</t>
  </si>
  <si>
    <t xml:space="preserve">530308103140.101</t>
  </si>
  <si>
    <t xml:space="preserve">5.31637e+11</t>
  </si>
  <si>
    <t xml:space="preserve">U7</t>
  </si>
  <si>
    <t xml:space="preserve">-4.80396665063016e+17</t>
  </si>
  <si>
    <t xml:space="preserve">-4.87833e+17</t>
  </si>
  <si>
    <t xml:space="preserve">U8</t>
  </si>
  <si>
    <t xml:space="preserve">1.56147417235502e+23</t>
  </si>
  <si>
    <t xml:space="preserve">1.59717e+23</t>
  </si>
  <si>
    <t xml:space="preserve">U14</t>
  </si>
  <si>
    <t xml:space="preserve">-900364.220234664</t>
  </si>
  <si>
    <t xml:space="preserve">-895174</t>
  </si>
  <si>
    <t xml:space="preserve">phi-1 fit: polynomial refitted (least squares, rows 13-21)</t>
  </si>
  <si>
    <t xml:space="preserve">U15</t>
  </si>
  <si>
    <t xml:space="preserve">1541334210446.58</t>
  </si>
  <si>
    <t xml:space="preserve">1.55293e+12</t>
  </si>
  <si>
    <t xml:space="preserve">U16</t>
  </si>
  <si>
    <t xml:space="preserve">-1.22466715332557e+18</t>
  </si>
  <si>
    <t xml:space="preserve">-1.24169e+18</t>
  </si>
  <si>
    <t xml:space="preserve">U17</t>
  </si>
  <si>
    <t xml:space="preserve">3.44731791367686e+23</t>
  </si>
  <si>
    <t xml:space="preserve">3.51594e+23</t>
  </si>
  <si>
    <t xml:space="preserve">U23</t>
  </si>
  <si>
    <t xml:space="preserve">-297929.869252938</t>
  </si>
  <si>
    <t xml:space="preserve">-268170</t>
  </si>
  <si>
    <t xml:space="preserve">phi-1 fit: polynomial refitted (least squares, rows 22-30)</t>
  </si>
  <si>
    <t xml:space="preserve">U24</t>
  </si>
  <si>
    <t xml:space="preserve">249651399204.046</t>
  </si>
  <si>
    <t xml:space="preserve">2.39711e+11</t>
  </si>
  <si>
    <t xml:space="preserve">U25</t>
  </si>
  <si>
    <t xml:space="preserve">-1.08336264919467e+17</t>
  </si>
  <si>
    <t xml:space="preserve">-1.00238e+17</t>
  </si>
  <si>
    <t xml:space="preserve">U26</t>
  </si>
  <si>
    <t xml:space="preserve">8.58596602361591e+21</t>
  </si>
  <si>
    <t xml:space="preserve">5.26768e+21</t>
  </si>
  <si>
    <t xml:space="preserve">U32</t>
  </si>
  <si>
    <t xml:space="preserve">-845242.092081362</t>
  </si>
  <si>
    <t xml:space="preserve">-837360</t>
  </si>
  <si>
    <t xml:space="preserve">phi-1 fit: polynomial refitted (least squares, rows 31-39)</t>
  </si>
  <si>
    <t xml:space="preserve">U33</t>
  </si>
  <si>
    <t xml:space="preserve">1398180531440.61</t>
  </si>
  <si>
    <t xml:space="preserve">1.40785e+12</t>
  </si>
  <si>
    <t xml:space="preserve">U34</t>
  </si>
  <si>
    <t xml:space="preserve">-1.09930977120771e+18</t>
  </si>
  <si>
    <t xml:space="preserve">-1.11436e+18</t>
  </si>
  <si>
    <t xml:space="preserve">U35</t>
  </si>
  <si>
    <t xml:space="preserve">3.06144114654038e+23</t>
  </si>
  <si>
    <t xml:space="preserve">3.1217e+23</t>
  </si>
</sst>
</file>

<file path=xl/styles.xml><?xml version="1.0" encoding="utf-8"?>
<styleSheet xmlns="http://schemas.openxmlformats.org/spreadsheetml/2006/main">
  <numFmts count="10">
    <numFmt numFmtId="164" formatCode="General"/>
    <numFmt numFmtId="165" formatCode="0.0E+00"/>
    <numFmt numFmtId="166" formatCode="0.00"/>
    <numFmt numFmtId="167" formatCode="0.00E+00"/>
    <numFmt numFmtId="168" formatCode="0.0"/>
    <numFmt numFmtId="169" formatCode="0.000"/>
    <numFmt numFmtId="170" formatCode="0.0000"/>
    <numFmt numFmtId="171" formatCode="0.000000"/>
    <numFmt numFmtId="172" formatCode="0.000E+00"/>
    <numFmt numFmtId="173" formatCode="0.000000000"/>
  </numFmts>
  <fonts count="12">
    <font>
      <sz val="12"/>
      <color theme="1"/>
      <name val="Calibri"/>
      <family val="2"/>
      <charset val="1"/>
    </font>
    <font>
      <sz val="10"/>
      <name val="Arial"/>
      <family val="0"/>
    </font>
    <font>
      <sz val="10"/>
      <name val="Arial"/>
      <family val="0"/>
    </font>
    <font>
      <sz val="10"/>
      <name val="Arial"/>
      <family val="0"/>
    </font>
    <font>
      <sz val="12"/>
      <color rgb="FF000000"/>
      <name val="Calibri"/>
      <family val="2"/>
      <charset val="1"/>
    </font>
    <font>
      <sz val="14"/>
      <color rgb="FF595959"/>
      <name val="Calibri"/>
      <family val="2"/>
    </font>
    <font>
      <sz val="9"/>
      <color rgb="FF595959"/>
      <name val="Calibri"/>
      <family val="2"/>
    </font>
    <font>
      <sz val="10"/>
      <color rgb="FF595959"/>
      <name val="Calibri"/>
      <family val="2"/>
    </font>
    <font>
      <b val="true"/>
      <sz val="12"/>
      <name val="Arial"/>
      <family val="0"/>
      <charset val="1"/>
    </font>
    <font>
      <sz val="11"/>
      <name val="Arial"/>
      <family val="0"/>
      <charset val="1"/>
    </font>
    <font>
      <b val="true"/>
      <sz val="11"/>
      <name val="Arial"/>
      <family val="0"/>
      <charset val="1"/>
    </font>
    <font>
      <sz val="9"/>
      <name val="Arial"/>
      <family val="0"/>
      <charset val="1"/>
    </font>
  </fonts>
  <fills count="5">
    <fill>
      <patternFill patternType="none"/>
    </fill>
    <fill>
      <patternFill patternType="gray125"/>
    </fill>
    <fill>
      <patternFill patternType="solid">
        <fgColor theme="8" tint="0.7999"/>
        <bgColor rgb="FFD9D9D9"/>
      </patternFill>
    </fill>
    <fill>
      <patternFill patternType="solid">
        <fgColor theme="5" tint="0.7999"/>
        <bgColor rgb="FFFFF2CC"/>
      </patternFill>
    </fill>
    <fill>
      <patternFill patternType="solid">
        <fgColor theme="7" tint="0.7999"/>
        <bgColor rgb="FFFBE5D6"/>
      </patternFill>
    </fill>
  </fills>
  <borders count="14">
    <border diagonalUp="false" diagonalDown="false">
      <left/>
      <right/>
      <top/>
      <bottom/>
      <diagonal/>
    </border>
    <border diagonalUp="false" diagonalDown="false">
      <left style="thin"/>
      <right style="thin"/>
      <top style="thin"/>
      <bottom/>
      <diagonal/>
    </border>
    <border diagonalUp="false" diagonalDown="false">
      <left/>
      <right/>
      <top style="thin"/>
      <bottom/>
      <diagonal/>
    </border>
    <border diagonalUp="false" diagonalDown="false">
      <left/>
      <right/>
      <top style="thin"/>
      <bottom style="thin"/>
      <diagonal/>
    </border>
    <border diagonalUp="false" diagonalDown="false">
      <left style="thin"/>
      <right style="thin"/>
      <top style="thin"/>
      <bottom style="thin"/>
      <diagonal/>
    </border>
    <border diagonalUp="false" diagonalDown="false">
      <left style="thin"/>
      <right style="thin"/>
      <top/>
      <bottom/>
      <diagonal/>
    </border>
    <border diagonalUp="false" diagonalDown="false">
      <left/>
      <right/>
      <top/>
      <bottom style="thin"/>
      <diagonal/>
    </border>
    <border diagonalUp="false" diagonalDown="false">
      <left style="thin"/>
      <right style="thin"/>
      <top/>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2" borderId="1" xfId="0" applyFont="true" applyBorder="true" applyAlignment="true" applyProtection="false">
      <alignment horizontal="center" vertical="center"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0" fillId="0" borderId="3" xfId="0" applyFont="true" applyBorder="true" applyAlignment="true" applyProtection="false">
      <alignment horizontal="center" vertical="center" textRotation="0" wrapText="false" indent="0" shrinkToFit="false"/>
      <protection locked="true" hidden="false"/>
    </xf>
    <xf numFmtId="164" fontId="4" fillId="2" borderId="4" xfId="0" applyFont="true" applyBorder="true" applyAlignment="true" applyProtection="false">
      <alignment horizontal="center" vertical="center" textRotation="0" wrapText="false" indent="0" shrinkToFit="false"/>
      <protection locked="true" hidden="false"/>
    </xf>
    <xf numFmtId="165" fontId="0" fillId="0" borderId="2" xfId="0" applyFont="false" applyBorder="true" applyAlignment="true" applyProtection="false">
      <alignment horizontal="center" vertical="center" textRotation="0" wrapText="false" indent="0" shrinkToFit="false"/>
      <protection locked="true" hidden="false"/>
    </xf>
    <xf numFmtId="166" fontId="0" fillId="0" borderId="2" xfId="0" applyFont="false" applyBorder="true" applyAlignment="true" applyProtection="false">
      <alignment horizontal="center" vertical="center" textRotation="0" wrapText="false" indent="0" shrinkToFit="false"/>
      <protection locked="true" hidden="false"/>
    </xf>
    <xf numFmtId="167" fontId="0" fillId="2" borderId="1" xfId="0" applyFont="false" applyBorder="true" applyAlignment="true" applyProtection="false">
      <alignment horizontal="center" vertical="center" textRotation="0" wrapText="false" indent="0" shrinkToFit="false"/>
      <protection locked="true" hidden="false"/>
    </xf>
    <xf numFmtId="168" fontId="0" fillId="2" borderId="1" xfId="0" applyFont="false" applyBorder="true" applyAlignment="true" applyProtection="false">
      <alignment horizontal="center" vertical="center" textRotation="0" wrapText="false" indent="0" shrinkToFit="false"/>
      <protection locked="true" hidden="false"/>
    </xf>
    <xf numFmtId="167" fontId="0" fillId="0" borderId="2" xfId="0" applyFont="false" applyBorder="true" applyAlignment="true" applyProtection="false">
      <alignment horizontal="center" vertical="center" textRotation="0" wrapText="false" indent="0" shrinkToFit="false"/>
      <protection locked="true" hidden="false"/>
    </xf>
    <xf numFmtId="169" fontId="0" fillId="0" borderId="2" xfId="0" applyFont="false" applyBorder="true" applyAlignment="true" applyProtection="false">
      <alignment horizontal="center" vertical="center" textRotation="0" wrapText="false" indent="0" shrinkToFit="false"/>
      <protection locked="true" hidden="false"/>
    </xf>
    <xf numFmtId="168" fontId="0" fillId="0" borderId="2" xfId="0" applyFont="false" applyBorder="true" applyAlignment="true" applyProtection="false">
      <alignment horizontal="center" vertical="center" textRotation="0" wrapText="false" indent="0" shrinkToFit="false"/>
      <protection locked="true" hidden="false"/>
    </xf>
    <xf numFmtId="170" fontId="0" fillId="0" borderId="2" xfId="0" applyFont="false" applyBorder="true" applyAlignment="true" applyProtection="false">
      <alignment horizontal="center" vertical="center" textRotation="0" wrapText="false" indent="0" shrinkToFit="false"/>
      <protection locked="true" hidden="false"/>
    </xf>
    <xf numFmtId="164" fontId="0" fillId="3" borderId="2" xfId="0" applyFont="false" applyBorder="true" applyAlignment="true" applyProtection="false">
      <alignment horizontal="center" vertical="center" textRotation="0" wrapText="false" indent="0" shrinkToFit="false"/>
      <protection locked="true" hidden="false"/>
    </xf>
    <xf numFmtId="170" fontId="0" fillId="2" borderId="1" xfId="0" applyFont="false" applyBorder="true" applyAlignment="true" applyProtection="false">
      <alignment horizontal="center" vertical="center" textRotation="0" wrapText="false" indent="0" shrinkToFit="false"/>
      <protection locked="true" hidden="false"/>
    </xf>
    <xf numFmtId="165" fontId="0" fillId="0" borderId="0" xfId="0" applyFont="fals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center" vertical="center" textRotation="0" wrapText="false" indent="0" shrinkToFit="false"/>
      <protection locked="true" hidden="false"/>
    </xf>
    <xf numFmtId="167" fontId="0" fillId="2" borderId="5" xfId="0" applyFont="false" applyBorder="true" applyAlignment="true" applyProtection="false">
      <alignment horizontal="center" vertical="center" textRotation="0" wrapText="false" indent="0" shrinkToFit="false"/>
      <protection locked="true" hidden="false"/>
    </xf>
    <xf numFmtId="168" fontId="0" fillId="2" borderId="5" xfId="0" applyFont="false" applyBorder="tru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center" vertical="center" textRotation="0" wrapText="false" indent="0" shrinkToFit="false"/>
      <protection locked="true" hidden="false"/>
    </xf>
    <xf numFmtId="169" fontId="0" fillId="0" borderId="0" xfId="0" applyFont="false" applyBorder="false" applyAlignment="true" applyProtection="false">
      <alignment horizontal="center" vertical="center" textRotation="0" wrapText="false" indent="0" shrinkToFit="false"/>
      <protection locked="true" hidden="false"/>
    </xf>
    <xf numFmtId="168" fontId="0" fillId="0" borderId="0" xfId="0" applyFont="false" applyBorder="false" applyAlignment="true" applyProtection="false">
      <alignment horizontal="center" vertical="center" textRotation="0" wrapText="false" indent="0" shrinkToFit="false"/>
      <protection locked="true" hidden="false"/>
    </xf>
    <xf numFmtId="170" fontId="0" fillId="0" borderId="0" xfId="0" applyFont="false" applyBorder="false" applyAlignment="true" applyProtection="false">
      <alignment horizontal="center" vertical="center" textRotation="0" wrapText="false" indent="0" shrinkToFit="false"/>
      <protection locked="true" hidden="false"/>
    </xf>
    <xf numFmtId="167" fontId="0" fillId="3" borderId="0" xfId="0" applyFont="false" applyBorder="false" applyAlignment="true" applyProtection="false">
      <alignment horizontal="center" vertical="center" textRotation="0" wrapText="false" indent="0" shrinkToFit="false"/>
      <protection locked="true" hidden="false"/>
    </xf>
    <xf numFmtId="170" fontId="0" fillId="2" borderId="5" xfId="0" applyFont="false" applyBorder="tru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5" fontId="0" fillId="0" borderId="6" xfId="0" applyFont="false" applyBorder="true" applyAlignment="true" applyProtection="false">
      <alignment horizontal="center" vertical="center" textRotation="0" wrapText="false" indent="0" shrinkToFit="false"/>
      <protection locked="true" hidden="false"/>
    </xf>
    <xf numFmtId="166" fontId="0" fillId="0" borderId="6" xfId="0" applyFont="false" applyBorder="true" applyAlignment="true" applyProtection="false">
      <alignment horizontal="center" vertical="center" textRotation="0" wrapText="false" indent="0" shrinkToFit="false"/>
      <protection locked="true" hidden="false"/>
    </xf>
    <xf numFmtId="167" fontId="0" fillId="2" borderId="7" xfId="0" applyFont="false" applyBorder="true" applyAlignment="true" applyProtection="false">
      <alignment horizontal="center" vertical="center" textRotation="0" wrapText="false" indent="0" shrinkToFit="false"/>
      <protection locked="true" hidden="false"/>
    </xf>
    <xf numFmtId="168" fontId="0" fillId="2" borderId="7" xfId="0" applyFont="false" applyBorder="true" applyAlignment="true" applyProtection="false">
      <alignment horizontal="center" vertical="center" textRotation="0" wrapText="false" indent="0" shrinkToFit="false"/>
      <protection locked="true" hidden="false"/>
    </xf>
    <xf numFmtId="167" fontId="0" fillId="0" borderId="6" xfId="0" applyFont="false" applyBorder="true" applyAlignment="true" applyProtection="false">
      <alignment horizontal="center" vertical="center" textRotation="0" wrapText="false" indent="0" shrinkToFit="false"/>
      <protection locked="true" hidden="false"/>
    </xf>
    <xf numFmtId="169" fontId="0" fillId="0" borderId="6" xfId="0" applyFont="false" applyBorder="true" applyAlignment="true" applyProtection="false">
      <alignment horizontal="center" vertical="center" textRotation="0" wrapText="false" indent="0" shrinkToFit="false"/>
      <protection locked="true" hidden="false"/>
    </xf>
    <xf numFmtId="168" fontId="0" fillId="0" borderId="6" xfId="0" applyFont="false" applyBorder="true" applyAlignment="true" applyProtection="false">
      <alignment horizontal="center" vertical="center" textRotation="0" wrapText="false" indent="0" shrinkToFit="false"/>
      <protection locked="true" hidden="false"/>
    </xf>
    <xf numFmtId="170" fontId="0" fillId="0" borderId="6" xfId="0" applyFont="false" applyBorder="true" applyAlignment="true" applyProtection="false">
      <alignment horizontal="center" vertical="center" textRotation="0" wrapText="false" indent="0" shrinkToFit="false"/>
      <protection locked="true" hidden="false"/>
    </xf>
    <xf numFmtId="171" fontId="0" fillId="4" borderId="6" xfId="0" applyFont="false" applyBorder="true" applyAlignment="true" applyProtection="false">
      <alignment horizontal="center" vertical="center" textRotation="0" wrapText="false" indent="0" shrinkToFit="false"/>
      <protection locked="true" hidden="false"/>
    </xf>
    <xf numFmtId="170" fontId="0" fillId="2" borderId="7" xfId="0" applyFont="fals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71" fontId="0" fillId="4" borderId="0" xfId="0" applyFont="false" applyBorder="false" applyAlignment="true" applyProtection="false">
      <alignment horizontal="center" vertical="center" textRotation="0" wrapText="false" indent="0" shrinkToFit="false"/>
      <protection locked="true" hidden="false"/>
    </xf>
    <xf numFmtId="167" fontId="0" fillId="0" borderId="8" xfId="0" applyFont="false" applyBorder="true" applyAlignment="true" applyProtection="false">
      <alignment horizontal="center" vertical="center" textRotation="0" wrapText="false" indent="0" shrinkToFit="false"/>
      <protection locked="true" hidden="false"/>
    </xf>
    <xf numFmtId="172" fontId="0" fillId="0" borderId="2" xfId="0" applyFont="false" applyBorder="true" applyAlignment="true" applyProtection="false">
      <alignment horizontal="center" vertical="center" textRotation="0" wrapText="false" indent="0" shrinkToFit="false"/>
      <protection locked="true" hidden="false"/>
    </xf>
    <xf numFmtId="166" fontId="0" fillId="0" borderId="9" xfId="0" applyFont="false" applyBorder="true" applyAlignment="true" applyProtection="false">
      <alignment horizontal="center" vertical="center" textRotation="0" wrapText="false" indent="0" shrinkToFit="false"/>
      <protection locked="true" hidden="false"/>
    </xf>
    <xf numFmtId="167" fontId="0" fillId="0" borderId="10" xfId="0" applyFont="false" applyBorder="true" applyAlignment="true" applyProtection="false">
      <alignment horizontal="center" vertical="center" textRotation="0" wrapText="false" indent="0" shrinkToFit="false"/>
      <protection locked="true" hidden="false"/>
    </xf>
    <xf numFmtId="172" fontId="0" fillId="0" borderId="0" xfId="0" applyFont="false" applyBorder="false" applyAlignment="true" applyProtection="false">
      <alignment horizontal="center" vertical="center" textRotation="0" wrapText="false" indent="0" shrinkToFit="false"/>
      <protection locked="true" hidden="false"/>
    </xf>
    <xf numFmtId="166" fontId="0" fillId="0" borderId="11" xfId="0" applyFont="false" applyBorder="true" applyAlignment="true" applyProtection="false">
      <alignment horizontal="center" vertical="center" textRotation="0" wrapText="false" indent="0" shrinkToFit="false"/>
      <protection locked="true" hidden="false"/>
    </xf>
    <xf numFmtId="167" fontId="0" fillId="0" borderId="12" xfId="0" applyFont="false" applyBorder="true" applyAlignment="true" applyProtection="false">
      <alignment horizontal="center" vertical="center" textRotation="0" wrapText="false" indent="0" shrinkToFit="false"/>
      <protection locked="true" hidden="false"/>
    </xf>
    <xf numFmtId="172" fontId="0" fillId="0" borderId="6" xfId="0" applyFont="false" applyBorder="true" applyAlignment="true" applyProtection="false">
      <alignment horizontal="center" vertical="center" textRotation="0" wrapText="false" indent="0" shrinkToFit="false"/>
      <protection locked="true" hidden="false"/>
    </xf>
    <xf numFmtId="166" fontId="0" fillId="0" borderId="13" xfId="0" applyFont="false" applyBorder="true" applyAlignment="true" applyProtection="false">
      <alignment horizontal="center" vertical="center"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BE5D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EEBF7"/>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70AD47"/>
      <rgbColor rgb="FFFFC000"/>
      <rgbColor rgb="FFFF9900"/>
      <rgbColor rgb="FFED7D31"/>
      <rgbColor rgb="FF595959"/>
      <rgbColor rgb="FFA5A5A5"/>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pH=7  I=1M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NaHPO4!$J$4:$J$12</c:f>
              <c:numCache>
                <c:formatCode>0.00E+00</c:formatCode>
                <c:ptCount val="9"/>
                <c:pt idx="0">
                  <c:v>2.51100399910481E-007</c:v>
                </c:pt>
                <c:pt idx="1">
                  <c:v>3.81902982328246E-007</c:v>
                </c:pt>
                <c:pt idx="2">
                  <c:v>5.14381223900649E-007</c:v>
                </c:pt>
                <c:pt idx="3">
                  <c:v>6.42924297349728E-007</c:v>
                </c:pt>
                <c:pt idx="4">
                  <c:v>7.68119077992327E-007</c:v>
                </c:pt>
                <c:pt idx="5">
                  <c:v>8.9559232705462E-007</c:v>
                </c:pt>
                <c:pt idx="6">
                  <c:v>1.02157822644551E-006</c:v>
                </c:pt>
                <c:pt idx="7">
                  <c:v>1.14859243074154E-006</c:v>
                </c:pt>
                <c:pt idx="8">
                  <c:v>1.27092893992039E-006</c:v>
                </c:pt>
              </c:numCache>
            </c:numRef>
          </c:xVal>
          <c:yVal>
            <c:numRef>
              <c:f>NaHPO4!$S$4:$S$12</c:f>
              <c:numCache>
                <c:formatCode>0.0000</c:formatCode>
                <c:ptCount val="9"/>
                <c:pt idx="0">
                  <c:v>-0.0544395086839696</c:v>
                </c:pt>
                <c:pt idx="1">
                  <c:v>-0.0670489428358226</c:v>
                </c:pt>
                <c:pt idx="2">
                  <c:v>-0.0860847743058217</c:v>
                </c:pt>
                <c:pt idx="3">
                  <c:v>-0.0920543111847404</c:v>
                </c:pt>
                <c:pt idx="4">
                  <c:v>-0.0977816137588948</c:v>
                </c:pt>
                <c:pt idx="5">
                  <c:v>-0.109111492816371</c:v>
                </c:pt>
                <c:pt idx="6">
                  <c:v>-0.123628548673291</c:v>
                </c:pt>
                <c:pt idx="7">
                  <c:v>-0.133989150275977</c:v>
                </c:pt>
                <c:pt idx="8">
                  <c:v>-0.136630425747782</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NaHPO4!$J$4:$J$12</c:f>
              <c:numCache>
                <c:formatCode>0.00E+00</c:formatCode>
                <c:ptCount val="9"/>
                <c:pt idx="0">
                  <c:v>2.51100399910481E-007</c:v>
                </c:pt>
                <c:pt idx="1">
                  <c:v>3.81902982328246E-007</c:v>
                </c:pt>
                <c:pt idx="2">
                  <c:v>5.14381223900649E-007</c:v>
                </c:pt>
                <c:pt idx="3">
                  <c:v>6.42924297349728E-007</c:v>
                </c:pt>
                <c:pt idx="4">
                  <c:v>7.68119077992327E-007</c:v>
                </c:pt>
                <c:pt idx="5">
                  <c:v>8.9559232705462E-007</c:v>
                </c:pt>
                <c:pt idx="6">
                  <c:v>1.02157822644551E-006</c:v>
                </c:pt>
                <c:pt idx="7">
                  <c:v>1.14859243074154E-006</c:v>
                </c:pt>
                <c:pt idx="8">
                  <c:v>1.27092893992039E-006</c:v>
                </c:pt>
              </c:numCache>
            </c:numRef>
          </c:xVal>
          <c:yVal>
            <c:numRef>
              <c:f>NaHPO4!$T$4:$T$12</c:f>
              <c:numCache>
                <c:formatCode>0.0000</c:formatCode>
                <c:ptCount val="9"/>
                <c:pt idx="0">
                  <c:v>-0.0549182712321368</c:v>
                </c:pt>
                <c:pt idx="1">
                  <c:v>-0.0699627475176962</c:v>
                </c:pt>
                <c:pt idx="2">
                  <c:v>-0.0811940927584191</c:v>
                </c:pt>
                <c:pt idx="3">
                  <c:v>-0.0908924893798565</c:v>
                </c:pt>
                <c:pt idx="4">
                  <c:v>-0.10066659579845</c:v>
                </c:pt>
                <c:pt idx="5">
                  <c:v>-0.111409070595499</c:v>
                </c:pt>
                <c:pt idx="6">
                  <c:v>-0.122281038345036</c:v>
                </c:pt>
                <c:pt idx="7">
                  <c:v>-0.131975963008874</c:v>
                </c:pt>
                <c:pt idx="8">
                  <c:v>-0.137767268344455</c:v>
                </c:pt>
              </c:numCache>
            </c:numRef>
          </c:yVal>
          <c:smooth val="0"/>
        </c:ser>
        <c:axId val="39786996"/>
        <c:axId val="96060714"/>
      </c:scatterChart>
      <c:valAx>
        <c:axId val="39786996"/>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6060714"/>
        <c:crosses val="autoZero"/>
        <c:crossBetween val="midCat"/>
      </c:valAx>
      <c:valAx>
        <c:axId val="96060714"/>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39786996"/>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pH=7  I=3M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NaHPO4!$J$13:$J$21</c:f>
              <c:numCache>
                <c:formatCode>0.00E+00</c:formatCode>
                <c:ptCount val="9"/>
                <c:pt idx="0">
                  <c:v>2.823511806381E-007</c:v>
                </c:pt>
                <c:pt idx="1">
                  <c:v>4.30190231128712E-007</c:v>
                </c:pt>
                <c:pt idx="2">
                  <c:v>5.72297037293145E-007</c:v>
                </c:pt>
                <c:pt idx="3">
                  <c:v>7.12809016192643E-007</c:v>
                </c:pt>
                <c:pt idx="4">
                  <c:v>8.58031660903574E-007</c:v>
                </c:pt>
                <c:pt idx="5">
                  <c:v>9.98843642213439E-007</c:v>
                </c:pt>
                <c:pt idx="6">
                  <c:v>1.14722821906779E-006</c:v>
                </c:pt>
                <c:pt idx="7">
                  <c:v>1.28692513934271E-006</c:v>
                </c:pt>
                <c:pt idx="8">
                  <c:v>1.4292452767818E-006</c:v>
                </c:pt>
              </c:numCache>
            </c:numRef>
          </c:xVal>
          <c:yVal>
            <c:numRef>
              <c:f>NaHPO4!$S$13:$S$21</c:f>
              <c:numCache>
                <c:formatCode>0.0000</c:formatCode>
                <c:ptCount val="9"/>
                <c:pt idx="0">
                  <c:v>-0.160938865753867</c:v>
                </c:pt>
                <c:pt idx="1">
                  <c:v>-0.174733561559626</c:v>
                </c:pt>
                <c:pt idx="2">
                  <c:v>-0.201809431152219</c:v>
                </c:pt>
                <c:pt idx="3">
                  <c:v>-0.209084804678301</c:v>
                </c:pt>
                <c:pt idx="4">
                  <c:v>-0.218527464997034</c:v>
                </c:pt>
                <c:pt idx="5">
                  <c:v>-0.235404554237626</c:v>
                </c:pt>
                <c:pt idx="6">
                  <c:v>-0.243920215338433</c:v>
                </c:pt>
                <c:pt idx="7">
                  <c:v>-0.264239700684814</c:v>
                </c:pt>
                <c:pt idx="8">
                  <c:v>-0.265180683033602</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NaHPO4!$J$13:$J$21</c:f>
              <c:numCache>
                <c:formatCode>0.00E+00</c:formatCode>
                <c:ptCount val="9"/>
                <c:pt idx="0">
                  <c:v>2.823511806381E-007</c:v>
                </c:pt>
                <c:pt idx="1">
                  <c:v>4.30190231128712E-007</c:v>
                </c:pt>
                <c:pt idx="2">
                  <c:v>5.72297037293145E-007</c:v>
                </c:pt>
                <c:pt idx="3">
                  <c:v>7.12809016192643E-007</c:v>
                </c:pt>
                <c:pt idx="4">
                  <c:v>8.58031660903574E-007</c:v>
                </c:pt>
                <c:pt idx="5">
                  <c:v>9.98843642213439E-007</c:v>
                </c:pt>
                <c:pt idx="6">
                  <c:v>1.14722821906779E-006</c:v>
                </c:pt>
                <c:pt idx="7">
                  <c:v>1.28692513934271E-006</c:v>
                </c:pt>
                <c:pt idx="8">
                  <c:v>1.4292452767818E-006</c:v>
                </c:pt>
              </c:numCache>
            </c:numRef>
          </c:xVal>
          <c:yVal>
            <c:numRef>
              <c:f>NaHPO4!$T$13:$T$21</c:f>
              <c:numCache>
                <c:formatCode>0.0000</c:formatCode>
                <c:ptCount val="9"/>
                <c:pt idx="0">
                  <c:v>-0.154665810348738</c:v>
                </c:pt>
                <c:pt idx="1">
                  <c:v>-0.18451670123623</c:v>
                </c:pt>
                <c:pt idx="2">
                  <c:v>-0.198711065356991</c:v>
                </c:pt>
                <c:pt idx="3">
                  <c:v>-0.207991376206687</c:v>
                </c:pt>
                <c:pt idx="4">
                  <c:v>-0.218596014112269</c:v>
                </c:pt>
                <c:pt idx="5">
                  <c:v>-0.232215526790211</c:v>
                </c:pt>
                <c:pt idx="6">
                  <c:v>-0.248908186258696</c:v>
                </c:pt>
                <c:pt idx="7">
                  <c:v>-0.262210019968905</c:v>
                </c:pt>
                <c:pt idx="8">
                  <c:v>-0.265272629002254</c:v>
                </c:pt>
              </c:numCache>
            </c:numRef>
          </c:yVal>
          <c:smooth val="0"/>
        </c:ser>
        <c:axId val="12757136"/>
        <c:axId val="91619337"/>
      </c:scatterChart>
      <c:valAx>
        <c:axId val="12757136"/>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1619337"/>
        <c:crosses val="autoZero"/>
        <c:crossBetween val="midCat"/>
      </c:valAx>
      <c:valAx>
        <c:axId val="91619337"/>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12757136"/>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pH=8  I=1M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NaHPO4!$J$22:$J$30</c:f>
              <c:numCache>
                <c:formatCode>0.00E+00</c:formatCode>
                <c:ptCount val="9"/>
                <c:pt idx="0">
                  <c:v>2.54918096282504E-007</c:v>
                </c:pt>
                <c:pt idx="1">
                  <c:v>3.93578557704506E-007</c:v>
                </c:pt>
                <c:pt idx="2">
                  <c:v>5.18973222036674E-007</c:v>
                </c:pt>
                <c:pt idx="3">
                  <c:v>6.49776750276642E-007</c:v>
                </c:pt>
                <c:pt idx="4">
                  <c:v>7.75977399075255E-007</c:v>
                </c:pt>
                <c:pt idx="5">
                  <c:v>9.07623030909219E-007</c:v>
                </c:pt>
                <c:pt idx="6">
                  <c:v>1.03780213724434E-006</c:v>
                </c:pt>
                <c:pt idx="7">
                  <c:v>1.16967341146392E-006</c:v>
                </c:pt>
                <c:pt idx="8">
                  <c:v>1.30006584714294E-006</c:v>
                </c:pt>
              </c:numCache>
            </c:numRef>
          </c:xVal>
          <c:yVal>
            <c:numRef>
              <c:f>NaHPO4!$S$22:$S$30</c:f>
              <c:numCache>
                <c:formatCode>0.0000</c:formatCode>
                <c:ptCount val="9"/>
                <c:pt idx="0">
                  <c:v>-0.0513109197921189</c:v>
                </c:pt>
                <c:pt idx="1">
                  <c:v>-0.0801711041239102</c:v>
                </c:pt>
                <c:pt idx="2">
                  <c:v>-0.0870568208725571</c:v>
                </c:pt>
                <c:pt idx="3">
                  <c:v>-0.0954037759954864</c:v>
                </c:pt>
                <c:pt idx="4">
                  <c:v>-0.109855349833815</c:v>
                </c:pt>
                <c:pt idx="5">
                  <c:v>-0.120148280140751</c:v>
                </c:pt>
                <c:pt idx="6">
                  <c:v>-0.124406871619744</c:v>
                </c:pt>
                <c:pt idx="7">
                  <c:v>-0.136142866032717</c:v>
                </c:pt>
                <c:pt idx="8">
                  <c:v>-0.148868997784956</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NaHPO4!$J$22:$J$30</c:f>
              <c:numCache>
                <c:formatCode>0.00E+00</c:formatCode>
                <c:ptCount val="9"/>
                <c:pt idx="0">
                  <c:v>2.54918096282504E-007</c:v>
                </c:pt>
                <c:pt idx="1">
                  <c:v>3.93578557704506E-007</c:v>
                </c:pt>
                <c:pt idx="2">
                  <c:v>5.18973222036674E-007</c:v>
                </c:pt>
                <c:pt idx="3">
                  <c:v>6.49776750276642E-007</c:v>
                </c:pt>
                <c:pt idx="4">
                  <c:v>7.75977399075255E-007</c:v>
                </c:pt>
                <c:pt idx="5">
                  <c:v>9.07623030909219E-007</c:v>
                </c:pt>
                <c:pt idx="6">
                  <c:v>1.03780213724434E-006</c:v>
                </c:pt>
                <c:pt idx="7">
                  <c:v>1.16967341146392E-006</c:v>
                </c:pt>
                <c:pt idx="8">
                  <c:v>1.30006584714294E-006</c:v>
                </c:pt>
              </c:numCache>
            </c:numRef>
          </c:xVal>
          <c:yVal>
            <c:numRef>
              <c:f>NaHPO4!$T$22:$T$30</c:f>
              <c:numCache>
                <c:formatCode>0.0000</c:formatCode>
                <c:ptCount val="9"/>
                <c:pt idx="0">
                  <c:v>-0.0544224717582512</c:v>
                </c:pt>
                <c:pt idx="1">
                  <c:v>-0.074398648255775</c:v>
                </c:pt>
                <c:pt idx="2">
                  <c:v>-0.088239901431687</c:v>
                </c:pt>
                <c:pt idx="3">
                  <c:v>-0.0996030407487501</c:v>
                </c:pt>
                <c:pt idx="4">
                  <c:v>-0.108680507698839</c:v>
                </c:pt>
                <c:pt idx="5">
                  <c:v>-0.117300174613606</c:v>
                </c:pt>
                <c:pt idx="6">
                  <c:v>-0.126061709951347</c:v>
                </c:pt>
                <c:pt idx="7">
                  <c:v>-0.13626320130359</c:v>
                </c:pt>
                <c:pt idx="8">
                  <c:v>-0.148695669339454</c:v>
                </c:pt>
              </c:numCache>
            </c:numRef>
          </c:yVal>
          <c:smooth val="0"/>
        </c:ser>
        <c:axId val="59867001"/>
        <c:axId val="94681402"/>
      </c:scatterChart>
      <c:valAx>
        <c:axId val="59867001"/>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4681402"/>
        <c:crosses val="autoZero"/>
        <c:crossBetween val="midCat"/>
      </c:valAx>
      <c:valAx>
        <c:axId val="94681402"/>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59867001"/>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pH=8  I=3M</a:t>
            </a:r>
          </a:p>
        </c:rich>
      </c:tx>
      <c:overlay val="0"/>
      <c:spPr>
        <a:noFill/>
        <a:ln w="0">
          <a:noFill/>
        </a:ln>
      </c:spPr>
    </c:title>
    <c:autoTitleDeleted val="0"/>
    <c:plotArea>
      <c:scatterChart>
        <c:scatterStyle val="lineMarker"/>
        <c:varyColors val="0"/>
        <c:ser>
          <c:idx val="0"/>
          <c:order val="0"/>
          <c:spPr>
            <a:solidFill>
              <a:srgbClr val="4472c4"/>
            </a:solidFill>
            <a:ln cap="rnd" w="19080">
              <a:solidFill>
                <a:srgbClr val="4472c4"/>
              </a:solidFill>
              <a:round/>
            </a:ln>
          </c:spPr>
          <c:marker>
            <c:symbol val="circle"/>
            <c:size val="5"/>
            <c:spPr>
              <a:solidFill>
                <a:srgbClr val="4472c4"/>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NaHPO4!$J$31:$J$39</c:f>
              <c:numCache>
                <c:formatCode>0.00E+00</c:formatCode>
                <c:ptCount val="9"/>
                <c:pt idx="0">
                  <c:v>2.78379629701803E-007</c:v>
                </c:pt>
                <c:pt idx="1">
                  <c:v>4.25499177570346E-007</c:v>
                </c:pt>
                <c:pt idx="2">
                  <c:v>5.65594135522564E-007</c:v>
                </c:pt>
                <c:pt idx="3">
                  <c:v>7.10323362523606E-007</c:v>
                </c:pt>
                <c:pt idx="4">
                  <c:v>8.54190824269494E-007</c:v>
                </c:pt>
                <c:pt idx="5">
                  <c:v>1.00135690932988E-006</c:v>
                </c:pt>
                <c:pt idx="6">
                  <c:v>1.14696897896629E-006</c:v>
                </c:pt>
                <c:pt idx="7">
                  <c:v>1.28890589147433E-006</c:v>
                </c:pt>
                <c:pt idx="8">
                  <c:v>1.43626378836189E-006</c:v>
                </c:pt>
              </c:numCache>
            </c:numRef>
          </c:xVal>
          <c:yVal>
            <c:numRef>
              <c:f>NaHPO4!$S$31:$S$39</c:f>
              <c:numCache>
                <c:formatCode>0.0000</c:formatCode>
                <c:ptCount val="9"/>
                <c:pt idx="0">
                  <c:v>-0.148441891001002</c:v>
                </c:pt>
                <c:pt idx="1">
                  <c:v>-0.177509598280319</c:v>
                </c:pt>
                <c:pt idx="2">
                  <c:v>-0.191347341670252</c:v>
                </c:pt>
                <c:pt idx="3">
                  <c:v>-0.197542898212265</c:v>
                </c:pt>
                <c:pt idx="4">
                  <c:v>-0.219872279091758</c:v>
                </c:pt>
                <c:pt idx="5">
                  <c:v>-0.243775168844843</c:v>
                </c:pt>
                <c:pt idx="6">
                  <c:v>-0.237249403462657</c:v>
                </c:pt>
                <c:pt idx="7">
                  <c:v>-0.267560055813523</c:v>
                </c:pt>
                <c:pt idx="8">
                  <c:v>-0.272210312848068</c:v>
                </c:pt>
              </c:numCache>
            </c:numRef>
          </c:yVal>
          <c:smooth val="0"/>
        </c:ser>
        <c:ser>
          <c:idx val="1"/>
          <c:order val="1"/>
          <c:spPr>
            <a:solidFill>
              <a:srgbClr val="ed7d31"/>
            </a:solidFill>
            <a:ln cap="rnd" w="19080">
              <a:solidFill>
                <a:srgbClr val="ed7d31"/>
              </a:solidFill>
              <a:round/>
            </a:ln>
          </c:spPr>
          <c:marker>
            <c:symbol val="circle"/>
            <c:size val="5"/>
            <c:spPr>
              <a:solidFill>
                <a:srgbClr val="ed7d31"/>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NaHPO4!$J$31:$J$39</c:f>
              <c:numCache>
                <c:formatCode>0.00E+00</c:formatCode>
                <c:ptCount val="9"/>
                <c:pt idx="0">
                  <c:v>2.78379629701803E-007</c:v>
                </c:pt>
                <c:pt idx="1">
                  <c:v>4.25499177570346E-007</c:v>
                </c:pt>
                <c:pt idx="2">
                  <c:v>5.65594135522564E-007</c:v>
                </c:pt>
                <c:pt idx="3">
                  <c:v>7.10323362523606E-007</c:v>
                </c:pt>
                <c:pt idx="4">
                  <c:v>8.54190824269494E-007</c:v>
                </c:pt>
                <c:pt idx="5">
                  <c:v>1.00135690932988E-006</c:v>
                </c:pt>
                <c:pt idx="6">
                  <c:v>1.14696897896629E-006</c:v>
                </c:pt>
                <c:pt idx="7">
                  <c:v>1.28890589147433E-006</c:v>
                </c:pt>
                <c:pt idx="8">
                  <c:v>1.43626378836189E-006</c:v>
                </c:pt>
              </c:numCache>
            </c:numRef>
          </c:xVal>
          <c:yVal>
            <c:numRef>
              <c:f>NaHPO4!$T$31:$T$39</c:f>
              <c:numCache>
                <c:formatCode>0.0000</c:formatCode>
                <c:ptCount val="9"/>
                <c:pt idx="0">
                  <c:v>-0.146167809630769</c:v>
                </c:pt>
                <c:pt idx="1">
                  <c:v>-0.177018939819799</c:v>
                </c:pt>
                <c:pt idx="2">
                  <c:v>-0.192916167569615</c:v>
                </c:pt>
                <c:pt idx="3">
                  <c:v>-0.204365766948109</c:v>
                </c:pt>
                <c:pt idx="4">
                  <c:v>-0.216372496899545</c:v>
                </c:pt>
                <c:pt idx="5">
                  <c:v>-0.231852856617766</c:v>
                </c:pt>
                <c:pt idx="6">
                  <c:v>-0.249521492981422</c:v>
                </c:pt>
                <c:pt idx="7">
                  <c:v>-0.264998268999994</c:v>
                </c:pt>
                <c:pt idx="8">
                  <c:v>-0.271696645787187</c:v>
                </c:pt>
              </c:numCache>
            </c:numRef>
          </c:yVal>
          <c:smooth val="0"/>
        </c:ser>
        <c:axId val="40516385"/>
        <c:axId val="26720518"/>
      </c:scatterChart>
      <c:valAx>
        <c:axId val="40516385"/>
        <c:scaling>
          <c:orientation val="minMax"/>
        </c:scaling>
        <c:delete val="0"/>
        <c:axPos val="b"/>
        <c:majorGridlines>
          <c:spPr>
            <a:ln w="9360">
              <a:solidFill>
                <a:srgbClr val="d9d9d9"/>
              </a:solidFill>
              <a:round/>
            </a:ln>
          </c:spPr>
        </c:majorGridlines>
        <c:numFmt formatCode="0.00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26720518"/>
        <c:crosses val="autoZero"/>
        <c:crossBetween val="midCat"/>
      </c:valAx>
      <c:valAx>
        <c:axId val="26720518"/>
        <c:scaling>
          <c:orientation val="minMax"/>
        </c:scaling>
        <c:delete val="0"/>
        <c:axPos val="l"/>
        <c:majorGridlines>
          <c:spPr>
            <a:ln w="9360">
              <a:solidFill>
                <a:srgbClr val="d9d9d9"/>
              </a:solidFill>
              <a:round/>
            </a:ln>
          </c:spPr>
        </c:majorGridlines>
        <c:numFmt formatCode="0.00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40516385"/>
        <c:crosses val="autoZero"/>
        <c:crossBetween val="midCat"/>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scatterChart>
        <c:scatterStyle val="lineMarker"/>
        <c:varyColors val="0"/>
        <c:ser>
          <c:idx val="0"/>
          <c:order val="0"/>
          <c:tx>
            <c:strRef>
              <c:f>"pH=7,I=1M"</c:f>
              <c:strCache>
                <c:ptCount val="1"/>
                <c:pt idx="0">
                  <c:v>pH=7,I=1M</c:v>
                </c:pt>
              </c:strCache>
            </c:strRef>
          </c:tx>
          <c:spPr>
            <a:solidFill>
              <a:srgbClr val="0070c0"/>
            </a:solidFill>
            <a:ln cap="rnd" w="19080">
              <a:solidFill>
                <a:srgbClr val="0070c0"/>
              </a:solidFill>
              <a:round/>
            </a:ln>
          </c:spPr>
          <c:marker>
            <c:symbol val="circle"/>
            <c:size val="5"/>
            <c:spPr>
              <a:solidFill>
                <a:srgbClr val="0070c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NaHPO4!$I$4:$I$12</c:f>
              <c:numCache>
                <c:formatCode>0.0</c:formatCode>
                <c:ptCount val="9"/>
                <c:pt idx="0">
                  <c:v>239.411764705882</c:v>
                </c:pt>
                <c:pt idx="1">
                  <c:v>363.529411764706</c:v>
                </c:pt>
                <c:pt idx="2">
                  <c:v>488.823529411765</c:v>
                </c:pt>
                <c:pt idx="3">
                  <c:v>610</c:v>
                </c:pt>
                <c:pt idx="4">
                  <c:v>727.647058823529</c:v>
                </c:pt>
                <c:pt idx="5">
                  <c:v>847.058823529412</c:v>
                </c:pt>
                <c:pt idx="6">
                  <c:v>964.705882352941</c:v>
                </c:pt>
                <c:pt idx="7">
                  <c:v>1082.94117647059</c:v>
                </c:pt>
                <c:pt idx="8">
                  <c:v>1196.47058823529</c:v>
                </c:pt>
              </c:numCache>
            </c:numRef>
          </c:xVal>
          <c:yVal>
            <c:numRef>
              <c:f>NaHPO4!$Z$4:$Z$12</c:f>
              <c:numCache>
                <c:formatCode>0.0000</c:formatCode>
                <c:ptCount val="9"/>
                <c:pt idx="0">
                  <c:v>0.885639547402594</c:v>
                </c:pt>
                <c:pt idx="1">
                  <c:v>0.851961089902333</c:v>
                </c:pt>
                <c:pt idx="2">
                  <c:v>0.817311631849792</c:v>
                </c:pt>
                <c:pt idx="3">
                  <c:v>0.797031360178559</c:v>
                </c:pt>
                <c:pt idx="4">
                  <c:v>0.779117860130495</c:v>
                </c:pt>
                <c:pt idx="5">
                  <c:v>0.757922810582206</c:v>
                </c:pt>
                <c:pt idx="6">
                  <c:v>0.735608258232178</c:v>
                </c:pt>
                <c:pt idx="7">
                  <c:v>0.717252084366669</c:v>
                </c:pt>
                <c:pt idx="8">
                  <c:v>0.705635714123807</c:v>
                </c:pt>
              </c:numCache>
            </c:numRef>
          </c:yVal>
          <c:smooth val="0"/>
        </c:ser>
        <c:ser>
          <c:idx val="1"/>
          <c:order val="1"/>
          <c:tx>
            <c:strRef>
              <c:f>"pH=7,I=3M"</c:f>
              <c:strCache>
                <c:ptCount val="1"/>
                <c:pt idx="0">
                  <c:v>pH=7,I=3M</c:v>
                </c:pt>
              </c:strCache>
            </c:strRef>
          </c:tx>
          <c:spPr>
            <a:solidFill>
              <a:srgbClr val="ff0000"/>
            </a:solidFill>
            <a:ln cap="rnd" w="19080">
              <a:solidFill>
                <a:srgbClr val="ff0000"/>
              </a:solidFill>
              <a:round/>
            </a:ln>
          </c:spPr>
          <c:marker>
            <c:symbol val="circle"/>
            <c:size val="5"/>
            <c:spPr>
              <a:solidFill>
                <a:srgbClr val="ff0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NaHPO4!$I$13:$I$21</c:f>
              <c:numCache>
                <c:formatCode>0.0</c:formatCode>
                <c:ptCount val="9"/>
                <c:pt idx="0">
                  <c:v>240.588235294118</c:v>
                </c:pt>
                <c:pt idx="1">
                  <c:v>365.882352941176</c:v>
                </c:pt>
                <c:pt idx="2">
                  <c:v>485.882352941176</c:v>
                </c:pt>
                <c:pt idx="3">
                  <c:v>604.117647058824</c:v>
                </c:pt>
                <c:pt idx="4">
                  <c:v>725.882352941177</c:v>
                </c:pt>
                <c:pt idx="5">
                  <c:v>843.529411764706</c:v>
                </c:pt>
                <c:pt idx="6">
                  <c:v>967.058823529412</c:v>
                </c:pt>
                <c:pt idx="7">
                  <c:v>1082.94117647059</c:v>
                </c:pt>
                <c:pt idx="8">
                  <c:v>1200.58823529412</c:v>
                </c:pt>
              </c:numCache>
            </c:numRef>
          </c:xVal>
          <c:yVal>
            <c:numRef>
              <c:f>NaHPO4!$Z$13:$Z$21</c:f>
              <c:numCache>
                <c:formatCode>0.0000</c:formatCode>
                <c:ptCount val="9"/>
                <c:pt idx="0">
                  <c:v>0.697293557874762</c:v>
                </c:pt>
                <c:pt idx="1">
                  <c:v>0.640136312292715</c:v>
                </c:pt>
                <c:pt idx="2">
                  <c:v>0.589809273490536</c:v>
                </c:pt>
                <c:pt idx="3">
                  <c:v>0.559974062696575</c:v>
                </c:pt>
                <c:pt idx="4">
                  <c:v>0.533240538984826</c:v>
                </c:pt>
                <c:pt idx="5">
                  <c:v>0.50669659228965</c:v>
                </c:pt>
                <c:pt idx="6">
                  <c:v>0.485952503296115</c:v>
                </c:pt>
                <c:pt idx="7">
                  <c:v>0.462379537244896</c:v>
                </c:pt>
                <c:pt idx="8">
                  <c:v>0.449280341596387</c:v>
                </c:pt>
              </c:numCache>
            </c:numRef>
          </c:yVal>
          <c:smooth val="0"/>
        </c:ser>
        <c:ser>
          <c:idx val="2"/>
          <c:order val="2"/>
          <c:tx>
            <c:strRef>
              <c:f>"pH=8,I=1M"</c:f>
              <c:strCache>
                <c:ptCount val="1"/>
                <c:pt idx="0">
                  <c:v>pH=8,I=1M</c:v>
                </c:pt>
              </c:strCache>
            </c:strRef>
          </c:tx>
          <c:spPr>
            <a:solidFill>
              <a:srgbClr val="00b050"/>
            </a:solidFill>
            <a:ln cap="rnd" w="19080">
              <a:solidFill>
                <a:srgbClr val="00b050"/>
              </a:solidFill>
              <a:round/>
            </a:ln>
          </c:spPr>
          <c:marker>
            <c:symbol val="circle"/>
            <c:size val="5"/>
            <c:spPr>
              <a:solidFill>
                <a:srgbClr val="00b05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NaHPO4!$I$22:$I$30</c:f>
              <c:numCache>
                <c:formatCode>0.0</c:formatCode>
                <c:ptCount val="9"/>
                <c:pt idx="0">
                  <c:v>242.352941176471</c:v>
                </c:pt>
                <c:pt idx="1">
                  <c:v>373.529411764706</c:v>
                </c:pt>
                <c:pt idx="2">
                  <c:v>491.764705882353</c:v>
                </c:pt>
                <c:pt idx="3">
                  <c:v>614.705882352941</c:v>
                </c:pt>
                <c:pt idx="4">
                  <c:v>732.941176470588</c:v>
                </c:pt>
                <c:pt idx="5">
                  <c:v>855.882352941177</c:v>
                </c:pt>
                <c:pt idx="6">
                  <c:v>977.058823529412</c:v>
                </c:pt>
                <c:pt idx="7">
                  <c:v>1099.41176470588</c:v>
                </c:pt>
                <c:pt idx="8">
                  <c:v>1220</c:v>
                </c:pt>
              </c:numCache>
            </c:numRef>
          </c:xVal>
          <c:yVal>
            <c:numRef>
              <c:f>NaHPO4!$Z$22:$Z$30</c:f>
              <c:numCache>
                <c:formatCode>0.0000</c:formatCode>
                <c:ptCount val="9"/>
                <c:pt idx="0">
                  <c:v>0.893658407156696</c:v>
                </c:pt>
                <c:pt idx="1">
                  <c:v>0.84437675885075</c:v>
                </c:pt>
                <c:pt idx="2">
                  <c:v>0.819940352928089</c:v>
                </c:pt>
                <c:pt idx="3">
                  <c:v>0.796138489946935</c:v>
                </c:pt>
                <c:pt idx="4">
                  <c:v>0.770347151269227</c:v>
                </c:pt>
                <c:pt idx="5">
                  <c:v>0.749087366406462</c:v>
                </c:pt>
                <c:pt idx="6">
                  <c:v>0.733853716312348</c:v>
                </c:pt>
                <c:pt idx="7">
                  <c:v>0.71402278832339</c:v>
                </c:pt>
                <c:pt idx="8">
                  <c:v>0.694482228951428</c:v>
                </c:pt>
              </c:numCache>
            </c:numRef>
          </c:yVal>
          <c:smooth val="0"/>
        </c:ser>
        <c:ser>
          <c:idx val="3"/>
          <c:order val="3"/>
          <c:tx>
            <c:strRef>
              <c:f>"pH=8,I=3M"</c:f>
              <c:strCache>
                <c:ptCount val="1"/>
                <c:pt idx="0">
                  <c:v>pH=8,I=3M</c:v>
                </c:pt>
              </c:strCache>
            </c:strRef>
          </c:tx>
          <c:spPr>
            <a:solidFill>
              <a:srgbClr val="ffc000"/>
            </a:solidFill>
            <a:ln cap="rnd" w="19080">
              <a:solidFill>
                <a:srgbClr val="ffc000"/>
              </a:solidFill>
              <a:round/>
            </a:ln>
          </c:spPr>
          <c:marker>
            <c:symbol val="circle"/>
            <c:size val="5"/>
            <c:spPr>
              <a:solidFill>
                <a:srgbClr val="ffc000"/>
              </a:solidFill>
            </c:spPr>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NaHPO4!$I$31:$I$39</c:f>
              <c:numCache>
                <c:formatCode>0.0</c:formatCode>
                <c:ptCount val="9"/>
                <c:pt idx="0">
                  <c:v>240.588235294118</c:v>
                </c:pt>
                <c:pt idx="1">
                  <c:v>367.058823529412</c:v>
                </c:pt>
                <c:pt idx="2">
                  <c:v>487.058823529412</c:v>
                </c:pt>
                <c:pt idx="3">
                  <c:v>610.588235294118</c:v>
                </c:pt>
                <c:pt idx="4">
                  <c:v>732.941176470588</c:v>
                </c:pt>
                <c:pt idx="5">
                  <c:v>857.647058823529</c:v>
                </c:pt>
                <c:pt idx="6">
                  <c:v>980.588235294118</c:v>
                </c:pt>
                <c:pt idx="7">
                  <c:v>1100</c:v>
                </c:pt>
                <c:pt idx="8">
                  <c:v>1223.52941176471</c:v>
                </c:pt>
              </c:numCache>
            </c:numRef>
          </c:xVal>
          <c:yVal>
            <c:numRef>
              <c:f>NaHPO4!$Z$31:$Z$39</c:f>
              <c:numCache>
                <c:formatCode>0.0000</c:formatCode>
                <c:ptCount val="9"/>
                <c:pt idx="0">
                  <c:v>0.715667323771625</c:v>
                </c:pt>
                <c:pt idx="1">
                  <c:v>0.648938282110285</c:v>
                </c:pt>
                <c:pt idx="2">
                  <c:v>0.60714282127555</c:v>
                </c:pt>
                <c:pt idx="3">
                  <c:v>0.57670290431723</c:v>
                </c:pt>
                <c:pt idx="4">
                  <c:v>0.542544489279945</c:v>
                </c:pt>
                <c:pt idx="5">
                  <c:v>0.51123081808202</c:v>
                </c:pt>
                <c:pt idx="6">
                  <c:v>0.498052982507409</c:v>
                </c:pt>
                <c:pt idx="7">
                  <c:v>0.46888293718595</c:v>
                </c:pt>
                <c:pt idx="8">
                  <c:v>0.45328928093453</c:v>
                </c:pt>
              </c:numCache>
            </c:numRef>
          </c:yVal>
          <c:smooth val="0"/>
        </c:ser>
        <c:axId val="75893226"/>
        <c:axId val="84243748"/>
      </c:scatterChart>
      <c:valAx>
        <c:axId val="75893226"/>
        <c:scaling>
          <c:orientation val="minMax"/>
          <c:max val="1300"/>
          <c:min val="200"/>
        </c:scaling>
        <c:delete val="0"/>
        <c:axPos val="b"/>
        <c:title>
          <c:tx>
            <c:rich>
              <a:bodyPr rot="0"/>
              <a:lstStyle/>
              <a:p>
                <a:pPr>
                  <a:defRPr b="0" lang="en-GB" sz="1000" spc="-1" strike="noStrike">
                    <a:solidFill>
                      <a:srgbClr val="595959"/>
                    </a:solidFill>
                    <a:latin typeface="Calibri"/>
                  </a:defRPr>
                </a:pPr>
                <a:r>
                  <a:rPr b="0" lang="en-GB" sz="1000" spc="-1" strike="noStrike">
                    <a:solidFill>
                      <a:srgbClr val="595959"/>
                    </a:solidFill>
                    <a:latin typeface="Calibri"/>
                  </a:rPr>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84243748"/>
        <c:crosses val="autoZero"/>
        <c:crossBetween val="midCat"/>
      </c:valAx>
      <c:valAx>
        <c:axId val="84243748"/>
        <c:scaling>
          <c:orientation val="minMax"/>
          <c:max val="1"/>
          <c:min val="0.4"/>
        </c:scaling>
        <c:delete val="0"/>
        <c:axPos val="l"/>
        <c:majorGridlines>
          <c:spPr>
            <a:ln w="9360">
              <a:solidFill>
                <a:srgbClr val="d9d9d9"/>
              </a:solidFill>
              <a:round/>
            </a:ln>
          </c:spPr>
        </c:majorGridlines>
        <c:title>
          <c:tx>
            <c:rich>
              <a:bodyPr rot="-5400000"/>
              <a:lstStyle/>
              <a:p>
                <a:pPr>
                  <a:defRPr b="0" lang="en-GB" sz="1000" spc="-1" strike="noStrike">
                    <a:solidFill>
                      <a:srgbClr val="595959"/>
                    </a:solidFill>
                    <a:latin typeface="Calibri"/>
                  </a:defRPr>
                </a:pPr>
                <a:r>
                  <a:rPr b="0" lang="en-GB" sz="1000" spc="-1" strike="noStrike">
                    <a:solidFill>
                      <a:srgbClr val="595959"/>
                    </a:solidFill>
                    <a:latin typeface="Calibri"/>
                  </a:rPr>
                  <a:t>𝜸</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75893226"/>
        <c:crosses val="autoZero"/>
        <c:crossBetween val="midCat"/>
        <c:majorUnit val="0.1"/>
      </c:valAx>
      <c:spPr>
        <a:noFill/>
        <a:ln w="0">
          <a:noFill/>
        </a:ln>
      </c:spPr>
    </c:plotArea>
    <c:legend>
      <c:legendPos val="r"/>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n-GB" sz="1400" spc="-1" strike="noStrike">
                <a:solidFill>
                  <a:srgbClr val="595959"/>
                </a:solidFill>
                <a:latin typeface="Calibri"/>
              </a:defRPr>
            </a:pPr>
            <a:r>
              <a:rPr b="0" lang="en-GB" sz="1400" spc="-1" strike="noStrike">
                <a:solidFill>
                  <a:srgbClr val="595959"/>
                </a:solidFill>
                <a:latin typeface="Calibri"/>
              </a:rPr>
              <a:t>Activity Coefficient Agena</a:t>
            </a:r>
          </a:p>
        </c:rich>
      </c:tx>
      <c:overlay val="0"/>
      <c:spPr>
        <a:noFill/>
        <a:ln w="0">
          <a:noFill/>
        </a:ln>
      </c:spPr>
    </c:title>
    <c:autoTitleDeleted val="0"/>
    <c:plotArea>
      <c:scatterChart>
        <c:scatterStyle val="line"/>
        <c:varyColors val="0"/>
        <c:ser>
          <c:idx val="0"/>
          <c:order val="0"/>
          <c:tx>
            <c:strRef>
              <c:f>"pH=7,I=1M"</c:f>
              <c:strCache>
                <c:ptCount val="1"/>
                <c:pt idx="0">
                  <c:v>pH=7,I=1M</c:v>
                </c:pt>
              </c:strCache>
            </c:strRef>
          </c:tx>
          <c:spPr>
            <a:solidFill>
              <a:srgbClr val="a5a5a5"/>
            </a:solidFill>
            <a:ln cap="rnd" w="19080">
              <a:solidFill>
                <a:srgbClr val="a5a5a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NaHPO4!$I$4:$I$12</c:f>
              <c:numCache>
                <c:formatCode>0.0</c:formatCode>
                <c:ptCount val="9"/>
                <c:pt idx="0">
                  <c:v>239.411764705882</c:v>
                </c:pt>
                <c:pt idx="1">
                  <c:v>363.529411764706</c:v>
                </c:pt>
                <c:pt idx="2">
                  <c:v>488.823529411765</c:v>
                </c:pt>
                <c:pt idx="3">
                  <c:v>610</c:v>
                </c:pt>
                <c:pt idx="4">
                  <c:v>727.647058823529</c:v>
                </c:pt>
                <c:pt idx="5">
                  <c:v>847.058823529412</c:v>
                </c:pt>
                <c:pt idx="6">
                  <c:v>964.705882352941</c:v>
                </c:pt>
                <c:pt idx="7">
                  <c:v>1082.94117647059</c:v>
                </c:pt>
                <c:pt idx="8">
                  <c:v>1196.47058823529</c:v>
                </c:pt>
              </c:numCache>
            </c:numRef>
          </c:xVal>
          <c:yVal>
            <c:numRef>
              <c:f>NaHPO4!$AA$4:$AA$12</c:f>
              <c:numCache>
                <c:formatCode>0.0000</c:formatCode>
                <c:ptCount val="9"/>
                <c:pt idx="0">
                  <c:v>0.967036079238301</c:v>
                </c:pt>
                <c:pt idx="1">
                  <c:v>0.950297340985734</c:v>
                </c:pt>
                <c:pt idx="2">
                  <c:v>0.933639475096663</c:v>
                </c:pt>
                <c:pt idx="3">
                  <c:v>0.91775558346528</c:v>
                </c:pt>
                <c:pt idx="4">
                  <c:v>0.902545238209205</c:v>
                </c:pt>
                <c:pt idx="5">
                  <c:v>0.887317058710921</c:v>
                </c:pt>
                <c:pt idx="6">
                  <c:v>0.872519035074221</c:v>
                </c:pt>
                <c:pt idx="7">
                  <c:v>0.857850037941906</c:v>
                </c:pt>
                <c:pt idx="8">
                  <c:v>0.843954482969869</c:v>
                </c:pt>
              </c:numCache>
            </c:numRef>
          </c:yVal>
          <c:smooth val="1"/>
        </c:ser>
        <c:ser>
          <c:idx val="1"/>
          <c:order val="1"/>
          <c:tx>
            <c:strRef>
              <c:f>"pH=7,I=3M"</c:f>
              <c:strCache>
                <c:ptCount val="1"/>
                <c:pt idx="0">
                  <c:v>pH=7,I=3M</c:v>
                </c:pt>
              </c:strCache>
            </c:strRef>
          </c:tx>
          <c:spPr>
            <a:solidFill>
              <a:srgbClr val="ffc000"/>
            </a:solidFill>
            <a:ln cap="rnd" w="19080">
              <a:solidFill>
                <a:srgbClr val="ffc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NaHPO4!$I$13:$I$21</c:f>
              <c:numCache>
                <c:formatCode>0.0</c:formatCode>
                <c:ptCount val="9"/>
                <c:pt idx="0">
                  <c:v>240.588235294118</c:v>
                </c:pt>
                <c:pt idx="1">
                  <c:v>365.882352941176</c:v>
                </c:pt>
                <c:pt idx="2">
                  <c:v>485.882352941176</c:v>
                </c:pt>
                <c:pt idx="3">
                  <c:v>604.117647058824</c:v>
                </c:pt>
                <c:pt idx="4">
                  <c:v>725.882352941177</c:v>
                </c:pt>
                <c:pt idx="5">
                  <c:v>843.529411764706</c:v>
                </c:pt>
                <c:pt idx="6">
                  <c:v>967.058823529412</c:v>
                </c:pt>
                <c:pt idx="7">
                  <c:v>1082.94117647059</c:v>
                </c:pt>
                <c:pt idx="8">
                  <c:v>1200.58823529412</c:v>
                </c:pt>
              </c:numCache>
            </c:numRef>
          </c:xVal>
          <c:yVal>
            <c:numRef>
              <c:f>NaHPO4!$AA$13:$AA$21</c:f>
              <c:numCache>
                <c:formatCode>0.0000</c:formatCode>
                <c:ptCount val="9"/>
                <c:pt idx="0">
                  <c:v>0.955207561856936</c:v>
                </c:pt>
                <c:pt idx="1">
                  <c:v>0.932560329052896</c:v>
                </c:pt>
                <c:pt idx="2">
                  <c:v>0.911297488754933</c:v>
                </c:pt>
                <c:pt idx="3">
                  <c:v>0.890749989264905</c:v>
                </c:pt>
                <c:pt idx="4">
                  <c:v>0.87000036475812</c:v>
                </c:pt>
                <c:pt idx="5">
                  <c:v>0.850342607602091</c:v>
                </c:pt>
                <c:pt idx="6">
                  <c:v>0.830108140009956</c:v>
                </c:pt>
                <c:pt idx="7">
                  <c:v>0.811498602675672</c:v>
                </c:pt>
                <c:pt idx="8">
                  <c:v>0.792968573509922</c:v>
                </c:pt>
              </c:numCache>
            </c:numRef>
          </c:yVal>
          <c:smooth val="1"/>
        </c:ser>
        <c:ser>
          <c:idx val="2"/>
          <c:order val="2"/>
          <c:tx>
            <c:strRef>
              <c:f>"pH=8,I=1M"</c:f>
              <c:strCache>
                <c:ptCount val="1"/>
                <c:pt idx="0">
                  <c:v>pH=8,I=1M</c:v>
                </c:pt>
              </c:strCache>
            </c:strRef>
          </c:tx>
          <c:spPr>
            <a:solidFill>
              <a:srgbClr val="5b9bd5"/>
            </a:solidFill>
            <a:ln cap="rnd" w="19080">
              <a:solidFill>
                <a:srgbClr val="5b9bd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NaHPO4!$I$22:$I$30</c:f>
              <c:numCache>
                <c:formatCode>0.0</c:formatCode>
                <c:ptCount val="9"/>
                <c:pt idx="0">
                  <c:v>242.352941176471</c:v>
                </c:pt>
                <c:pt idx="1">
                  <c:v>373.529411764706</c:v>
                </c:pt>
                <c:pt idx="2">
                  <c:v>491.764705882353</c:v>
                </c:pt>
                <c:pt idx="3">
                  <c:v>614.705882352941</c:v>
                </c:pt>
                <c:pt idx="4">
                  <c:v>732.941176470588</c:v>
                </c:pt>
                <c:pt idx="5">
                  <c:v>855.882352941177</c:v>
                </c:pt>
                <c:pt idx="6">
                  <c:v>977.058823529412</c:v>
                </c:pt>
                <c:pt idx="7">
                  <c:v>1099.41176470588</c:v>
                </c:pt>
                <c:pt idx="8">
                  <c:v>1220</c:v>
                </c:pt>
              </c:numCache>
            </c:numRef>
          </c:xVal>
          <c:yVal>
            <c:numRef>
              <c:f>NaHPO4!$AA$22:$AA$30</c:f>
              <c:numCache>
                <c:formatCode>0.0000</c:formatCode>
                <c:ptCount val="9"/>
                <c:pt idx="0">
                  <c:v>0.939524933674044</c:v>
                </c:pt>
                <c:pt idx="1">
                  <c:v>0.908180187371718</c:v>
                </c:pt>
                <c:pt idx="2">
                  <c:v>0.880735643900057</c:v>
                </c:pt>
                <c:pt idx="3">
                  <c:v>0.852990687470081</c:v>
                </c:pt>
                <c:pt idx="4">
                  <c:v>0.82705079334525</c:v>
                </c:pt>
                <c:pt idx="5">
                  <c:v>0.8008319732701</c:v>
                </c:pt>
                <c:pt idx="6">
                  <c:v>0.775722667260523</c:v>
                </c:pt>
                <c:pt idx="7">
                  <c:v>0.751089556117579</c:v>
                </c:pt>
                <c:pt idx="8">
                  <c:v>0.727501895797919</c:v>
                </c:pt>
              </c:numCache>
            </c:numRef>
          </c:yVal>
          <c:smooth val="1"/>
        </c:ser>
        <c:ser>
          <c:idx val="3"/>
          <c:order val="3"/>
          <c:tx>
            <c:strRef>
              <c:f>"pH=8,I=3M"</c:f>
              <c:strCache>
                <c:ptCount val="1"/>
                <c:pt idx="0">
                  <c:v>pH=8,I=3M</c:v>
                </c:pt>
              </c:strCache>
            </c:strRef>
          </c:tx>
          <c:spPr>
            <a:solidFill>
              <a:srgbClr val="70ad47"/>
            </a:solidFill>
            <a:ln cap="rnd" w="19080">
              <a:solidFill>
                <a:srgbClr val="70ad47"/>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xVal>
            <c:numRef>
              <c:f>NaHPO4!$I$31:$I$39</c:f>
              <c:numCache>
                <c:formatCode>0.0</c:formatCode>
                <c:ptCount val="9"/>
                <c:pt idx="0">
                  <c:v>240.588235294118</c:v>
                </c:pt>
                <c:pt idx="1">
                  <c:v>367.058823529412</c:v>
                </c:pt>
                <c:pt idx="2">
                  <c:v>487.058823529412</c:v>
                </c:pt>
                <c:pt idx="3">
                  <c:v>610.588235294118</c:v>
                </c:pt>
                <c:pt idx="4">
                  <c:v>732.941176470588</c:v>
                </c:pt>
                <c:pt idx="5">
                  <c:v>857.647058823529</c:v>
                </c:pt>
                <c:pt idx="6">
                  <c:v>980.588235294118</c:v>
                </c:pt>
                <c:pt idx="7">
                  <c:v>1100</c:v>
                </c:pt>
                <c:pt idx="8">
                  <c:v>1223.52941176471</c:v>
                </c:pt>
              </c:numCache>
            </c:numRef>
          </c:xVal>
          <c:yVal>
            <c:numRef>
              <c:f>NaHPO4!$AA$31:$AA$39</c:f>
              <c:numCache>
                <c:formatCode>0.0000</c:formatCode>
                <c:ptCount val="9"/>
                <c:pt idx="0">
                  <c:v>0.926237606254254</c:v>
                </c:pt>
                <c:pt idx="1">
                  <c:v>0.889478985251655</c:v>
                </c:pt>
                <c:pt idx="2">
                  <c:v>0.855832344503446</c:v>
                </c:pt>
                <c:pt idx="3">
                  <c:v>0.822408740988585</c:v>
                </c:pt>
                <c:pt idx="4">
                  <c:v>0.790477941070571</c:v>
                </c:pt>
                <c:pt idx="5">
                  <c:v>0.759097347920417</c:v>
                </c:pt>
                <c:pt idx="6">
                  <c:v>0.729274386606818</c:v>
                </c:pt>
                <c:pt idx="7">
                  <c:v>0.701332196255486</c:v>
                </c:pt>
                <c:pt idx="8">
                  <c:v>0.673454976387211</c:v>
                </c:pt>
              </c:numCache>
            </c:numRef>
          </c:yVal>
          <c:smooth val="1"/>
        </c:ser>
        <c:axId val="53203538"/>
        <c:axId val="90011564"/>
      </c:scatterChart>
      <c:valAx>
        <c:axId val="53203538"/>
        <c:scaling>
          <c:orientation val="minMax"/>
        </c:scaling>
        <c:delete val="0"/>
        <c:axPos val="b"/>
        <c:title>
          <c:tx>
            <c:rich>
              <a:bodyPr rot="0"/>
              <a:lstStyle/>
              <a:p>
                <a:pPr>
                  <a:defRPr b="0" lang="en-GB" sz="1000" spc="-1" strike="noStrike">
                    <a:solidFill>
                      <a:srgbClr val="595959"/>
                    </a:solidFill>
                    <a:latin typeface="Calibri"/>
                  </a:defRPr>
                </a:pPr>
                <a:r>
                  <a:rPr b="0" lang="en-GB" sz="1000" spc="-1" strike="noStrike">
                    <a:solidFill>
                      <a:srgbClr val="595959"/>
                    </a:solidFill>
                    <a:latin typeface="Calibri"/>
                  </a:rPr>
                  <a:t>Protein Concentration (𝝁M)</a:t>
                </a:r>
              </a:p>
            </c:rich>
          </c:tx>
          <c:overlay val="0"/>
          <c:spPr>
            <a:noFill/>
            <a:ln w="0">
              <a:noFill/>
            </a:ln>
          </c:spPr>
        </c:title>
        <c:numFmt formatCode="0.0" sourceLinked="0"/>
        <c:majorTickMark val="out"/>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90011564"/>
        <c:crosses val="autoZero"/>
        <c:crossBetween val="midCat"/>
      </c:valAx>
      <c:valAx>
        <c:axId val="90011564"/>
        <c:scaling>
          <c:orientation val="minMax"/>
          <c:max val="1"/>
          <c:min val="0.4"/>
        </c:scaling>
        <c:delete val="0"/>
        <c:axPos val="l"/>
        <c:majorGridlines>
          <c:spPr>
            <a:ln w="9360">
              <a:solidFill>
                <a:srgbClr val="d9d9d9"/>
              </a:solidFill>
              <a:round/>
            </a:ln>
          </c:spPr>
        </c:majorGridlines>
        <c:title>
          <c:tx>
            <c:rich>
              <a:bodyPr rot="-5400000"/>
              <a:lstStyle/>
              <a:p>
                <a:pPr>
                  <a:defRPr b="0" lang="en-GB" sz="1000" spc="-1" strike="noStrike">
                    <a:solidFill>
                      <a:srgbClr val="595959"/>
                    </a:solidFill>
                    <a:latin typeface="Calibri"/>
                  </a:defRPr>
                </a:pPr>
                <a:r>
                  <a:rPr b="0" lang="en-GB" sz="1000" spc="-1" strike="noStrike">
                    <a:solidFill>
                      <a:srgbClr val="595959"/>
                    </a:solidFill>
                    <a:latin typeface="Calibri"/>
                  </a:rPr>
                  <a:t>𝜸</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b="0" sz="900" spc="-1" strike="noStrike">
                <a:solidFill>
                  <a:srgbClr val="595959"/>
                </a:solidFill>
                <a:latin typeface="Calibri"/>
              </a:defRPr>
            </a:pPr>
          </a:p>
        </c:txPr>
        <c:crossAx val="53203538"/>
        <c:crosses val="autoZero"/>
        <c:crossBetween val="midCat"/>
        <c:majorUnit val="0.1"/>
      </c:valAx>
      <c:spPr>
        <a:noFill/>
        <a:ln w="0">
          <a:noFill/>
        </a:ln>
      </c:spPr>
    </c:plotArea>
    <c:legend>
      <c:legendPos val="r"/>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117000</xdr:colOff>
      <xdr:row>39</xdr:row>
      <xdr:rowOff>84600</xdr:rowOff>
    </xdr:from>
    <xdr:to>
      <xdr:col>6</xdr:col>
      <xdr:colOff>567720</xdr:colOff>
      <xdr:row>53</xdr:row>
      <xdr:rowOff>61200</xdr:rowOff>
    </xdr:to>
    <xdr:graphicFrame>
      <xdr:nvGraphicFramePr>
        <xdr:cNvPr id="0" name="Chart 1"/>
        <xdr:cNvGraphicFramePr/>
      </xdr:nvGraphicFramePr>
      <xdr:xfrm>
        <a:off x="117000" y="7885440"/>
        <a:ext cx="4667760" cy="27770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594000</xdr:colOff>
      <xdr:row>39</xdr:row>
      <xdr:rowOff>81720</xdr:rowOff>
    </xdr:from>
    <xdr:to>
      <xdr:col>11</xdr:col>
      <xdr:colOff>1101240</xdr:colOff>
      <xdr:row>53</xdr:row>
      <xdr:rowOff>58320</xdr:rowOff>
    </xdr:to>
    <xdr:graphicFrame>
      <xdr:nvGraphicFramePr>
        <xdr:cNvPr id="1" name="Chart 2"/>
        <xdr:cNvGraphicFramePr/>
      </xdr:nvGraphicFramePr>
      <xdr:xfrm>
        <a:off x="4811040" y="7882560"/>
        <a:ext cx="4588920" cy="2777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1134360</xdr:colOff>
      <xdr:row>39</xdr:row>
      <xdr:rowOff>77760</xdr:rowOff>
    </xdr:from>
    <xdr:to>
      <xdr:col>17</xdr:col>
      <xdr:colOff>272880</xdr:colOff>
      <xdr:row>53</xdr:row>
      <xdr:rowOff>54360</xdr:rowOff>
    </xdr:to>
    <xdr:graphicFrame>
      <xdr:nvGraphicFramePr>
        <xdr:cNvPr id="2" name="Chart 3"/>
        <xdr:cNvGraphicFramePr/>
      </xdr:nvGraphicFramePr>
      <xdr:xfrm>
        <a:off x="9433080" y="7878600"/>
        <a:ext cx="4694400" cy="27770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268200</xdr:colOff>
      <xdr:row>39</xdr:row>
      <xdr:rowOff>91800</xdr:rowOff>
    </xdr:from>
    <xdr:to>
      <xdr:col>25</xdr:col>
      <xdr:colOff>69840</xdr:colOff>
      <xdr:row>53</xdr:row>
      <xdr:rowOff>68400</xdr:rowOff>
    </xdr:to>
    <xdr:graphicFrame>
      <xdr:nvGraphicFramePr>
        <xdr:cNvPr id="3" name="Chart 4"/>
        <xdr:cNvGraphicFramePr/>
      </xdr:nvGraphicFramePr>
      <xdr:xfrm>
        <a:off x="14122800" y="7892640"/>
        <a:ext cx="4704480" cy="27770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30</xdr:col>
      <xdr:colOff>218880</xdr:colOff>
      <xdr:row>16</xdr:row>
      <xdr:rowOff>159480</xdr:rowOff>
    </xdr:from>
    <xdr:to>
      <xdr:col>39</xdr:col>
      <xdr:colOff>246240</xdr:colOff>
      <xdr:row>39</xdr:row>
      <xdr:rowOff>186840</xdr:rowOff>
    </xdr:to>
    <xdr:graphicFrame>
      <xdr:nvGraphicFramePr>
        <xdr:cNvPr id="4" name="Chart 5"/>
        <xdr:cNvGraphicFramePr/>
      </xdr:nvGraphicFramePr>
      <xdr:xfrm>
        <a:off x="23082840" y="3359880"/>
        <a:ext cx="7692840" cy="46278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39</xdr:col>
      <xdr:colOff>268200</xdr:colOff>
      <xdr:row>16</xdr:row>
      <xdr:rowOff>155160</xdr:rowOff>
    </xdr:from>
    <xdr:to>
      <xdr:col>48</xdr:col>
      <xdr:colOff>394560</xdr:colOff>
      <xdr:row>39</xdr:row>
      <xdr:rowOff>182520</xdr:rowOff>
    </xdr:to>
    <xdr:graphicFrame>
      <xdr:nvGraphicFramePr>
        <xdr:cNvPr id="5" name="Chart 6"/>
        <xdr:cNvGraphicFramePr/>
      </xdr:nvGraphicFramePr>
      <xdr:xfrm>
        <a:off x="30797640" y="3355560"/>
        <a:ext cx="7470360" cy="46278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42"/>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B12" activeCellId="0" sqref="B12"/>
    </sheetView>
  </sheetViews>
  <sheetFormatPr defaultColWidth="10.62109375" defaultRowHeight="15.75" zeroHeight="false" outlineLevelRow="0" outlineLevelCol="0"/>
  <cols>
    <col collapsed="false" customWidth="true" hidden="false" outlineLevel="0" max="1" min="1" style="1" width="12.33"/>
    <col collapsed="false" customWidth="true" hidden="false" outlineLevel="0" max="4" min="4" style="1" width="5.66"/>
    <col collapsed="false" customWidth="true" hidden="false" outlineLevel="0" max="6" min="5" style="1" width="7.82"/>
    <col collapsed="false" customWidth="true" hidden="false" outlineLevel="0" max="7" min="7" style="1" width="8"/>
    <col collapsed="false" customWidth="true" hidden="false" outlineLevel="0" max="9" min="8" style="1" width="10.17"/>
    <col collapsed="false" customWidth="true" hidden="false" outlineLevel="0" max="11" min="11" style="1" width="14.16"/>
    <col collapsed="false" customWidth="true" hidden="false" outlineLevel="0" max="13" min="12" style="1" width="15.33"/>
    <col collapsed="false" customWidth="true" hidden="false" outlineLevel="0" max="14" min="14" style="1" width="14.82"/>
    <col collapsed="false" customWidth="true" hidden="false" outlineLevel="0" max="15" min="15" style="1" width="9.83"/>
    <col collapsed="false" customWidth="true" hidden="false" outlineLevel="0" max="16" min="16" style="1" width="9.66"/>
    <col collapsed="false" customWidth="true" hidden="false" outlineLevel="0" max="18" min="17" style="1" width="7.33"/>
    <col collapsed="false" customWidth="true" hidden="false" outlineLevel="0" max="20" min="19" style="1" width="8"/>
    <col collapsed="false" customWidth="true" hidden="false" outlineLevel="0" max="21" min="21" style="1" width="10.83"/>
    <col collapsed="false" customWidth="true" hidden="false" outlineLevel="0" max="22" min="22" style="1" width="5.66"/>
    <col collapsed="false" customWidth="true" hidden="false" outlineLevel="0" max="23" min="23" style="1" width="5.16"/>
    <col collapsed="false" customWidth="true" hidden="false" outlineLevel="0" max="24" min="24" style="1" width="7.33"/>
    <col collapsed="false" customWidth="true" hidden="false" outlineLevel="0" max="27" min="25" style="1" width="11.5"/>
    <col collapsed="false" customWidth="true" hidden="false" outlineLevel="0" max="29" min="29" style="1" width="5.16"/>
    <col collapsed="false" customWidth="true" hidden="false" outlineLevel="0" max="30" min="30" style="1" width="14.66"/>
    <col collapsed="false" customWidth="true" hidden="false" outlineLevel="0" max="31" min="31" style="1" width="11.5"/>
    <col collapsed="false" customWidth="true" hidden="false" outlineLevel="0" max="32" min="32" style="1" width="11.66"/>
    <col collapsed="false" customWidth="true" hidden="false" outlineLevel="0" max="33" min="33" style="1" width="11.84"/>
    <col collapsed="false" customWidth="true" hidden="false" outlineLevel="0" max="34" min="34" style="1" width="11.66"/>
  </cols>
  <sheetData>
    <row r="1" customFormat="false" ht="15.75" hidden="false" customHeight="true" outlineLevel="0" collapsed="false">
      <c r="A1" s="1" t="s">
        <v>0</v>
      </c>
      <c r="B1" s="1" t="n">
        <v>8.31446261815324</v>
      </c>
    </row>
    <row r="2" customFormat="false" ht="15.75" hidden="false" customHeight="true" outlineLevel="0" collapsed="false">
      <c r="A2" s="1" t="s">
        <v>1</v>
      </c>
      <c r="B2" s="1" t="n">
        <f aca="false">25+273.15</f>
        <v>298.15</v>
      </c>
      <c r="G2" s="2"/>
      <c r="H2" s="2"/>
      <c r="I2" s="2"/>
      <c r="J2" s="2"/>
      <c r="K2" s="2"/>
      <c r="L2" s="2"/>
      <c r="M2" s="2"/>
      <c r="N2" s="2"/>
      <c r="O2" s="2"/>
      <c r="P2" s="2"/>
      <c r="Q2" s="2"/>
      <c r="R2" s="2"/>
      <c r="S2" s="2"/>
      <c r="T2" s="2"/>
      <c r="U2" s="2"/>
      <c r="V2" s="2"/>
      <c r="W2" s="2"/>
      <c r="X2" s="2"/>
      <c r="Y2" s="2"/>
      <c r="Z2" s="2"/>
      <c r="AA2" s="2"/>
      <c r="AC2" s="1" t="s">
        <v>2</v>
      </c>
      <c r="AD2" s="1" t="s">
        <v>3</v>
      </c>
      <c r="AE2" s="1" t="s">
        <v>4</v>
      </c>
    </row>
    <row r="3" customFormat="false" ht="15.75" hidden="false" customHeight="true" outlineLevel="0" collapsed="false">
      <c r="D3" s="3" t="s">
        <v>2</v>
      </c>
      <c r="E3" s="4" t="s">
        <v>5</v>
      </c>
      <c r="F3" s="4" t="s">
        <v>6</v>
      </c>
      <c r="G3" s="4" t="s">
        <v>7</v>
      </c>
      <c r="H3" s="3" t="s">
        <v>8</v>
      </c>
      <c r="I3" s="3" t="s">
        <v>9</v>
      </c>
      <c r="J3" s="4" t="s">
        <v>10</v>
      </c>
      <c r="K3" s="4" t="s">
        <v>11</v>
      </c>
      <c r="L3" s="4" t="s">
        <v>12</v>
      </c>
      <c r="M3" s="4" t="s">
        <v>13</v>
      </c>
      <c r="N3" s="4" t="s">
        <v>14</v>
      </c>
      <c r="O3" s="5" t="s">
        <v>15</v>
      </c>
      <c r="P3" s="5" t="s">
        <v>16</v>
      </c>
      <c r="Q3" s="4" t="s">
        <v>17</v>
      </c>
      <c r="R3" s="4" t="s">
        <v>18</v>
      </c>
      <c r="S3" s="4" t="s">
        <v>19</v>
      </c>
      <c r="T3" s="4" t="s">
        <v>20</v>
      </c>
      <c r="U3" s="4" t="s">
        <v>21</v>
      </c>
      <c r="V3" s="4" t="s">
        <v>22</v>
      </c>
      <c r="W3" s="4" t="s">
        <v>23</v>
      </c>
      <c r="X3" s="3" t="s">
        <v>24</v>
      </c>
      <c r="Y3" s="3" t="s">
        <v>25</v>
      </c>
      <c r="Z3" s="3" t="s">
        <v>26</v>
      </c>
      <c r="AA3" s="3" t="s">
        <v>27</v>
      </c>
      <c r="AC3" s="1" t="n">
        <v>7</v>
      </c>
      <c r="AD3" s="1" t="n">
        <v>17</v>
      </c>
      <c r="AE3" s="1" t="n">
        <f aca="false">AD3*1000</f>
        <v>17000</v>
      </c>
    </row>
    <row r="4" customFormat="false" ht="15.75" hidden="false" customHeight="true" outlineLevel="0" collapsed="false">
      <c r="D4" s="6" t="n">
        <v>7</v>
      </c>
      <c r="E4" s="7" t="n">
        <f aca="false">10^-D4</f>
        <v>1E-007</v>
      </c>
      <c r="F4" s="7" t="n">
        <f aca="false">0.00000000000001/E4</f>
        <v>1E-007</v>
      </c>
      <c r="G4" s="8" t="n">
        <v>4.07</v>
      </c>
      <c r="H4" s="9" t="n">
        <f aca="false">G4/$AE$3</f>
        <v>0.000239411764705882</v>
      </c>
      <c r="I4" s="10" t="n">
        <f aca="false">1000000*H4</f>
        <v>239.411764705882</v>
      </c>
      <c r="J4" s="11" t="n">
        <f aca="false">H4/($B$9*(1-H4*$AE$3*$B$5/1000) - L4*($B$11+$B$12) - M4*(2*$B$11+$B$13) - E4*$B$15 - F4*$B$16)</f>
        <v>2.51100399910481E-007</v>
      </c>
      <c r="K4" s="8" t="n">
        <v>0.333333333333333</v>
      </c>
      <c r="L4" s="12" t="n">
        <f aca="false">M4*E4/(10^-$B$19)</f>
        <v>0.204378940051048</v>
      </c>
      <c r="M4" s="12" t="n">
        <f aca="false">(10^-$B$19)*K4/(E4+(10^-$B$19))</f>
        <v>0.128954393282286</v>
      </c>
      <c r="N4" s="11" t="n">
        <f aca="false">(L4+3*M4)/($B$9*(1-H4*$AE$3*$B$5/1000) - L4*($B$11+$B$12) - M4*(2*$B$11+$B$13) - E4*$B$15 - F4*$B$16)</f>
        <v>0.000620107925492587</v>
      </c>
      <c r="O4" s="8" t="n">
        <v>4.43</v>
      </c>
      <c r="P4" s="8" t="n">
        <f aca="false">O4*133.322</f>
        <v>590.61646</v>
      </c>
      <c r="Q4" s="13" t="n">
        <f aca="false">$B$1*$B$2*$B$9*1000*(J4+0.25*$AD$17*$AD$17*J4*J4/N4)</f>
        <v>624.62049273863</v>
      </c>
      <c r="R4" s="14" t="n">
        <f aca="false">P4/Q4</f>
        <v>0.94556049131603</v>
      </c>
      <c r="S4" s="14" t="n">
        <f aca="false">R4-1</f>
        <v>-0.0544395086839696</v>
      </c>
      <c r="T4" s="14" t="n">
        <f aca="false">$U$4+$U$5*J4+$U$6*J4*J4+$U$7*J4*J4*J4+$U$8*J4*J4*J4*J4</f>
        <v>-0.0549182712321368</v>
      </c>
      <c r="U4" s="15" t="n">
        <v>0</v>
      </c>
      <c r="V4" s="8" t="n">
        <f aca="false">S4-T4</f>
        <v>0.000478762548167193</v>
      </c>
      <c r="W4" s="8" t="n">
        <f aca="false">V4*V4</f>
        <v>2.29213577527544E-007</v>
      </c>
      <c r="X4" s="16" t="n">
        <f aca="false">EXP(S4+$U$5*J4+$U$6*J4*J4/2+$U$7*J4*J4*J4/3+$U$8*J4*J4*J4*J4/4)</f>
        <v>0.885639547402594</v>
      </c>
      <c r="Y4" s="16" t="n">
        <f aca="false">EXP(2*$AG$9*J4)</f>
        <v>0.967036079238301</v>
      </c>
      <c r="Z4" s="16" t="n">
        <f aca="false">X4</f>
        <v>0.885639547402594</v>
      </c>
      <c r="AA4" s="16" t="n">
        <f aca="false">Y4</f>
        <v>0.967036079238301</v>
      </c>
      <c r="AC4" s="1" t="n">
        <v>7</v>
      </c>
      <c r="AD4" s="1" t="n">
        <v>17</v>
      </c>
      <c r="AE4" s="1" t="n">
        <f aca="false">AD4*1000</f>
        <v>17000</v>
      </c>
    </row>
    <row r="5" customFormat="false" ht="15.75" hidden="false" customHeight="true" outlineLevel="0" collapsed="false">
      <c r="A5" s="1" t="s">
        <v>28</v>
      </c>
      <c r="B5" s="1" t="n">
        <v>0.742</v>
      </c>
      <c r="C5" s="1" t="s">
        <v>29</v>
      </c>
      <c r="D5" s="6"/>
      <c r="E5" s="17" t="n">
        <f aca="false">E4</f>
        <v>1E-007</v>
      </c>
      <c r="F5" s="17" t="n">
        <f aca="false">0.00000000000001/E5</f>
        <v>1E-007</v>
      </c>
      <c r="G5" s="18" t="n">
        <v>6.18</v>
      </c>
      <c r="H5" s="19" t="n">
        <f aca="false">G5/$AE$3</f>
        <v>0.000363529411764706</v>
      </c>
      <c r="I5" s="20" t="n">
        <f aca="false">1000000*H5</f>
        <v>363.529411764706</v>
      </c>
      <c r="J5" s="21" t="n">
        <f aca="false">H5/($B$9*(1-H5*$AE$3*$B$5/1000) - L5*($B$11+$B$12) - M5*(2*$B$11+$B$13) - E5*$B$15 - F5*$B$16)</f>
        <v>3.81902982328246E-007</v>
      </c>
      <c r="K5" s="18" t="n">
        <f aca="false">K4</f>
        <v>0.333333333333333</v>
      </c>
      <c r="L5" s="22" t="n">
        <f aca="false">M5*E5/(10^-$B$19)</f>
        <v>0.204378940051048</v>
      </c>
      <c r="M5" s="22" t="n">
        <f aca="false">(10^-$B$19)*K5/(E5+(10^-$B$19))</f>
        <v>0.128954393282286</v>
      </c>
      <c r="N5" s="21" t="n">
        <f aca="false">(L5+3*M5)/($B$9*(1-H5*$AE$3*$B$5/1000) - L5*($B$11+$B$12) - M5*(2*$B$11+$B$13) - E5*$B$15 - F5*$B$16)</f>
        <v>0.000621124788145701</v>
      </c>
      <c r="O5" s="18" t="n">
        <v>6.67</v>
      </c>
      <c r="P5" s="18" t="n">
        <f aca="false">O5*133.322</f>
        <v>889.25774</v>
      </c>
      <c r="Q5" s="23" t="n">
        <f aca="false">$B$1*$B$2*$B$9*1000*(J5+0.25*$AD$17*$AD$17*J5*J5/N5)</f>
        <v>953.166549489757</v>
      </c>
      <c r="R5" s="24" t="n">
        <f aca="false">P5/Q5</f>
        <v>0.932951057164177</v>
      </c>
      <c r="S5" s="24" t="n">
        <f aca="false">R5-1</f>
        <v>-0.0670489428358226</v>
      </c>
      <c r="T5" s="24" t="n">
        <f aca="false">$U$4+$U$5*J5+$U$6*J5*J5+$U$7*J5*J5*J5+$U$8*J5*J5*J5*J5</f>
        <v>-0.0699627475176962</v>
      </c>
      <c r="U5" s="25" t="n">
        <v>-323974.86396376</v>
      </c>
      <c r="V5" s="18" t="n">
        <f aca="false">S5-T5</f>
        <v>0.00291380468187359</v>
      </c>
      <c r="W5" s="18" t="n">
        <f aca="false">V5*V5</f>
        <v>8.49025772410846E-006</v>
      </c>
      <c r="X5" s="26" t="n">
        <f aca="false">EXP(S5+$U$5*J5+$U$6*J5*J5/2+$U$7*J5*J5*J5/3+$U$8*J5*J5*J5*J5/4)</f>
        <v>0.851961089902333</v>
      </c>
      <c r="Y5" s="26" t="n">
        <f aca="false">EXP(2*$AG$9*J5)</f>
        <v>0.950297340985734</v>
      </c>
      <c r="Z5" s="26" t="n">
        <f aca="false">X5</f>
        <v>0.851961089902333</v>
      </c>
      <c r="AA5" s="26" t="n">
        <f aca="false">Y5</f>
        <v>0.950297340985734</v>
      </c>
      <c r="AC5" s="1" t="n">
        <v>8</v>
      </c>
      <c r="AD5" s="1" t="n">
        <v>17</v>
      </c>
      <c r="AE5" s="1" t="n">
        <f aca="false">AD5*1000</f>
        <v>17000</v>
      </c>
    </row>
    <row r="6" customFormat="false" ht="15.75" hidden="false" customHeight="true" outlineLevel="0" collapsed="false">
      <c r="A6" s="1" t="s">
        <v>30</v>
      </c>
      <c r="B6" s="1" t="s">
        <v>31</v>
      </c>
      <c r="D6" s="6"/>
      <c r="E6" s="17" t="n">
        <f aca="false">E5</f>
        <v>1E-007</v>
      </c>
      <c r="F6" s="17" t="n">
        <f aca="false">0.00000000000001/E6</f>
        <v>1E-007</v>
      </c>
      <c r="G6" s="18" t="n">
        <v>8.31</v>
      </c>
      <c r="H6" s="19" t="n">
        <f aca="false">G6/$AE$3</f>
        <v>0.000488823529411765</v>
      </c>
      <c r="I6" s="20" t="n">
        <f aca="false">1000000*H6</f>
        <v>488.823529411765</v>
      </c>
      <c r="J6" s="21" t="n">
        <f aca="false">H6/($B$9*(1-H6*$AE$3*$B$5/1000) - L6*($B$11+$B$12) - M6*(2*$B$11+$B$13) - E6*$B$15 - F6*$B$16)</f>
        <v>5.14381223900649E-007</v>
      </c>
      <c r="K6" s="18" t="n">
        <f aca="false">K5</f>
        <v>0.333333333333333</v>
      </c>
      <c r="L6" s="22" t="n">
        <f aca="false">M6*E6/(10^-$B$19)</f>
        <v>0.204378940051048</v>
      </c>
      <c r="M6" s="22" t="n">
        <f aca="false">(10^-$B$19)*K6/(E6+(10^-$B$19))</f>
        <v>0.128954393282286</v>
      </c>
      <c r="N6" s="21" t="n">
        <f aca="false">(L6+3*M6)/($B$9*(1-H6*$AE$3*$B$5/1000) - L6*($B$11+$B$12) - M6*(2*$B$11+$B$13) - E6*$B$15 - F6*$B$16)</f>
        <v>0.00062215467741635</v>
      </c>
      <c r="O6" s="18" t="n">
        <v>8.83</v>
      </c>
      <c r="P6" s="18" t="n">
        <f aca="false">O6*133.322</f>
        <v>1177.23326</v>
      </c>
      <c r="Q6" s="23" t="n">
        <f aca="false">$B$1*$B$2*$B$9*1000*(J6+0.25*$AD$17*$AD$17*J6*J6/N6)</f>
        <v>1288.12085290057</v>
      </c>
      <c r="R6" s="24" t="n">
        <f aca="false">P6/Q6</f>
        <v>0.913915225694178</v>
      </c>
      <c r="S6" s="24" t="n">
        <f aca="false">R6-1</f>
        <v>-0.0860847743058217</v>
      </c>
      <c r="T6" s="24" t="n">
        <f aca="false">$U$4+$U$5*J6+$U$6*J6*J6+$U$7*J6*J6*J6+$U$8*J6*J6*J6*J6</f>
        <v>-0.0811940927584191</v>
      </c>
      <c r="U6" s="25" t="n">
        <v>531637391691.476</v>
      </c>
      <c r="V6" s="18" t="n">
        <f aca="false">S6-T6</f>
        <v>-0.00489068154740262</v>
      </c>
      <c r="W6" s="18" t="n">
        <f aca="false">V6*V6</f>
        <v>2.39187659981045E-005</v>
      </c>
      <c r="X6" s="26" t="n">
        <f aca="false">EXP(S6+$U$5*J6+$U$6*J6*J6/2+$U$7*J6*J6*J6/3+$U$8*J6*J6*J6*J6/4)</f>
        <v>0.817311631849792</v>
      </c>
      <c r="Y6" s="26" t="n">
        <f aca="false">EXP(2*$AG$9*J6)</f>
        <v>0.933639475096663</v>
      </c>
      <c r="Z6" s="26" t="n">
        <f aca="false">X6</f>
        <v>0.817311631849792</v>
      </c>
      <c r="AA6" s="26" t="n">
        <f aca="false">Y6</f>
        <v>0.933639475096663</v>
      </c>
      <c r="AC6" s="1" t="n">
        <v>8</v>
      </c>
      <c r="AD6" s="1" t="n">
        <v>17</v>
      </c>
      <c r="AE6" s="1" t="n">
        <f aca="false">AD6*1000</f>
        <v>17000</v>
      </c>
    </row>
    <row r="7" customFormat="false" ht="15.75" hidden="false" customHeight="true" outlineLevel="0" collapsed="false">
      <c r="A7" s="1" t="s">
        <v>32</v>
      </c>
      <c r="D7" s="6"/>
      <c r="E7" s="17" t="n">
        <f aca="false">E6</f>
        <v>1E-007</v>
      </c>
      <c r="F7" s="17" t="n">
        <f aca="false">0.00000000000001/E7</f>
        <v>1E-007</v>
      </c>
      <c r="G7" s="18" t="n">
        <v>10.37</v>
      </c>
      <c r="H7" s="19" t="n">
        <f aca="false">G7/$AE$3</f>
        <v>0.00061</v>
      </c>
      <c r="I7" s="20" t="n">
        <f aca="false">1000000*H7</f>
        <v>610</v>
      </c>
      <c r="J7" s="21" t="n">
        <f aca="false">H7/($B$9*(1-H7*$AE$3*$B$5/1000) - L7*($B$11+$B$12) - M7*(2*$B$11+$B$13) - E7*$B$15 - F7*$B$16)</f>
        <v>6.42924297349728E-007</v>
      </c>
      <c r="K7" s="18" t="n">
        <f aca="false">K6</f>
        <v>0.333333333333333</v>
      </c>
      <c r="L7" s="22" t="n">
        <f aca="false">M7*E7/(10^-$B$19)</f>
        <v>0.204378940051048</v>
      </c>
      <c r="M7" s="22" t="n">
        <f aca="false">(10^-$B$19)*K7/(E7+(10^-$B$19))</f>
        <v>0.128954393282286</v>
      </c>
      <c r="N7" s="21" t="n">
        <f aca="false">(L7+3*M7)/($B$9*(1-H7*$AE$3*$B$5/1000) - L7*($B$11+$B$12) - M7*(2*$B$11+$B$13) - E7*$B$15 - F7*$B$16)</f>
        <v>0.0006231539745884</v>
      </c>
      <c r="O7" s="18" t="n">
        <v>11</v>
      </c>
      <c r="P7" s="18" t="n">
        <f aca="false">O7*133.322</f>
        <v>1466.542</v>
      </c>
      <c r="Q7" s="23" t="n">
        <f aca="false">$B$1*$B$2*$B$9*1000*(J7+0.25*$AD$17*$AD$17*J7*J7/N7)</f>
        <v>1615.2309747884</v>
      </c>
      <c r="R7" s="24" t="n">
        <f aca="false">P7/Q7</f>
        <v>0.90794568881526</v>
      </c>
      <c r="S7" s="24" t="n">
        <f aca="false">R7-1</f>
        <v>-0.0920543111847404</v>
      </c>
      <c r="T7" s="24" t="n">
        <f aca="false">$U$4+$U$5*J7+$U$6*J7*J7+$U$7*J7*J7*J7+$U$8*J7*J7*J7*J7</f>
        <v>-0.0908924893798565</v>
      </c>
      <c r="U7" s="25" t="n">
        <v>-4.87833485387266E+017</v>
      </c>
      <c r="V7" s="18" t="n">
        <f aca="false">S7-T7</f>
        <v>-0.00116182180488393</v>
      </c>
      <c r="W7" s="18" t="n">
        <f aca="false">V7*V7</f>
        <v>1.34982990630375E-006</v>
      </c>
      <c r="X7" s="26" t="n">
        <f aca="false">EXP(S7+$U$5*J7+$U$6*J7*J7/2+$U$7*J7*J7*J7/3+$U$8*J7*J7*J7*J7/4)</f>
        <v>0.797031360178559</v>
      </c>
      <c r="Y7" s="26" t="n">
        <f aca="false">EXP(2*$AG$9*J7)</f>
        <v>0.91775558346528</v>
      </c>
      <c r="Z7" s="26" t="n">
        <f aca="false">X7</f>
        <v>0.797031360178559</v>
      </c>
      <c r="AA7" s="26" t="n">
        <f aca="false">Y7</f>
        <v>0.91775558346528</v>
      </c>
    </row>
    <row r="8" customFormat="false" ht="15.75" hidden="false" customHeight="true" outlineLevel="0" collapsed="false">
      <c r="D8" s="6"/>
      <c r="E8" s="17" t="n">
        <f aca="false">E7</f>
        <v>1E-007</v>
      </c>
      <c r="F8" s="17" t="n">
        <f aca="false">0.00000000000001/E8</f>
        <v>1E-007</v>
      </c>
      <c r="G8" s="18" t="n">
        <v>12.37</v>
      </c>
      <c r="H8" s="19" t="n">
        <f aca="false">G8/$AE$3</f>
        <v>0.000727647058823529</v>
      </c>
      <c r="I8" s="20" t="n">
        <f aca="false">1000000*H8</f>
        <v>727.647058823529</v>
      </c>
      <c r="J8" s="21" t="n">
        <f aca="false">H8/($B$9*(1-H8*$AE$3*$B$5/1000) - L8*($B$11+$B$12) - M8*(2*$B$11+$B$13) - E8*$B$15 - F8*$B$16)</f>
        <v>7.68119077992327E-007</v>
      </c>
      <c r="K8" s="18" t="n">
        <f aca="false">K7</f>
        <v>0.333333333333333</v>
      </c>
      <c r="L8" s="22" t="n">
        <f aca="false">M8*E8/(10^-$B$19)</f>
        <v>0.204378940051048</v>
      </c>
      <c r="M8" s="22" t="n">
        <f aca="false">(10^-$B$19)*K8/(E8+(10^-$B$19))</f>
        <v>0.128954393282286</v>
      </c>
      <c r="N8" s="21" t="n">
        <f aca="false">(L8+3*M8)/($B$9*(1-H8*$AE$3*$B$5/1000) - L8*($B$11+$B$12) - M8*(2*$B$11+$B$13) - E8*$B$15 - F8*$B$16)</f>
        <v>0.000624127242045717</v>
      </c>
      <c r="O8" s="18" t="n">
        <v>13.1</v>
      </c>
      <c r="P8" s="18" t="n">
        <f aca="false">O8*133.322</f>
        <v>1746.5182</v>
      </c>
      <c r="Q8" s="23" t="n">
        <f aca="false">$B$1*$B$2*$B$9*1000*(J8+0.25*$AD$17*$AD$17*J8*J8/N8)</f>
        <v>1935.80426494796</v>
      </c>
      <c r="R8" s="24" t="n">
        <f aca="false">P8/Q8</f>
        <v>0.902218386241105</v>
      </c>
      <c r="S8" s="24" t="n">
        <f aca="false">R8-1</f>
        <v>-0.0977816137588948</v>
      </c>
      <c r="T8" s="24" t="n">
        <f aca="false">$U$4+$U$5*J8+$U$6*J8*J8+$U$7*J8*J8*J8+$U$8*J8*J8*J8*J8</f>
        <v>-0.10066659579845</v>
      </c>
      <c r="U8" s="25" t="n">
        <v>1.59717350286566E+023</v>
      </c>
      <c r="V8" s="18" t="n">
        <f aca="false">S8-T8</f>
        <v>0.00288498203955559</v>
      </c>
      <c r="W8" s="18" t="n">
        <f aca="false">V8*V8</f>
        <v>8.32312136855833E-006</v>
      </c>
      <c r="X8" s="26" t="n">
        <f aca="false">EXP(S8+$U$5*J8+$U$6*J8*J8/2+$U$7*J8*J8*J8/3+$U$8*J8*J8*J8*J8/4)</f>
        <v>0.779117860130495</v>
      </c>
      <c r="Y8" s="26" t="n">
        <f aca="false">EXP(2*$AG$9*J8)</f>
        <v>0.902545238209205</v>
      </c>
      <c r="Z8" s="26" t="n">
        <f aca="false">X8</f>
        <v>0.779117860130495</v>
      </c>
      <c r="AA8" s="26" t="n">
        <f aca="false">Y8</f>
        <v>0.902545238209205</v>
      </c>
      <c r="AC8" s="1" t="s">
        <v>2</v>
      </c>
      <c r="AD8" s="1" t="s">
        <v>33</v>
      </c>
      <c r="AE8" s="1" t="s">
        <v>34</v>
      </c>
      <c r="AF8" s="1" t="s">
        <v>35</v>
      </c>
      <c r="AG8" s="1" t="s">
        <v>36</v>
      </c>
    </row>
    <row r="9" customFormat="false" ht="15.75" hidden="false" customHeight="true" outlineLevel="0" collapsed="false">
      <c r="A9" s="1" t="s">
        <v>37</v>
      </c>
      <c r="B9" s="1" t="n">
        <v>997</v>
      </c>
      <c r="C9" s="1" t="s">
        <v>38</v>
      </c>
      <c r="D9" s="6"/>
      <c r="E9" s="17" t="n">
        <f aca="false">E8</f>
        <v>1E-007</v>
      </c>
      <c r="F9" s="17" t="n">
        <f aca="false">0.00000000000001/E9</f>
        <v>1E-007</v>
      </c>
      <c r="G9" s="18" t="n">
        <v>14.4</v>
      </c>
      <c r="H9" s="19" t="n">
        <f aca="false">G9/$AE$3</f>
        <v>0.000847058823529412</v>
      </c>
      <c r="I9" s="20" t="n">
        <f aca="false">1000000*H9</f>
        <v>847.058823529412</v>
      </c>
      <c r="J9" s="21" t="n">
        <f aca="false">H9/($B$9*(1-H9*$AE$3*$B$5/1000) - L9*($B$11+$B$12) - M9*(2*$B$11+$B$13) - E9*$B$15 - F9*$B$16)</f>
        <v>8.9559232705462E-007</v>
      </c>
      <c r="K9" s="18" t="n">
        <f aca="false">K8</f>
        <v>0.333333333333333</v>
      </c>
      <c r="L9" s="22" t="n">
        <f aca="false">M9*E9/(10^-$B$19)</f>
        <v>0.204378940051048</v>
      </c>
      <c r="M9" s="22" t="n">
        <f aca="false">(10^-$B$19)*K9/(E9+(10^-$B$19))</f>
        <v>0.128954393282286</v>
      </c>
      <c r="N9" s="21" t="n">
        <f aca="false">(L9+3*M9)/($B$9*(1-H9*$AE$3*$B$5/1000) - L9*($B$11+$B$12) - M9*(2*$B$11+$B$13) - E9*$B$15 - F9*$B$16)</f>
        <v>0.000625118222375361</v>
      </c>
      <c r="O9" s="18" t="n">
        <v>15.13</v>
      </c>
      <c r="P9" s="18" t="n">
        <f aca="false">O9*133.322</f>
        <v>2017.16186</v>
      </c>
      <c r="Q9" s="23" t="n">
        <f aca="false">$B$1*$B$2*$B$9*1000*(J9+0.25*$AD$17*$AD$17*J9*J9/N9)</f>
        <v>2264.2135842305</v>
      </c>
      <c r="R9" s="24" t="n">
        <f aca="false">P9/Q9</f>
        <v>0.890888507183629</v>
      </c>
      <c r="S9" s="24" t="n">
        <f aca="false">R9-1</f>
        <v>-0.109111492816371</v>
      </c>
      <c r="T9" s="24" t="n">
        <f aca="false">$U$4+$U$5*J9+$U$6*J9*J9+$U$7*J9*J9*J9+$U$8*J9*J9*J9*J9</f>
        <v>-0.111409070595499</v>
      </c>
      <c r="U9" s="25"/>
      <c r="V9" s="18" t="n">
        <f aca="false">S9-T9</f>
        <v>0.00229757777912737</v>
      </c>
      <c r="W9" s="18" t="n">
        <f aca="false">V9*V9</f>
        <v>5.27886365113985E-006</v>
      </c>
      <c r="X9" s="26" t="n">
        <f aca="false">EXP(S9+$U$5*J9+$U$6*J9*J9/2+$U$7*J9*J9*J9/3+$U$8*J9*J9*J9*J9/4)</f>
        <v>0.757922810582206</v>
      </c>
      <c r="Y9" s="26" t="n">
        <f aca="false">EXP(2*$AG$9*J9)</f>
        <v>0.887317058710921</v>
      </c>
      <c r="Z9" s="26" t="n">
        <f aca="false">X9</f>
        <v>0.757922810582206</v>
      </c>
      <c r="AA9" s="26" t="n">
        <f aca="false">Y9</f>
        <v>0.887317058710921</v>
      </c>
      <c r="AC9" s="1" t="n">
        <v>7</v>
      </c>
      <c r="AD9" s="27" t="n">
        <v>-0.000188</v>
      </c>
      <c r="AE9" s="27" t="n">
        <f aca="false">AD9*AE3</f>
        <v>-3.196</v>
      </c>
      <c r="AF9" s="27" t="n">
        <f aca="false">AE9*AE3</f>
        <v>-54332</v>
      </c>
      <c r="AG9" s="27" t="n">
        <f aca="false">(AF9-$B$5*AE3)*$B$9/1000</f>
        <v>-66745.162</v>
      </c>
    </row>
    <row r="10" customFormat="false" ht="15.75" hidden="false" customHeight="true" outlineLevel="0" collapsed="false">
      <c r="D10" s="6"/>
      <c r="E10" s="17" t="n">
        <f aca="false">E9</f>
        <v>1E-007</v>
      </c>
      <c r="F10" s="17" t="n">
        <f aca="false">0.00000000000001/E10</f>
        <v>1E-007</v>
      </c>
      <c r="G10" s="18" t="n">
        <v>16.4</v>
      </c>
      <c r="H10" s="19" t="n">
        <f aca="false">G10/$AE$3</f>
        <v>0.000964705882352941</v>
      </c>
      <c r="I10" s="20" t="n">
        <f aca="false">1000000*H10</f>
        <v>964.705882352941</v>
      </c>
      <c r="J10" s="21" t="n">
        <f aca="false">H10/($B$9*(1-H10*$AE$3*$B$5/1000) - L10*($B$11+$B$12) - M10*(2*$B$11+$B$13) - E10*$B$15 - F10*$B$16)</f>
        <v>1.02157822644551E-006</v>
      </c>
      <c r="K10" s="18" t="n">
        <f aca="false">K9</f>
        <v>0.333333333333333</v>
      </c>
      <c r="L10" s="22" t="n">
        <f aca="false">M10*E10/(10^-$B$19)</f>
        <v>0.204378940051048</v>
      </c>
      <c r="M10" s="22" t="n">
        <f aca="false">(10^-$B$19)*K10/(E10+(10^-$B$19))</f>
        <v>0.128954393282286</v>
      </c>
      <c r="N10" s="21" t="n">
        <f aca="false">(L10+3*M10)/($B$9*(1-H10*$AE$3*$B$5/1000) - L10*($B$11+$B$12) - M10*(2*$B$11+$B$13) - E10*$B$15 - F10*$B$16)</f>
        <v>0.000626097640010255</v>
      </c>
      <c r="O10" s="18" t="n">
        <v>17.03</v>
      </c>
      <c r="P10" s="18" t="n">
        <f aca="false">O10*133.322</f>
        <v>2270.47366</v>
      </c>
      <c r="Q10" s="23" t="n">
        <f aca="false">$B$1*$B$2*$B$9*1000*(J10+0.25*$AD$17*$AD$17*J10*J10/N10)</f>
        <v>2590.76634292777</v>
      </c>
      <c r="R10" s="24" t="n">
        <f aca="false">P10/Q10</f>
        <v>0.876371451326709</v>
      </c>
      <c r="S10" s="24" t="n">
        <f aca="false">R10-1</f>
        <v>-0.123628548673291</v>
      </c>
      <c r="T10" s="24" t="n">
        <f aca="false">$U$4+$U$5*J10+$U$6*J10*J10+$U$7*J10*J10*J10+$U$8*J10*J10*J10*J10</f>
        <v>-0.122281038345036</v>
      </c>
      <c r="U10" s="25"/>
      <c r="V10" s="18" t="n">
        <f aca="false">S10-T10</f>
        <v>-0.00134751032825489</v>
      </c>
      <c r="W10" s="18" t="n">
        <f aca="false">V10*V10</f>
        <v>1.81578408475361E-006</v>
      </c>
      <c r="X10" s="26" t="n">
        <f aca="false">EXP(S10+$U$5*J10+$U$6*J10*J10/2+$U$7*J10*J10*J10/3+$U$8*J10*J10*J10*J10/4)</f>
        <v>0.735608258232178</v>
      </c>
      <c r="Y10" s="26" t="n">
        <f aca="false">EXP(2*$AG$9*J10)</f>
        <v>0.872519035074221</v>
      </c>
      <c r="Z10" s="26" t="n">
        <f aca="false">X10</f>
        <v>0.735608258232178</v>
      </c>
      <c r="AA10" s="26" t="n">
        <f aca="false">Y10</f>
        <v>0.872519035074221</v>
      </c>
      <c r="AC10" s="1" t="n">
        <v>7</v>
      </c>
      <c r="AD10" s="27" t="n">
        <v>-0.000238</v>
      </c>
      <c r="AE10" s="27" t="n">
        <f aca="false">AD10*AE4</f>
        <v>-4.046</v>
      </c>
      <c r="AF10" s="27" t="n">
        <f aca="false">AE10*AE4</f>
        <v>-68782</v>
      </c>
      <c r="AG10" s="27" t="n">
        <f aca="false">(AF10-$B$5*AE4)*$B$9/1000</f>
        <v>-81151.812</v>
      </c>
    </row>
    <row r="11" customFormat="false" ht="15.75" hidden="false" customHeight="true" outlineLevel="0" collapsed="false">
      <c r="A11" s="1" t="s">
        <v>39</v>
      </c>
      <c r="B11" s="1" t="n">
        <v>18.04</v>
      </c>
      <c r="D11" s="6"/>
      <c r="E11" s="17" t="n">
        <f aca="false">E10</f>
        <v>1E-007</v>
      </c>
      <c r="F11" s="17" t="n">
        <f aca="false">0.00000000000001/E11</f>
        <v>1E-007</v>
      </c>
      <c r="G11" s="18" t="n">
        <v>18.41</v>
      </c>
      <c r="H11" s="19" t="n">
        <f aca="false">G11/$AE$3</f>
        <v>0.00108294117647059</v>
      </c>
      <c r="I11" s="20" t="n">
        <f aca="false">1000000*H11</f>
        <v>1082.94117647059</v>
      </c>
      <c r="J11" s="21" t="n">
        <f aca="false">H11/($B$9*(1-H11*$AE$3*$B$5/1000) - L11*($B$11+$B$12) - M11*(2*$B$11+$B$13) - E11*$B$15 - F11*$B$16)</f>
        <v>1.14859243074154E-006</v>
      </c>
      <c r="K11" s="18" t="n">
        <f aca="false">K10</f>
        <v>0.333333333333333</v>
      </c>
      <c r="L11" s="22" t="n">
        <f aca="false">M11*E11/(10^-$B$19)</f>
        <v>0.204378940051048</v>
      </c>
      <c r="M11" s="22" t="n">
        <f aca="false">(10^-$B$19)*K11/(E11+(10^-$B$19))</f>
        <v>0.128954393282286</v>
      </c>
      <c r="N11" s="21" t="n">
        <f aca="false">(L11+3*M11)/($B$9*(1-H11*$AE$3*$B$5/1000) - L11*($B$11+$B$12) - M11*(2*$B$11+$B$13) - E11*$B$15 - F11*$B$16)</f>
        <v>0.000627085051714032</v>
      </c>
      <c r="O11" s="18" t="n">
        <v>18.98</v>
      </c>
      <c r="P11" s="18" t="n">
        <f aca="false">O11*133.322</f>
        <v>2530.45156</v>
      </c>
      <c r="Q11" s="23" t="n">
        <f aca="false">$B$1*$B$2*$B$9*1000*(J11+0.25*$AD$17*$AD$17*J11*J11/N11)</f>
        <v>2921.9628839597</v>
      </c>
      <c r="R11" s="24" t="n">
        <f aca="false">P11/Q11</f>
        <v>0.866010849724023</v>
      </c>
      <c r="S11" s="24" t="n">
        <f aca="false">R11-1</f>
        <v>-0.133989150275977</v>
      </c>
      <c r="T11" s="24" t="n">
        <f aca="false">$U$4+$U$5*J11+$U$6*J11*J11+$U$7*J11*J11*J11+$U$8*J11*J11*J11*J11</f>
        <v>-0.131975963008874</v>
      </c>
      <c r="U11" s="25"/>
      <c r="V11" s="18" t="n">
        <f aca="false">S11-T11</f>
        <v>-0.00201318726710314</v>
      </c>
      <c r="W11" s="18" t="n">
        <f aca="false">V11*V11</f>
        <v>4.05292297242623E-006</v>
      </c>
      <c r="X11" s="26" t="n">
        <f aca="false">EXP(S11+$U$5*J11+$U$6*J11*J11/2+$U$7*J11*J11*J11/3+$U$8*J11*J11*J11*J11/4)</f>
        <v>0.717252084366669</v>
      </c>
      <c r="Y11" s="26" t="n">
        <f aca="false">EXP(2*$AG$9*J11)</f>
        <v>0.857850037941906</v>
      </c>
      <c r="Z11" s="26" t="n">
        <f aca="false">X11</f>
        <v>0.717252084366669</v>
      </c>
      <c r="AA11" s="26" t="n">
        <f aca="false">Y11</f>
        <v>0.857850037941906</v>
      </c>
      <c r="AC11" s="1" t="n">
        <v>8</v>
      </c>
      <c r="AD11" s="27" t="n">
        <v>-0.000381</v>
      </c>
      <c r="AE11" s="27" t="n">
        <f aca="false">AD11*AE5</f>
        <v>-6.477</v>
      </c>
      <c r="AF11" s="27" t="n">
        <f aca="false">AE11*AE5</f>
        <v>-110109</v>
      </c>
      <c r="AG11" s="27" t="n">
        <f aca="false">(AF11-$B$5*AE5)*$B$9/1000</f>
        <v>-122354.831</v>
      </c>
    </row>
    <row r="12" customFormat="false" ht="15.75" hidden="false" customHeight="true" outlineLevel="0" collapsed="false">
      <c r="A12" s="1" t="s">
        <v>40</v>
      </c>
      <c r="B12" s="1" t="n">
        <v>96.9872</v>
      </c>
      <c r="D12" s="6"/>
      <c r="E12" s="28" t="n">
        <f aca="false">E11</f>
        <v>1E-007</v>
      </c>
      <c r="F12" s="28" t="n">
        <f aca="false">0.00000000000001/E12</f>
        <v>1E-007</v>
      </c>
      <c r="G12" s="29" t="n">
        <v>20.34</v>
      </c>
      <c r="H12" s="30" t="n">
        <f aca="false">G12/$AE$3</f>
        <v>0.00119647058823529</v>
      </c>
      <c r="I12" s="31" t="n">
        <f aca="false">1000000*H12</f>
        <v>1196.47058823529</v>
      </c>
      <c r="J12" s="32" t="n">
        <f aca="false">H12/($B$9*(1-H12*$AE$3*$B$5/1000) - L12*($B$11+$B$12) - M12*(2*$B$11+$B$13) - E12*$B$15 - F12*$B$16)</f>
        <v>1.27092893992039E-006</v>
      </c>
      <c r="K12" s="29" t="n">
        <f aca="false">K11</f>
        <v>0.333333333333333</v>
      </c>
      <c r="L12" s="33" t="n">
        <f aca="false">M12*E12/(10^-$B$19)</f>
        <v>0.204378940051048</v>
      </c>
      <c r="M12" s="33" t="n">
        <f aca="false">(10^-$B$19)*K12/(E12+(10^-$B$19))</f>
        <v>0.128954393282286</v>
      </c>
      <c r="N12" s="32" t="n">
        <f aca="false">(L12+3*M12)/($B$9*(1-H12*$AE$3*$B$5/1000) - L12*($B$11+$B$12) - M12*(2*$B$11+$B$13) - E12*$B$15 - F12*$B$16)</f>
        <v>0.000628036098895188</v>
      </c>
      <c r="O12" s="29" t="n">
        <v>21</v>
      </c>
      <c r="P12" s="29" t="n">
        <f aca="false">O12*133.322</f>
        <v>2799.762</v>
      </c>
      <c r="Q12" s="34" t="n">
        <f aca="false">$B$1*$B$2*$B$9*1000*(J12+0.25*$AD$17*$AD$17*J12*J12/N12)</f>
        <v>3242.83144031909</v>
      </c>
      <c r="R12" s="35" t="n">
        <f aca="false">P12/Q12</f>
        <v>0.863369574252218</v>
      </c>
      <c r="S12" s="35" t="n">
        <f aca="false">R12-1</f>
        <v>-0.136630425747782</v>
      </c>
      <c r="T12" s="35" t="n">
        <f aca="false">$U$4+$U$5*J12+$U$6*J12*J12+$U$7*J12*J12*J12+$U$8*J12*J12*J12*J12</f>
        <v>-0.137767268344455</v>
      </c>
      <c r="U12" s="36" t="n">
        <f aca="false">SUM(W4:W12)</f>
        <v>5.47511703725321E-005</v>
      </c>
      <c r="V12" s="29" t="n">
        <f aca="false">S12-T12</f>
        <v>0.00113684259667285</v>
      </c>
      <c r="W12" s="29" t="n">
        <f aca="false">V12*V12</f>
        <v>1.29241108960987E-006</v>
      </c>
      <c r="X12" s="37" t="n">
        <f aca="false">EXP(S12+$U$5*J12+$U$6*J12*J12/2+$U$7*J12*J12*J12/3+$U$8*J12*J12*J12*J12/4)</f>
        <v>0.705635714123807</v>
      </c>
      <c r="Y12" s="37" t="n">
        <f aca="false">EXP(2*$AG$9*J12)</f>
        <v>0.843954482969869</v>
      </c>
      <c r="Z12" s="37" t="n">
        <f aca="false">X12</f>
        <v>0.705635714123807</v>
      </c>
      <c r="AA12" s="37" t="n">
        <f aca="false">Y12</f>
        <v>0.843954482969869</v>
      </c>
      <c r="AC12" s="1" t="n">
        <v>8</v>
      </c>
      <c r="AD12" s="27" t="n">
        <v>-0.000434</v>
      </c>
      <c r="AE12" s="27" t="n">
        <f aca="false">AD12*AE6</f>
        <v>-7.378</v>
      </c>
      <c r="AF12" s="27" t="n">
        <f aca="false">AE12*AE6</f>
        <v>-125426</v>
      </c>
      <c r="AG12" s="27" t="n">
        <f aca="false">(AF12-$B$5*AE6)*$B$9/1000</f>
        <v>-137625.88</v>
      </c>
    </row>
    <row r="13" customFormat="false" ht="15.75" hidden="false" customHeight="true" outlineLevel="0" collapsed="false">
      <c r="A13" s="1" t="s">
        <v>41</v>
      </c>
      <c r="B13" s="1" t="n">
        <v>95.9793</v>
      </c>
      <c r="D13" s="6" t="n">
        <v>7</v>
      </c>
      <c r="E13" s="17" t="n">
        <f aca="false">10^-D13</f>
        <v>1E-007</v>
      </c>
      <c r="F13" s="17" t="n">
        <f aca="false">0.00000000000001/E13</f>
        <v>1E-007</v>
      </c>
      <c r="G13" s="18" t="n">
        <v>4.09</v>
      </c>
      <c r="H13" s="19" t="n">
        <f aca="false">G13/$AE$3</f>
        <v>0.000240588235294118</v>
      </c>
      <c r="I13" s="20" t="n">
        <f aca="false">1000000*H13</f>
        <v>240.588235294118</v>
      </c>
      <c r="J13" s="21" t="n">
        <f aca="false">H13/($B$9*(1-H13*$AE$4*$B$5/1000) - L13*($B$11+$B$12) - M13*(2*$B$11+$B$13) - E13*$B$15 - F13*$B$16)</f>
        <v>2.823511806381E-007</v>
      </c>
      <c r="K13" s="23" t="n">
        <f aca="false">3.5/3</f>
        <v>1.16666666666667</v>
      </c>
      <c r="L13" s="22" t="n">
        <f aca="false">M13*E13/(10^-$B$19)</f>
        <v>0.715326290178667</v>
      </c>
      <c r="M13" s="22" t="n">
        <f aca="false">(10^-$B$19)*K13/(E13+(10^-$B$19))</f>
        <v>0.451340376488</v>
      </c>
      <c r="N13" s="21" t="n">
        <f aca="false">(L13+3*M13)/($B$9*(1-H13*$AE$3*$B$5/1000) - L13*($B$11+$B$12) - M13*(2*$B$11+$B$13) - E13*$B$15 - F13*$B$16)</f>
        <v>0.00242855884608086</v>
      </c>
      <c r="O13" s="18" t="n">
        <v>4.4</v>
      </c>
      <c r="P13" s="18" t="n">
        <f aca="false">O13*133.322</f>
        <v>586.6168</v>
      </c>
      <c r="Q13" s="23" t="n">
        <f aca="false">$B$1*$B$2*$B$9*1000*(J13+0.25*$AD$18*$AD$18*J13*J13/N13)</f>
        <v>699.134754378838</v>
      </c>
      <c r="R13" s="24" t="n">
        <f aca="false">P13/Q13</f>
        <v>0.839061134246134</v>
      </c>
      <c r="S13" s="24" t="n">
        <f aca="false">R13-1</f>
        <v>-0.160938865753867</v>
      </c>
      <c r="T13" s="24" t="n">
        <f aca="false">$U$13+$U$14*J13+$U$15*J13*J13+$U$16*J13*J13*J13+$U$17*J13*J13*J13*J13</f>
        <v>-0.154665810348738</v>
      </c>
      <c r="U13" s="38" t="n">
        <v>0</v>
      </c>
      <c r="V13" s="18" t="n">
        <f aca="false">S13-T13</f>
        <v>-0.00627305540512868</v>
      </c>
      <c r="W13" s="18" t="n">
        <f aca="false">V13*V13</f>
        <v>3.93512241158142E-005</v>
      </c>
      <c r="X13" s="26" t="n">
        <f aca="false">EXP(S13+$U$14*J13+$U$15*J13*J13/2+$U$16*J13*J13*J13/3+$U$17*J13*J13*J13*J13/4)</f>
        <v>0.697293557874762</v>
      </c>
      <c r="Y13" s="26" t="n">
        <f aca="false">EXP(2*$AG$10*J13)</f>
        <v>0.955207561856936</v>
      </c>
      <c r="Z13" s="26" t="n">
        <f aca="false">X13</f>
        <v>0.697293557874762</v>
      </c>
      <c r="AA13" s="26" t="n">
        <f aca="false">Y13</f>
        <v>0.955207561856936</v>
      </c>
    </row>
    <row r="14" customFormat="false" ht="15.75" hidden="false" customHeight="true" outlineLevel="0" collapsed="false">
      <c r="A14" s="1" t="s">
        <v>42</v>
      </c>
      <c r="B14" s="1" t="n">
        <v>94.9714</v>
      </c>
      <c r="D14" s="6"/>
      <c r="E14" s="17" t="n">
        <f aca="false">E13</f>
        <v>1E-007</v>
      </c>
      <c r="F14" s="17" t="n">
        <f aca="false">0.00000000000001/E14</f>
        <v>1E-007</v>
      </c>
      <c r="G14" s="18" t="n">
        <v>6.22</v>
      </c>
      <c r="H14" s="19" t="n">
        <f aca="false">G14/$AE$3</f>
        <v>0.000365882352941176</v>
      </c>
      <c r="I14" s="20" t="n">
        <f aca="false">1000000*H14</f>
        <v>365.882352941176</v>
      </c>
      <c r="J14" s="21" t="n">
        <f aca="false">H14/($B$9*(1-H14*$AE$4*$B$5/1000) - L14*($B$11+$B$12) - M14*(2*$B$11+$B$13) - E14*$B$15 - F14*$B$16)</f>
        <v>4.30190231128712E-007</v>
      </c>
      <c r="K14" s="23" t="n">
        <f aca="false">3.5/3</f>
        <v>1.16666666666667</v>
      </c>
      <c r="L14" s="22" t="n">
        <f aca="false">M14*E14/(10^-$B$19)</f>
        <v>0.715326290178667</v>
      </c>
      <c r="M14" s="22" t="n">
        <f aca="false">(10^-$B$19)*K14/(E14+(10^-$B$19))</f>
        <v>0.451340376488</v>
      </c>
      <c r="N14" s="21" t="n">
        <f aca="false">(L14+3*M14)/($B$9*(1-H14*$AE$3*$B$5/1000) - L14*($B$11+$B$12) - M14*(2*$B$11+$B$13) - E14*$B$15 - F14*$B$16)</f>
        <v>0.00243305816086955</v>
      </c>
      <c r="O14" s="18" t="n">
        <v>6.6</v>
      </c>
      <c r="P14" s="18" t="n">
        <f aca="false">O14*133.322</f>
        <v>879.9252</v>
      </c>
      <c r="Q14" s="23" t="n">
        <f aca="false">$B$1*$B$2*$B$9*1000*(J14+0.25*$AD$18*$AD$18*J14*J14/N14)</f>
        <v>1066.23165442535</v>
      </c>
      <c r="R14" s="24" t="n">
        <f aca="false">P14/Q14</f>
        <v>0.825266438440374</v>
      </c>
      <c r="S14" s="24" t="n">
        <f aca="false">R14-1</f>
        <v>-0.174733561559626</v>
      </c>
      <c r="T14" s="24" t="n">
        <f aca="false">$U$13+$U$14*J14+$U$15*J14*J14+$U$16*J14*J14*J14+$U$17*J14*J14*J14*J14</f>
        <v>-0.18451670123623</v>
      </c>
      <c r="U14" s="25" t="n">
        <v>-895173.880344696</v>
      </c>
      <c r="V14" s="18" t="n">
        <f aca="false">S14-T14</f>
        <v>0.00978313967660469</v>
      </c>
      <c r="W14" s="18" t="n">
        <f aca="false">V14*V14</f>
        <v>9.57098219319568E-005</v>
      </c>
      <c r="X14" s="26" t="n">
        <f aca="false">EXP(S14+$U$14*J14+$U$15*J14*J14/2+$U$16*J14*J14*J14/3+$U$17*J14*J14*J14*J14/4)</f>
        <v>0.640136312292715</v>
      </c>
      <c r="Y14" s="26" t="n">
        <f aca="false">EXP(2*$AG$10*J14)</f>
        <v>0.932560329052896</v>
      </c>
      <c r="Z14" s="26" t="n">
        <f aca="false">X14</f>
        <v>0.640136312292715</v>
      </c>
      <c r="AA14" s="26" t="n">
        <f aca="false">Y14</f>
        <v>0.932560329052896</v>
      </c>
      <c r="AC14" s="1" t="s">
        <v>2</v>
      </c>
      <c r="AD14" s="1" t="s">
        <v>43</v>
      </c>
    </row>
    <row r="15" customFormat="false" ht="15.75" hidden="false" customHeight="true" outlineLevel="0" collapsed="false">
      <c r="A15" s="1" t="s">
        <v>44</v>
      </c>
      <c r="B15" s="1" t="n">
        <v>19.0232</v>
      </c>
      <c r="D15" s="6"/>
      <c r="E15" s="17" t="n">
        <f aca="false">E14</f>
        <v>1E-007</v>
      </c>
      <c r="F15" s="17" t="n">
        <f aca="false">0.00000000000001/E15</f>
        <v>1E-007</v>
      </c>
      <c r="G15" s="18" t="n">
        <v>8.26</v>
      </c>
      <c r="H15" s="19" t="n">
        <f aca="false">G15/$AE$3</f>
        <v>0.000485882352941177</v>
      </c>
      <c r="I15" s="20" t="n">
        <f aca="false">1000000*H15</f>
        <v>485.882352941176</v>
      </c>
      <c r="J15" s="21" t="n">
        <f aca="false">H15/($B$9*(1-H15*$AE$4*$B$5/1000) - L15*($B$11+$B$12) - M15*(2*$B$11+$B$13) - E15*$B$15 - F15*$B$16)</f>
        <v>5.72297037293145E-007</v>
      </c>
      <c r="K15" s="23" t="n">
        <f aca="false">3.5/3</f>
        <v>1.16666666666667</v>
      </c>
      <c r="L15" s="22" t="n">
        <f aca="false">M15*E15/(10^-$B$19)</f>
        <v>0.715326290178667</v>
      </c>
      <c r="M15" s="22" t="n">
        <f aca="false">(10^-$B$19)*K15/(E15+(10^-$B$19))</f>
        <v>0.451340376488</v>
      </c>
      <c r="N15" s="21" t="n">
        <f aca="false">(L15+3*M15)/($B$9*(1-H15*$AE$3*$B$5/1000) - L15*($B$11+$B$12) - M15*(2*$B$11+$B$13) - E15*$B$15 - F15*$B$16)</f>
        <v>0.00243738302126623</v>
      </c>
      <c r="O15" s="18" t="n">
        <v>8.5</v>
      </c>
      <c r="P15" s="18" t="n">
        <f aca="false">O15*133.322</f>
        <v>1133.237</v>
      </c>
      <c r="Q15" s="23" t="n">
        <f aca="false">$B$1*$B$2*$B$9*1000*(J15+0.25*$AD$18*$AD$18*J15*J15/N15)</f>
        <v>1419.75744167946</v>
      </c>
      <c r="R15" s="24" t="n">
        <f aca="false">P15/Q15</f>
        <v>0.798190568847781</v>
      </c>
      <c r="S15" s="24" t="n">
        <f aca="false">R15-1</f>
        <v>-0.201809431152219</v>
      </c>
      <c r="T15" s="24" t="n">
        <f aca="false">$U$13+$U$14*J15+$U$15*J15*J15+$U$16*J15*J15*J15+$U$17*J15*J15*J15*J15</f>
        <v>-0.198711065356991</v>
      </c>
      <c r="U15" s="25" t="n">
        <v>1552930532746.62</v>
      </c>
      <c r="V15" s="18" t="n">
        <f aca="false">S15-T15</f>
        <v>-0.00309836579522807</v>
      </c>
      <c r="W15" s="18" t="n">
        <f aca="false">V15*V15</f>
        <v>9.59987060103927E-006</v>
      </c>
      <c r="X15" s="26" t="n">
        <f aca="false">EXP(S15+$U$14*J15+$U$15*J15*J15/2+$U$16*J15*J15*J15/3+$U$17*J15*J15*J15*J15/4)</f>
        <v>0.589809273490536</v>
      </c>
      <c r="Y15" s="26" t="n">
        <f aca="false">EXP(2*$AG$10*J15)</f>
        <v>0.911297488754933</v>
      </c>
      <c r="Z15" s="26" t="n">
        <f aca="false">X15</f>
        <v>0.589809273490536</v>
      </c>
      <c r="AA15" s="26" t="n">
        <f aca="false">Y15</f>
        <v>0.911297488754933</v>
      </c>
      <c r="AC15" s="1" t="n">
        <v>4</v>
      </c>
      <c r="AD15" s="39" t="n">
        <v>14</v>
      </c>
    </row>
    <row r="16" customFormat="false" ht="15.75" hidden="false" customHeight="true" outlineLevel="0" collapsed="false">
      <c r="A16" s="1" t="s">
        <v>45</v>
      </c>
      <c r="B16" s="1" t="n">
        <v>17.007</v>
      </c>
      <c r="D16" s="6"/>
      <c r="E16" s="17" t="n">
        <f aca="false">E15</f>
        <v>1E-007</v>
      </c>
      <c r="F16" s="17" t="n">
        <f aca="false">0.00000000000001/E16</f>
        <v>1E-007</v>
      </c>
      <c r="G16" s="18" t="n">
        <v>10.27</v>
      </c>
      <c r="H16" s="19" t="n">
        <f aca="false">G16/$AE$3</f>
        <v>0.000604117647058824</v>
      </c>
      <c r="I16" s="20" t="n">
        <f aca="false">1000000*H16</f>
        <v>604.117647058824</v>
      </c>
      <c r="J16" s="21" t="n">
        <f aca="false">H16/($B$9*(1-H16*$AE$4*$B$5/1000) - L16*($B$11+$B$12) - M16*(2*$B$11+$B$13) - E16*$B$15 - F16*$B$16)</f>
        <v>7.12809016192643E-007</v>
      </c>
      <c r="K16" s="23" t="n">
        <f aca="false">3.5/3</f>
        <v>1.16666666666667</v>
      </c>
      <c r="L16" s="22" t="n">
        <f aca="false">M16*E16/(10^-$B$19)</f>
        <v>0.715326290178667</v>
      </c>
      <c r="M16" s="22" t="n">
        <f aca="false">(10^-$B$19)*K16/(E16+(10^-$B$19))</f>
        <v>0.451340376488</v>
      </c>
      <c r="N16" s="21" t="n">
        <f aca="false">(L16+3*M16)/($B$9*(1-H16*$AE$3*$B$5/1000) - L16*($B$11+$B$12) - M16*(2*$B$11+$B$13) - E16*$B$15 - F16*$B$16)</f>
        <v>0.00244165934489354</v>
      </c>
      <c r="O16" s="18" t="n">
        <v>10.5</v>
      </c>
      <c r="P16" s="18" t="n">
        <f aca="false">O16*133.322</f>
        <v>1399.881</v>
      </c>
      <c r="Q16" s="23" t="n">
        <f aca="false">$B$1*$B$2*$B$9*1000*(J16+0.25*$AD$18*$AD$18*J16*J16/N16)</f>
        <v>1769.95082188377</v>
      </c>
      <c r="R16" s="24" t="n">
        <f aca="false">P16/Q16</f>
        <v>0.790915195321699</v>
      </c>
      <c r="S16" s="24" t="n">
        <f aca="false">R16-1</f>
        <v>-0.209084804678301</v>
      </c>
      <c r="T16" s="24" t="n">
        <f aca="false">$U$13+$U$14*J16+$U$15*J16*J16+$U$16*J16*J16*J16+$U$17*J16*J16*J16*J16</f>
        <v>-0.207991376206687</v>
      </c>
      <c r="U16" s="25" t="n">
        <v>-1.2416907241781E+018</v>
      </c>
      <c r="V16" s="18" t="n">
        <f aca="false">S16-T16</f>
        <v>-0.00109342847161439</v>
      </c>
      <c r="W16" s="18" t="n">
        <f aca="false">V16*V16</f>
        <v>1.19558582253699E-006</v>
      </c>
      <c r="X16" s="26" t="n">
        <f aca="false">EXP(S16+$U$14*J16+$U$15*J16*J16/2+$U$16*J16*J16*J16/3+$U$17*J16*J16*J16*J16/4)</f>
        <v>0.559974062696575</v>
      </c>
      <c r="Y16" s="26" t="n">
        <f aca="false">EXP(2*$AG$10*J16)</f>
        <v>0.890749989264905</v>
      </c>
      <c r="Z16" s="26" t="n">
        <f aca="false">X16</f>
        <v>0.559974062696575</v>
      </c>
      <c r="AA16" s="26" t="n">
        <f aca="false">Y16</f>
        <v>0.890749989264905</v>
      </c>
      <c r="AC16" s="1" t="n">
        <v>4</v>
      </c>
      <c r="AD16" s="39" t="n">
        <v>14</v>
      </c>
    </row>
    <row r="17" customFormat="false" ht="15.75" hidden="false" customHeight="true" outlineLevel="0" collapsed="false">
      <c r="D17" s="6"/>
      <c r="E17" s="17" t="n">
        <f aca="false">E16</f>
        <v>1E-007</v>
      </c>
      <c r="F17" s="17" t="n">
        <f aca="false">0.00000000000001/E17</f>
        <v>1E-007</v>
      </c>
      <c r="G17" s="18" t="n">
        <v>12.34</v>
      </c>
      <c r="H17" s="19" t="n">
        <f aca="false">G17/$AE$3</f>
        <v>0.000725882352941177</v>
      </c>
      <c r="I17" s="20" t="n">
        <f aca="false">1000000*H17</f>
        <v>725.882352941177</v>
      </c>
      <c r="J17" s="21" t="n">
        <f aca="false">H17/($B$9*(1-H17*$AE$4*$B$5/1000) - L17*($B$11+$B$12) - M17*(2*$B$11+$B$13) - E17*$B$15 - F17*$B$16)</f>
        <v>8.58031660903574E-007</v>
      </c>
      <c r="K17" s="23" t="n">
        <f aca="false">3.5/3</f>
        <v>1.16666666666667</v>
      </c>
      <c r="L17" s="22" t="n">
        <f aca="false">M17*E17/(10^-$B$19)</f>
        <v>0.715326290178667</v>
      </c>
      <c r="M17" s="22" t="n">
        <f aca="false">(10^-$B$19)*K17/(E17+(10^-$B$19))</f>
        <v>0.451340376488</v>
      </c>
      <c r="N17" s="21" t="n">
        <f aca="false">(L17+3*M17)/($B$9*(1-H17*$AE$3*$B$5/1000) - L17*($B$11+$B$12) - M17*(2*$B$11+$B$13) - E17*$B$15 - F17*$B$16)</f>
        <v>0.00244607903232276</v>
      </c>
      <c r="O17" s="18" t="n">
        <v>12.5</v>
      </c>
      <c r="P17" s="18" t="n">
        <f aca="false">O17*133.322</f>
        <v>1666.525</v>
      </c>
      <c r="Q17" s="23" t="n">
        <f aca="false">$B$1*$B$2*$B$9*1000*(J17+0.25*$AD$18*$AD$18*J17*J17/N17)</f>
        <v>2132.54455576443</v>
      </c>
      <c r="R17" s="24" t="n">
        <f aca="false">P17/Q17</f>
        <v>0.781472535002966</v>
      </c>
      <c r="S17" s="24" t="n">
        <f aca="false">R17-1</f>
        <v>-0.218527464997034</v>
      </c>
      <c r="T17" s="24" t="n">
        <f aca="false">$U$13+$U$14*J17+$U$15*J17*J17+$U$16*J17*J17*J17+$U$17*J17*J17*J17*J17</f>
        <v>-0.218596014112269</v>
      </c>
      <c r="U17" s="25" t="n">
        <v>3.5159373063918E+023</v>
      </c>
      <c r="V17" s="18" t="n">
        <f aca="false">S17-T17</f>
        <v>6.85491152352113E-005</v>
      </c>
      <c r="W17" s="18" t="n">
        <f aca="false">V17*V17</f>
        <v>4.69898119953028E-009</v>
      </c>
      <c r="X17" s="26" t="n">
        <f aca="false">EXP(S17+$U$14*J17+$U$15*J17*J17/2+$U$16*J17*J17*J17/3+$U$17*J17*J17*J17*J17/4)</f>
        <v>0.533240538984826</v>
      </c>
      <c r="Y17" s="26" t="n">
        <f aca="false">EXP(2*$AG$10*J17)</f>
        <v>0.87000036475812</v>
      </c>
      <c r="Z17" s="26" t="n">
        <f aca="false">X17</f>
        <v>0.533240538984826</v>
      </c>
      <c r="AA17" s="26" t="n">
        <f aca="false">Y17</f>
        <v>0.87000036475812</v>
      </c>
      <c r="AC17" s="1" t="n">
        <v>7</v>
      </c>
      <c r="AD17" s="39" t="n">
        <v>8</v>
      </c>
    </row>
    <row r="18" customFormat="false" ht="15.75" hidden="false" customHeight="true" outlineLevel="0" collapsed="false">
      <c r="D18" s="6"/>
      <c r="E18" s="17" t="n">
        <f aca="false">E17</f>
        <v>1E-007</v>
      </c>
      <c r="F18" s="17" t="n">
        <f aca="false">0.00000000000001/E18</f>
        <v>1E-007</v>
      </c>
      <c r="G18" s="18" t="n">
        <v>14.34</v>
      </c>
      <c r="H18" s="19" t="n">
        <f aca="false">G18/$AE$3</f>
        <v>0.000843529411764706</v>
      </c>
      <c r="I18" s="20" t="n">
        <f aca="false">1000000*H18</f>
        <v>843.529411764706</v>
      </c>
      <c r="J18" s="21" t="n">
        <f aca="false">H18/($B$9*(1-H18*$AE$4*$B$5/1000) - L18*($B$11+$B$12) - M18*(2*$B$11+$B$13) - E18*$B$15 - F18*$B$16)</f>
        <v>9.98843642213439E-007</v>
      </c>
      <c r="K18" s="23" t="n">
        <f aca="false">3.5/3</f>
        <v>1.16666666666667</v>
      </c>
      <c r="L18" s="22" t="n">
        <f aca="false">M18*E18/(10^-$B$19)</f>
        <v>0.715326290178667</v>
      </c>
      <c r="M18" s="22" t="n">
        <f aca="false">(10^-$B$19)*K18/(E18+(10^-$B$19))</f>
        <v>0.451340376488</v>
      </c>
      <c r="N18" s="21" t="n">
        <f aca="false">(L18+3*M18)/($B$9*(1-H18*$AE$3*$B$5/1000) - L18*($B$11+$B$12) - M18*(2*$B$11+$B$13) - E18*$B$15 - F18*$B$16)</f>
        <v>0.00245036448618512</v>
      </c>
      <c r="O18" s="18" t="n">
        <v>14.25</v>
      </c>
      <c r="P18" s="18" t="n">
        <f aca="false">O18*133.322</f>
        <v>1899.8385</v>
      </c>
      <c r="Q18" s="23" t="n">
        <f aca="false">$B$1*$B$2*$B$9*1000*(J18+0.25*$AD$18*$AD$18*J18*J18/N18)</f>
        <v>2484.76303452956</v>
      </c>
      <c r="R18" s="24" t="n">
        <f aca="false">P18/Q18</f>
        <v>0.764595445762374</v>
      </c>
      <c r="S18" s="24" t="n">
        <f aca="false">R18-1</f>
        <v>-0.235404554237626</v>
      </c>
      <c r="T18" s="24" t="n">
        <f aca="false">$U$13+$U$14*J18+$U$15*J18*J18+$U$16*J18*J18*J18+$U$17*J18*J18*J18*J18</f>
        <v>-0.232215526790211</v>
      </c>
      <c r="U18" s="25"/>
      <c r="V18" s="18" t="n">
        <f aca="false">S18-T18</f>
        <v>-0.00318902744741478</v>
      </c>
      <c r="W18" s="18" t="n">
        <f aca="false">V18*V18</f>
        <v>1.01698960603648E-005</v>
      </c>
      <c r="X18" s="26" t="n">
        <f aca="false">EXP(S18+$U$14*J18+$U$15*J18*J18/2+$U$16*J18*J18*J18/3+$U$17*J18*J18*J18*J18/4)</f>
        <v>0.50669659228965</v>
      </c>
      <c r="Y18" s="26" t="n">
        <f aca="false">EXP(2*$AG$10*J18)</f>
        <v>0.850342607602091</v>
      </c>
      <c r="Z18" s="26" t="n">
        <f aca="false">X18</f>
        <v>0.50669659228965</v>
      </c>
      <c r="AA18" s="26" t="n">
        <f aca="false">Y18</f>
        <v>0.850342607602091</v>
      </c>
      <c r="AC18" s="1" t="n">
        <v>7</v>
      </c>
      <c r="AD18" s="39" t="n">
        <v>8</v>
      </c>
    </row>
    <row r="19" customFormat="false" ht="15.75" hidden="false" customHeight="true" outlineLevel="0" collapsed="false">
      <c r="A19" s="1" t="s">
        <v>46</v>
      </c>
      <c r="B19" s="1" t="n">
        <v>7.2</v>
      </c>
      <c r="D19" s="6"/>
      <c r="E19" s="17" t="n">
        <f aca="false">E18</f>
        <v>1E-007</v>
      </c>
      <c r="F19" s="17" t="n">
        <f aca="false">0.00000000000001/E19</f>
        <v>1E-007</v>
      </c>
      <c r="G19" s="18" t="n">
        <v>16.44</v>
      </c>
      <c r="H19" s="19" t="n">
        <f aca="false">G19/$AE$3</f>
        <v>0.000967058823529412</v>
      </c>
      <c r="I19" s="20" t="n">
        <f aca="false">1000000*H19</f>
        <v>967.058823529412</v>
      </c>
      <c r="J19" s="21" t="n">
        <f aca="false">H19/($B$9*(1-H19*$AE$4*$B$5/1000) - L19*($B$11+$B$12) - M19*(2*$B$11+$B$13) - E19*$B$15 - F19*$B$16)</f>
        <v>1.14722821906779E-006</v>
      </c>
      <c r="K19" s="23" t="n">
        <f aca="false">3.5/3</f>
        <v>1.16666666666667</v>
      </c>
      <c r="L19" s="22" t="n">
        <f aca="false">M19*E19/(10^-$B$19)</f>
        <v>0.715326290178667</v>
      </c>
      <c r="M19" s="22" t="n">
        <f aca="false">(10^-$B$19)*K19/(E19+(10^-$B$19))</f>
        <v>0.451340376488</v>
      </c>
      <c r="N19" s="21" t="n">
        <f aca="false">(L19+3*M19)/($B$9*(1-H19*$AE$3*$B$5/1000) - L19*($B$11+$B$12) - M19*(2*$B$11+$B$13) - E19*$B$15 - F19*$B$16)</f>
        <v>0.00245488040345353</v>
      </c>
      <c r="O19" s="18" t="n">
        <v>16.2</v>
      </c>
      <c r="P19" s="18" t="n">
        <f aca="false">O19*133.322</f>
        <v>2159.8164</v>
      </c>
      <c r="Q19" s="23" t="n">
        <f aca="false">$B$1*$B$2*$B$9*1000*(J19+0.25*$AD$18*$AD$18*J19*J19/N19)</f>
        <v>2856.5985281127</v>
      </c>
      <c r="R19" s="24" t="n">
        <f aca="false">P19/Q19</f>
        <v>0.756079784661567</v>
      </c>
      <c r="S19" s="24" t="n">
        <f aca="false">R19-1</f>
        <v>-0.243920215338433</v>
      </c>
      <c r="T19" s="24" t="n">
        <f aca="false">$U$13+$U$14*J19+$U$15*J19*J19+$U$16*J19*J19*J19+$U$17*J19*J19*J19*J19</f>
        <v>-0.248908186258696</v>
      </c>
      <c r="U19" s="25"/>
      <c r="V19" s="18" t="n">
        <f aca="false">S19-T19</f>
        <v>0.00498797092026326</v>
      </c>
      <c r="W19" s="18" t="n">
        <f aca="false">V19*V19</f>
        <v>2.48798539013919E-005</v>
      </c>
      <c r="X19" s="26" t="n">
        <f aca="false">EXP(S19+$U$14*J19+$U$15*J19*J19/2+$U$16*J19*J19*J19/3+$U$17*J19*J19*J19*J19/4)</f>
        <v>0.485952503296115</v>
      </c>
      <c r="Y19" s="26" t="n">
        <f aca="false">EXP(2*$AG$10*J19)</f>
        <v>0.830108140009956</v>
      </c>
      <c r="Z19" s="26" t="n">
        <f aca="false">X19</f>
        <v>0.485952503296115</v>
      </c>
      <c r="AA19" s="26" t="n">
        <f aca="false">Y19</f>
        <v>0.830108140009956</v>
      </c>
      <c r="AC19" s="1" t="n">
        <v>8</v>
      </c>
      <c r="AD19" s="39" t="n">
        <v>7.5</v>
      </c>
    </row>
    <row r="20" customFormat="false" ht="15.75" hidden="false" customHeight="true" outlineLevel="0" collapsed="false">
      <c r="A20" s="1" t="s">
        <v>47</v>
      </c>
      <c r="B20" s="1" t="n">
        <v>12.37</v>
      </c>
      <c r="D20" s="6"/>
      <c r="E20" s="17" t="n">
        <f aca="false">E19</f>
        <v>1E-007</v>
      </c>
      <c r="F20" s="17" t="n">
        <f aca="false">0.00000000000001/E20</f>
        <v>1E-007</v>
      </c>
      <c r="G20" s="18" t="n">
        <v>18.41</v>
      </c>
      <c r="H20" s="19" t="n">
        <f aca="false">G20/$AE$3</f>
        <v>0.00108294117647059</v>
      </c>
      <c r="I20" s="20" t="n">
        <f aca="false">1000000*H20</f>
        <v>1082.94117647059</v>
      </c>
      <c r="J20" s="21" t="n">
        <f aca="false">H20/($B$9*(1-H20*$AE$4*$B$5/1000) - L20*($B$11+$B$12) - M20*(2*$B$11+$B$13) - E20*$B$15 - F20*$B$16)</f>
        <v>1.28692513934271E-006</v>
      </c>
      <c r="K20" s="23" t="n">
        <f aca="false">3.5/3</f>
        <v>1.16666666666667</v>
      </c>
      <c r="L20" s="22" t="n">
        <f aca="false">M20*E20/(10^-$B$19)</f>
        <v>0.715326290178667</v>
      </c>
      <c r="M20" s="22" t="n">
        <f aca="false">(10^-$B$19)*K20/(E20+(10^-$B$19))</f>
        <v>0.451340376488</v>
      </c>
      <c r="N20" s="21" t="n">
        <f aca="false">(L20+3*M20)/($B$9*(1-H20*$AE$3*$B$5/1000) - L20*($B$11+$B$12) - M20*(2*$B$11+$B$13) - E20*$B$15 - F20*$B$16)</f>
        <v>0.00245913192169071</v>
      </c>
      <c r="O20" s="18" t="n">
        <v>17.7</v>
      </c>
      <c r="P20" s="18" t="n">
        <f aca="false">O20*133.322</f>
        <v>2359.7994</v>
      </c>
      <c r="Q20" s="23" t="n">
        <f aca="false">$B$1*$B$2*$B$9*1000*(J20+0.25*$AD$18*$AD$18*J20*J20/N20)</f>
        <v>3207.29373709943</v>
      </c>
      <c r="R20" s="24" t="n">
        <f aca="false">P20/Q20</f>
        <v>0.735760299315187</v>
      </c>
      <c r="S20" s="24" t="n">
        <f aca="false">R20-1</f>
        <v>-0.264239700684814</v>
      </c>
      <c r="T20" s="24" t="n">
        <f aca="false">$U$13+$U$14*J20+$U$15*J20*J20+$U$16*J20*J20*J20+$U$17*J20*J20*J20*J20</f>
        <v>-0.262210019968905</v>
      </c>
      <c r="U20" s="25"/>
      <c r="V20" s="18" t="n">
        <f aca="false">S20-T20</f>
        <v>-0.0020296807159087</v>
      </c>
      <c r="W20" s="18" t="n">
        <f aca="false">V20*V20</f>
        <v>4.11960380853165E-006</v>
      </c>
      <c r="X20" s="26" t="n">
        <f aca="false">EXP(S20+$U$14*J20+$U$15*J20*J20/2+$U$16*J20*J20*J20/3+$U$17*J20*J20*J20*J20/4)</f>
        <v>0.462379537244896</v>
      </c>
      <c r="Y20" s="26" t="n">
        <f aca="false">EXP(2*$AG$10*J20)</f>
        <v>0.811498602675672</v>
      </c>
      <c r="Z20" s="26" t="n">
        <f aca="false">X20</f>
        <v>0.462379537244896</v>
      </c>
      <c r="AA20" s="26" t="n">
        <f aca="false">Y20</f>
        <v>0.811498602675672</v>
      </c>
      <c r="AC20" s="1" t="n">
        <v>8</v>
      </c>
      <c r="AD20" s="39" t="n">
        <v>7.5</v>
      </c>
    </row>
    <row r="21" customFormat="false" ht="15.75" hidden="false" customHeight="true" outlineLevel="0" collapsed="false">
      <c r="D21" s="6"/>
      <c r="E21" s="17" t="n">
        <f aca="false">E17</f>
        <v>1E-007</v>
      </c>
      <c r="F21" s="17" t="n">
        <f aca="false">0.00000000000001/E21</f>
        <v>1E-007</v>
      </c>
      <c r="G21" s="18" t="n">
        <v>20.41</v>
      </c>
      <c r="H21" s="19" t="n">
        <f aca="false">G21/$AE$3</f>
        <v>0.00120058823529412</v>
      </c>
      <c r="I21" s="20" t="n">
        <f aca="false">1000000*H21</f>
        <v>1200.58823529412</v>
      </c>
      <c r="J21" s="21" t="n">
        <f aca="false">H21/($B$9*(1-H21*$AE$4*$B$5/1000) - L21*($B$11+$B$12) - M21*(2*$B$11+$B$13) - E21*$B$15 - F21*$B$16)</f>
        <v>1.4292452767818E-006</v>
      </c>
      <c r="K21" s="23" t="n">
        <f aca="false">3.5/3</f>
        <v>1.16666666666667</v>
      </c>
      <c r="L21" s="22" t="n">
        <f aca="false">M21*E21/(10^-$B$19)</f>
        <v>0.715326290178667</v>
      </c>
      <c r="M21" s="22" t="n">
        <f aca="false">(10^-$B$19)*K21/(E21+(10^-$B$19))</f>
        <v>0.451340376488</v>
      </c>
      <c r="N21" s="21" t="n">
        <f aca="false">(L21+3*M21)/($B$9*(1-H21*$AE$3*$B$5/1000) - L21*($B$11+$B$12) - M21*(2*$B$11+$B$13) - E21*$B$15 - F21*$B$16)</f>
        <v>0.00246346327458417</v>
      </c>
      <c r="O21" s="18" t="n">
        <v>19.65</v>
      </c>
      <c r="P21" s="18" t="n">
        <f aca="false">O21*133.322</f>
        <v>2619.7773</v>
      </c>
      <c r="Q21" s="23" t="n">
        <f aca="false">$B$1*$B$2*$B$9*1000*(J21+0.25*$AD$18*$AD$18*J21*J21/N21)</f>
        <v>3565.19928030117</v>
      </c>
      <c r="R21" s="24" t="n">
        <f aca="false">P21/Q21</f>
        <v>0.734819316966398</v>
      </c>
      <c r="S21" s="24" t="n">
        <f aca="false">R21-1</f>
        <v>-0.265180683033602</v>
      </c>
      <c r="T21" s="24" t="n">
        <f aca="false">$U$13+$U$14*J21+$U$15*J21*J21+$U$16*J21*J21*J21+$U$17*J21*J21*J21*J21</f>
        <v>-0.265272629002254</v>
      </c>
      <c r="U21" s="40" t="n">
        <f aca="false">SUM(W13:W21)</f>
        <v>0.000185039009283987</v>
      </c>
      <c r="V21" s="18" t="n">
        <f aca="false">S21-T21</f>
        <v>9.19459686526958E-005</v>
      </c>
      <c r="W21" s="18" t="n">
        <f aca="false">V21*V21</f>
        <v>8.45406115148251E-009</v>
      </c>
      <c r="X21" s="26" t="n">
        <f aca="false">EXP(S21+$U$14*J21+$U$15*J21*J21/2+$U$16*J21*J21*J21/3+$U$17*J21*J21*J21*J21/4)</f>
        <v>0.449280341596387</v>
      </c>
      <c r="Y21" s="26" t="n">
        <f aca="false">EXP(2*$AG$10*J21)</f>
        <v>0.792968573509922</v>
      </c>
      <c r="Z21" s="26" t="n">
        <f aca="false">X21</f>
        <v>0.449280341596387</v>
      </c>
      <c r="AA21" s="26" t="n">
        <f aca="false">Y21</f>
        <v>0.792968573509922</v>
      </c>
      <c r="AD21" s="39"/>
    </row>
    <row r="22" customFormat="false" ht="15.75" hidden="false" customHeight="true" outlineLevel="0" collapsed="false">
      <c r="D22" s="6" t="n">
        <v>8</v>
      </c>
      <c r="E22" s="7" t="n">
        <f aca="false">10^-D22</f>
        <v>1E-008</v>
      </c>
      <c r="F22" s="7" t="n">
        <f aca="false">0.00000000000001/E22</f>
        <v>1E-006</v>
      </c>
      <c r="G22" s="8" t="n">
        <v>4.12</v>
      </c>
      <c r="H22" s="9" t="n">
        <f aca="false">G22/$AE$3</f>
        <v>0.000242352941176471</v>
      </c>
      <c r="I22" s="10" t="n">
        <f aca="false">1000000*H22</f>
        <v>242.352941176471</v>
      </c>
      <c r="J22" s="11" t="n">
        <f aca="false">H22/($B$9*(1-H22*$AE$5*$B$5/1000) - L22*($B$11+$B$12) - M22*(2*$B$11+$B$13) - E22*$B$15 - F22*$B$16)</f>
        <v>2.54918096282504E-007</v>
      </c>
      <c r="K22" s="8" t="n">
        <v>0.333333333333333</v>
      </c>
      <c r="L22" s="12" t="n">
        <f aca="false">M22*E22/(10^-$B$19)</f>
        <v>0.04560229620107</v>
      </c>
      <c r="M22" s="12" t="n">
        <f aca="false">(10^-$B$19)*K22/(E22+(10^-$B$19))</f>
        <v>0.287731037132263</v>
      </c>
      <c r="N22" s="11" t="n">
        <f aca="false">(L22+3*M22)/($B$9*(1-H22*$AE$3*$B$5/1000) - L22*($B$11+$B$12) - M22*(2*$B$11+$B$13) - E22*$B$15 - F22*$B$16)</f>
        <v>0.000955913281227472</v>
      </c>
      <c r="O22" s="8" t="n">
        <v>4.5</v>
      </c>
      <c r="P22" s="8" t="n">
        <f aca="false">O22*133.322</f>
        <v>599.949</v>
      </c>
      <c r="Q22" s="13" t="n">
        <f aca="false">$B$1*$B$2*$B$9*1000*(J22+0.25*$AD$19*$AD$19*J22*J22/N22)</f>
        <v>632.397918893023</v>
      </c>
      <c r="R22" s="14" t="n">
        <f aca="false">P22/Q22</f>
        <v>0.948689080207881</v>
      </c>
      <c r="S22" s="14" t="n">
        <f aca="false">R22-1</f>
        <v>-0.0513109197921189</v>
      </c>
      <c r="T22" s="14" t="n">
        <f aca="false">$U$22+$U$23*J22+$U$24*J22*J22+$U$25*J22*J22*J22+$U$26*J22*J22*J22*J22</f>
        <v>-0.0544224717582512</v>
      </c>
      <c r="U22" s="15" t="n">
        <v>0</v>
      </c>
      <c r="V22" s="8" t="n">
        <f aca="false">S22-T22</f>
        <v>0.0031115519661323</v>
      </c>
      <c r="W22" s="8" t="n">
        <f aca="false">V22*V22</f>
        <v>9.68175563794176E-006</v>
      </c>
      <c r="X22" s="16" t="n">
        <f aca="false">EXP(S22+$U$23*J22+$U$24*J22*J22/2+$U$25*J22*J22*J22/3+$U$26*J22*J22*J22*J22/4)</f>
        <v>0.893658407156696</v>
      </c>
      <c r="Y22" s="16" t="n">
        <f aca="false">EXP(2*$AG$11*J22)</f>
        <v>0.939524933674044</v>
      </c>
      <c r="Z22" s="16" t="n">
        <f aca="false">X22</f>
        <v>0.893658407156696</v>
      </c>
      <c r="AA22" s="16" t="n">
        <f aca="false">Y22</f>
        <v>0.939524933674044</v>
      </c>
      <c r="AD22" s="39"/>
    </row>
    <row r="23" customFormat="false" ht="15.75" hidden="false" customHeight="true" outlineLevel="0" collapsed="false">
      <c r="D23" s="6"/>
      <c r="E23" s="17" t="n">
        <f aca="false">E22</f>
        <v>1E-008</v>
      </c>
      <c r="F23" s="17" t="n">
        <f aca="false">0.00000000000001/E23</f>
        <v>1E-006</v>
      </c>
      <c r="G23" s="18" t="n">
        <v>6.35</v>
      </c>
      <c r="H23" s="19" t="n">
        <f aca="false">G23/$AE$3</f>
        <v>0.000373529411764706</v>
      </c>
      <c r="I23" s="20" t="n">
        <f aca="false">1000000*H23</f>
        <v>373.529411764706</v>
      </c>
      <c r="J23" s="21" t="n">
        <f aca="false">H23/($B$9*(1-H23*$AE$5*$B$5/1000) - L23*($B$11+$B$12) - M23*(2*$B$11+$B$13) - E23*$B$15 - F23*$B$16)</f>
        <v>3.93578557704506E-007</v>
      </c>
      <c r="K23" s="18" t="n">
        <f aca="false">K22</f>
        <v>0.333333333333333</v>
      </c>
      <c r="L23" s="22" t="n">
        <f aca="false">M23*E23/(10^-$B$19)</f>
        <v>0.04560229620107</v>
      </c>
      <c r="M23" s="22" t="n">
        <f aca="false">(10^-$B$19)*K23/(E23+(10^-$B$19))</f>
        <v>0.287731037132263</v>
      </c>
      <c r="N23" s="21" t="n">
        <f aca="false">(L23+3*M23)/($B$9*(1-H23*$AE$3*$B$5/1000) - L23*($B$11+$B$12) - M23*(2*$B$11+$B$13) - E23*$B$15 - F23*$B$16)</f>
        <v>0.000957574891040056</v>
      </c>
      <c r="O23" s="18" t="n">
        <v>6.75</v>
      </c>
      <c r="P23" s="18" t="n">
        <f aca="false">O23*133.322</f>
        <v>899.9235</v>
      </c>
      <c r="Q23" s="23" t="n">
        <f aca="false">$B$1*$B$2*$B$9*1000*(J23+0.25*$AD$19*$AD$19*J23*J23/N23)</f>
        <v>978.35967540775</v>
      </c>
      <c r="R23" s="24" t="n">
        <f aca="false">P23/Q23</f>
        <v>0.91982889587609</v>
      </c>
      <c r="S23" s="24" t="n">
        <f aca="false">R23-1</f>
        <v>-0.0801711041239102</v>
      </c>
      <c r="T23" s="24" t="n">
        <f aca="false">$U$22+$U$23*J23+$U$24*J23*J23+$U$25*J23*J23*J23+$U$26*J23*J23*J23*J23</f>
        <v>-0.074398648255775</v>
      </c>
      <c r="U23" s="25" t="n">
        <v>-268170.079435573</v>
      </c>
      <c r="V23" s="18" t="n">
        <f aca="false">S23-T23</f>
        <v>-0.0057724558681352</v>
      </c>
      <c r="W23" s="18" t="n">
        <f aca="false">V23*V23</f>
        <v>3.33212467495685E-005</v>
      </c>
      <c r="X23" s="26" t="n">
        <f aca="false">EXP(S23+$U$23*J23+$U$24*J23*J23/2+$U$25*J23*J23*J23/3+$U$26*J23*J23*J23*J23/4)</f>
        <v>0.84437675885075</v>
      </c>
      <c r="Y23" s="26" t="n">
        <f aca="false">EXP(2*$AG$11*J23)</f>
        <v>0.908180187371718</v>
      </c>
      <c r="Z23" s="26" t="n">
        <f aca="false">X23</f>
        <v>0.84437675885075</v>
      </c>
      <c r="AA23" s="26" t="n">
        <f aca="false">Y23</f>
        <v>0.908180187371718</v>
      </c>
      <c r="AD23" s="39"/>
    </row>
    <row r="24" customFormat="false" ht="15.75" hidden="false" customHeight="true" outlineLevel="0" collapsed="false">
      <c r="D24" s="6"/>
      <c r="E24" s="17" t="n">
        <f aca="false">E23</f>
        <v>1E-008</v>
      </c>
      <c r="F24" s="17" t="n">
        <f aca="false">0.00000000000001/E24</f>
        <v>1E-006</v>
      </c>
      <c r="G24" s="18" t="n">
        <v>8.36</v>
      </c>
      <c r="H24" s="19" t="n">
        <f aca="false">G24/$AE$3</f>
        <v>0.000491764705882353</v>
      </c>
      <c r="I24" s="20" t="n">
        <f aca="false">1000000*H24</f>
        <v>491.764705882353</v>
      </c>
      <c r="J24" s="21" t="n">
        <f aca="false">H24/($B$9*(1-H24*$AE$5*$B$5/1000) - L24*($B$11+$B$12) - M24*(2*$B$11+$B$13) - E24*$B$15 - F24*$B$16)</f>
        <v>5.18973222036674E-007</v>
      </c>
      <c r="K24" s="18" t="n">
        <f aca="false">K23</f>
        <v>0.333333333333333</v>
      </c>
      <c r="L24" s="22" t="n">
        <f aca="false">M24*E24/(10^-$B$19)</f>
        <v>0.04560229620107</v>
      </c>
      <c r="M24" s="22" t="n">
        <f aca="false">(10^-$B$19)*K24/(E24+(10^-$B$19))</f>
        <v>0.287731037132263</v>
      </c>
      <c r="N24" s="21" t="n">
        <f aca="false">(L24+3*M24)/($B$9*(1-H24*$AE$3*$B$5/1000) - L24*($B$11+$B$12) - M24*(2*$B$11+$B$13) - E24*$B$15 - F24*$B$16)</f>
        <v>0.00095907753283544</v>
      </c>
      <c r="O24" s="18" t="n">
        <v>8.85</v>
      </c>
      <c r="P24" s="18" t="n">
        <f aca="false">O24*133.322</f>
        <v>1179.8997</v>
      </c>
      <c r="Q24" s="23" t="n">
        <f aca="false">$B$1*$B$2*$B$9*1000*(J24+0.25*$AD$19*$AD$19*J24*J24/N24)</f>
        <v>1292.41307342666</v>
      </c>
      <c r="R24" s="24" t="n">
        <f aca="false">P24/Q24</f>
        <v>0.912943179127443</v>
      </c>
      <c r="S24" s="24" t="n">
        <f aca="false">R24-1</f>
        <v>-0.0870568208725571</v>
      </c>
      <c r="T24" s="24" t="n">
        <f aca="false">$U$22+$U$23*J24+$U$24*J24*J24+$U$25*J24*J24*J24+$U$26*J24*J24*J24*J24</f>
        <v>-0.088239901431687</v>
      </c>
      <c r="U24" s="25" t="n">
        <v>239710726114.579</v>
      </c>
      <c r="V24" s="18" t="n">
        <f aca="false">S24-T24</f>
        <v>0.0011830805591299</v>
      </c>
      <c r="W24" s="18" t="n">
        <f aca="false">V24*V24</f>
        <v>1.39967960939111E-006</v>
      </c>
      <c r="X24" s="26" t="n">
        <f aca="false">EXP(S24+$U$23*J24+$U$24*J24*J24/2+$U$25*J24*J24*J24/3+$U$26*J24*J24*J24*J24/4)</f>
        <v>0.819940352928089</v>
      </c>
      <c r="Y24" s="26" t="n">
        <f aca="false">EXP(2*$AG$11*J24)</f>
        <v>0.880735643900057</v>
      </c>
      <c r="Z24" s="26" t="n">
        <f aca="false">X24</f>
        <v>0.819940352928089</v>
      </c>
      <c r="AA24" s="26" t="n">
        <f aca="false">Y24</f>
        <v>0.880735643900057</v>
      </c>
      <c r="AD24" s="39"/>
    </row>
    <row r="25" customFormat="false" ht="15.75" hidden="false" customHeight="true" outlineLevel="0" collapsed="false">
      <c r="D25" s="6"/>
      <c r="E25" s="17" t="n">
        <f aca="false">E24</f>
        <v>1E-008</v>
      </c>
      <c r="F25" s="17" t="n">
        <f aca="false">0.00000000000001/E25</f>
        <v>1E-006</v>
      </c>
      <c r="G25" s="18" t="n">
        <v>10.45</v>
      </c>
      <c r="H25" s="19" t="n">
        <f aca="false">G25/$AE$3</f>
        <v>0.000614705882352941</v>
      </c>
      <c r="I25" s="20" t="n">
        <f aca="false">1000000*H25</f>
        <v>614.705882352941</v>
      </c>
      <c r="J25" s="21" t="n">
        <f aca="false">H25/($B$9*(1-H25*$AE$5*$B$5/1000) - L25*($B$11+$B$12) - M25*(2*$B$11+$B$13) - E25*$B$15 - F25*$B$16)</f>
        <v>6.49776750276642E-007</v>
      </c>
      <c r="K25" s="18" t="n">
        <f aca="false">K24</f>
        <v>0.333333333333333</v>
      </c>
      <c r="L25" s="22" t="n">
        <f aca="false">M25*E25/(10^-$B$19)</f>
        <v>0.04560229620107</v>
      </c>
      <c r="M25" s="22" t="n">
        <f aca="false">(10^-$B$19)*K25/(E25+(10^-$B$19))</f>
        <v>0.287731037132263</v>
      </c>
      <c r="N25" s="21" t="n">
        <f aca="false">(L25+3*M25)/($B$9*(1-H25*$AE$3*$B$5/1000) - L25*($B$11+$B$12) - M25*(2*$B$11+$B$13) - E25*$B$15 - F25*$B$16)</f>
        <v>0.000960644990665995</v>
      </c>
      <c r="O25" s="18" t="n">
        <v>11</v>
      </c>
      <c r="P25" s="18" t="n">
        <f aca="false">O25*133.322</f>
        <v>1466.542</v>
      </c>
      <c r="Q25" s="23" t="n">
        <f aca="false">$B$1*$B$2*$B$9*1000*(J25+0.25*$AD$19*$AD$19*J25*J25/N25)</f>
        <v>1621.21171975253</v>
      </c>
      <c r="R25" s="24" t="n">
        <f aca="false">P25/Q25</f>
        <v>0.904596224004514</v>
      </c>
      <c r="S25" s="24" t="n">
        <f aca="false">R25-1</f>
        <v>-0.0954037759954864</v>
      </c>
      <c r="T25" s="24" t="n">
        <f aca="false">$U$22+$U$23*J25+$U$24*J25*J25+$U$25*J25*J25*J25+$U$26*J25*J25*J25*J25</f>
        <v>-0.0996030407487501</v>
      </c>
      <c r="U25" s="25" t="n">
        <v>-1.00238354859913E+017</v>
      </c>
      <c r="V25" s="18" t="n">
        <f aca="false">S25-T25</f>
        <v>0.00419926475326364</v>
      </c>
      <c r="W25" s="18" t="n">
        <f aca="false">V25*V25</f>
        <v>1.76338244680023E-005</v>
      </c>
      <c r="X25" s="26" t="n">
        <f aca="false">EXP(S25+$U$23*J25+$U$24*J25*J25/2+$U$25*J25*J25*J25/3+$U$26*J25*J25*J25*J25/4)</f>
        <v>0.796138489946935</v>
      </c>
      <c r="Y25" s="26" t="n">
        <f aca="false">EXP(2*$AG$11*J25)</f>
        <v>0.852990687470081</v>
      </c>
      <c r="Z25" s="26" t="n">
        <f aca="false">X25</f>
        <v>0.796138489946935</v>
      </c>
      <c r="AA25" s="26" t="n">
        <f aca="false">Y25</f>
        <v>0.852990687470081</v>
      </c>
      <c r="AD25" s="39"/>
    </row>
    <row r="26" customFormat="false" ht="15.75" hidden="false" customHeight="true" outlineLevel="0" collapsed="false">
      <c r="D26" s="6"/>
      <c r="E26" s="17" t="n">
        <f aca="false">E25</f>
        <v>1E-008</v>
      </c>
      <c r="F26" s="17" t="n">
        <f aca="false">0.00000000000001/E26</f>
        <v>1E-006</v>
      </c>
      <c r="G26" s="18" t="n">
        <v>12.46</v>
      </c>
      <c r="H26" s="19" t="n">
        <f aca="false">G26/$AE$3</f>
        <v>0.000732941176470588</v>
      </c>
      <c r="I26" s="20" t="n">
        <f aca="false">1000000*H26</f>
        <v>732.941176470588</v>
      </c>
      <c r="J26" s="21" t="n">
        <f aca="false">H26/($B$9*(1-H26*$AE$5*$B$5/1000) - L26*($B$11+$B$12) - M26*(2*$B$11+$B$13) - E26*$B$15 - F26*$B$16)</f>
        <v>7.75977399075255E-007</v>
      </c>
      <c r="K26" s="18" t="n">
        <f aca="false">K25</f>
        <v>0.333333333333333</v>
      </c>
      <c r="L26" s="22" t="n">
        <f aca="false">M26*E26/(10^-$B$19)</f>
        <v>0.04560229620107</v>
      </c>
      <c r="M26" s="22" t="n">
        <f aca="false">(10^-$B$19)*K26/(E26+(10^-$B$19))</f>
        <v>0.287731037132263</v>
      </c>
      <c r="N26" s="21" t="n">
        <f aca="false">(L26+3*M26)/($B$9*(1-H26*$AE$3*$B$5/1000) - L26*($B$11+$B$12) - M26*(2*$B$11+$B$13) - E26*$B$15 - F26*$B$16)</f>
        <v>0.000962157290814485</v>
      </c>
      <c r="O26" s="18" t="n">
        <v>12.95</v>
      </c>
      <c r="P26" s="18" t="n">
        <f aca="false">O26*133.322</f>
        <v>1726.5199</v>
      </c>
      <c r="Q26" s="23" t="n">
        <f aca="false">$B$1*$B$2*$B$9*1000*(J26+0.25*$AD$19*$AD$19*J26*J26/N26)</f>
        <v>1939.59476100617</v>
      </c>
      <c r="R26" s="24" t="n">
        <f aca="false">P26/Q26</f>
        <v>0.890144650166185</v>
      </c>
      <c r="S26" s="24" t="n">
        <f aca="false">R26-1</f>
        <v>-0.109855349833815</v>
      </c>
      <c r="T26" s="24" t="n">
        <f aca="false">$U$22+$U$23*J26+$U$24*J26*J26+$U$25*J26*J26*J26+$U$26*J26*J26*J26*J26</f>
        <v>-0.108680507698839</v>
      </c>
      <c r="U26" s="25" t="n">
        <v>5.2676754464207E+021</v>
      </c>
      <c r="V26" s="18" t="n">
        <f aca="false">S26-T26</f>
        <v>-0.00117484213497544</v>
      </c>
      <c r="W26" s="18" t="n">
        <f aca="false">V26*V26</f>
        <v>1.38025404211366E-006</v>
      </c>
      <c r="X26" s="26" t="n">
        <f aca="false">EXP(S26+$U$23*J26+$U$24*J26*J26/2+$U$25*J26*J26*J26/3+$U$26*J26*J26*J26*J26/4)</f>
        <v>0.770347151269227</v>
      </c>
      <c r="Y26" s="26" t="n">
        <f aca="false">EXP(2*$AG$11*J26)</f>
        <v>0.82705079334525</v>
      </c>
      <c r="Z26" s="26" t="n">
        <f aca="false">X26</f>
        <v>0.770347151269227</v>
      </c>
      <c r="AA26" s="26" t="n">
        <f aca="false">Y26</f>
        <v>0.82705079334525</v>
      </c>
    </row>
    <row r="27" customFormat="false" ht="15.75" hidden="false" customHeight="true" outlineLevel="0" collapsed="false">
      <c r="D27" s="6"/>
      <c r="E27" s="17" t="n">
        <f aca="false">E26</f>
        <v>1E-008</v>
      </c>
      <c r="F27" s="17" t="n">
        <f aca="false">0.00000000000001/E27</f>
        <v>1E-006</v>
      </c>
      <c r="G27" s="18" t="n">
        <v>14.55</v>
      </c>
      <c r="H27" s="19" t="n">
        <f aca="false">G27/$AE$3</f>
        <v>0.000855882352941177</v>
      </c>
      <c r="I27" s="20" t="n">
        <f aca="false">1000000*H27</f>
        <v>855.882352941177</v>
      </c>
      <c r="J27" s="21" t="n">
        <f aca="false">H27/($B$9*(1-H27*$AE$5*$B$5/1000) - L27*($B$11+$B$12) - M27*(2*$B$11+$B$13) - E27*$B$15 - F27*$B$16)</f>
        <v>9.07623030909219E-007</v>
      </c>
      <c r="K27" s="18" t="n">
        <f aca="false">K26</f>
        <v>0.333333333333333</v>
      </c>
      <c r="L27" s="22" t="n">
        <f aca="false">M27*E27/(10^-$B$19)</f>
        <v>0.04560229620107</v>
      </c>
      <c r="M27" s="22" t="n">
        <f aca="false">(10^-$B$19)*K27/(E27+(10^-$B$19))</f>
        <v>0.287731037132263</v>
      </c>
      <c r="N27" s="21" t="n">
        <f aca="false">(L27+3*M27)/($B$9*(1-H27*$AE$3*$B$5/1000) - L27*($B$11+$B$12) - M27*(2*$B$11+$B$13) - E27*$B$15 - F27*$B$16)</f>
        <v>0.000963734839824462</v>
      </c>
      <c r="O27" s="18" t="n">
        <v>15</v>
      </c>
      <c r="P27" s="18" t="n">
        <f aca="false">O27*133.322</f>
        <v>1999.83</v>
      </c>
      <c r="Q27" s="23" t="n">
        <f aca="false">$B$1*$B$2*$B$9*1000*(J27+0.25*$AD$19*$AD$19*J27*J27/N27)</f>
        <v>2272.91707780024</v>
      </c>
      <c r="R27" s="24" t="n">
        <f aca="false">P27/Q27</f>
        <v>0.879851719859249</v>
      </c>
      <c r="S27" s="24" t="n">
        <f aca="false">R27-1</f>
        <v>-0.120148280140751</v>
      </c>
      <c r="T27" s="24" t="n">
        <f aca="false">$U$22+$U$23*J27+$U$24*J27*J27+$U$25*J27*J27*J27+$U$26*J27*J27*J27*J27</f>
        <v>-0.117300174613606</v>
      </c>
      <c r="U27" s="25"/>
      <c r="V27" s="18" t="n">
        <f aca="false">S27-T27</f>
        <v>-0.00284810552714564</v>
      </c>
      <c r="W27" s="18" t="n">
        <f aca="false">V27*V27</f>
        <v>8.11170509375752E-006</v>
      </c>
      <c r="X27" s="26" t="n">
        <f aca="false">EXP(S27+$U$23*J27+$U$24*J27*J27/2+$U$25*J27*J27*J27/3+$U$26*J27*J27*J27*J27/4)</f>
        <v>0.749087366406462</v>
      </c>
      <c r="Y27" s="26" t="n">
        <f aca="false">EXP(2*$AG$11*J27)</f>
        <v>0.8008319732701</v>
      </c>
      <c r="Z27" s="26" t="n">
        <f aca="false">X27</f>
        <v>0.749087366406462</v>
      </c>
      <c r="AA27" s="26" t="n">
        <f aca="false">Y27</f>
        <v>0.8008319732701</v>
      </c>
    </row>
    <row r="28" customFormat="false" ht="15.75" hidden="false" customHeight="true" outlineLevel="0" collapsed="false">
      <c r="D28" s="6"/>
      <c r="E28" s="17" t="n">
        <f aca="false">E27</f>
        <v>1E-008</v>
      </c>
      <c r="F28" s="17" t="n">
        <f aca="false">0.00000000000001/E28</f>
        <v>1E-006</v>
      </c>
      <c r="G28" s="18" t="n">
        <v>16.61</v>
      </c>
      <c r="H28" s="19" t="n">
        <f aca="false">G28/$AE$3</f>
        <v>0.000977058823529412</v>
      </c>
      <c r="I28" s="20" t="n">
        <f aca="false">1000000*H28</f>
        <v>977.058823529412</v>
      </c>
      <c r="J28" s="21" t="n">
        <f aca="false">H28/($B$9*(1-H28*$AE$5*$B$5/1000) - L28*($B$11+$B$12) - M28*(2*$B$11+$B$13) - E28*$B$15 - F28*$B$16)</f>
        <v>1.03780213724434E-006</v>
      </c>
      <c r="K28" s="18" t="n">
        <f aca="false">K27</f>
        <v>0.333333333333333</v>
      </c>
      <c r="L28" s="22" t="n">
        <f aca="false">M28*E28/(10^-$B$19)</f>
        <v>0.04560229620107</v>
      </c>
      <c r="M28" s="22" t="n">
        <f aca="false">(10^-$B$19)*K28/(E28+(10^-$B$19))</f>
        <v>0.287731037132263</v>
      </c>
      <c r="N28" s="21" t="n">
        <f aca="false">(L28+3*M28)/($B$9*(1-H28*$AE$3*$B$5/1000) - L28*($B$11+$B$12) - M28*(2*$B$11+$B$13) - E28*$B$15 - F28*$B$16)</f>
        <v>0.00096529481502043</v>
      </c>
      <c r="O28" s="18" t="n">
        <v>17.1</v>
      </c>
      <c r="P28" s="18" t="n">
        <f aca="false">O28*133.322</f>
        <v>2279.8062</v>
      </c>
      <c r="Q28" s="23" t="n">
        <f aca="false">$B$1*$B$2*$B$9*1000*(J28+0.25*$AD$19*$AD$19*J28*J28/N28)</f>
        <v>2603.72783443078</v>
      </c>
      <c r="R28" s="24" t="n">
        <f aca="false">P28/Q28</f>
        <v>0.875593128380256</v>
      </c>
      <c r="S28" s="24" t="n">
        <f aca="false">R28-1</f>
        <v>-0.124406871619744</v>
      </c>
      <c r="T28" s="24" t="n">
        <f aca="false">$U$22+$U$23*J28+$U$24*J28*J28+$U$25*J28*J28*J28+$U$26*J28*J28*J28*J28</f>
        <v>-0.126061709951347</v>
      </c>
      <c r="U28" s="25"/>
      <c r="V28" s="18" t="n">
        <f aca="false">S28-T28</f>
        <v>0.00165483833160343</v>
      </c>
      <c r="W28" s="18" t="n">
        <f aca="false">V28*V28</f>
        <v>2.73848990374403E-006</v>
      </c>
      <c r="X28" s="26" t="n">
        <f aca="false">EXP(S28+$U$23*J28+$U$24*J28*J28/2+$U$25*J28*J28*J28/3+$U$26*J28*J28*J28*J28/4)</f>
        <v>0.733853716312348</v>
      </c>
      <c r="Y28" s="26" t="n">
        <f aca="false">EXP(2*$AG$11*J28)</f>
        <v>0.775722667260523</v>
      </c>
      <c r="Z28" s="26" t="n">
        <f aca="false">X28</f>
        <v>0.733853716312348</v>
      </c>
      <c r="AA28" s="26" t="n">
        <f aca="false">Y28</f>
        <v>0.775722667260523</v>
      </c>
    </row>
    <row r="29" customFormat="false" ht="15.75" hidden="false" customHeight="true" outlineLevel="0" collapsed="false">
      <c r="D29" s="6"/>
      <c r="E29" s="17" t="n">
        <f aca="false">E28</f>
        <v>1E-008</v>
      </c>
      <c r="F29" s="17" t="n">
        <f aca="false">0.00000000000001/E29</f>
        <v>1E-006</v>
      </c>
      <c r="G29" s="18" t="n">
        <v>18.69</v>
      </c>
      <c r="H29" s="19" t="n">
        <f aca="false">G29/$AE$3</f>
        <v>0.00109941176470588</v>
      </c>
      <c r="I29" s="20" t="n">
        <f aca="false">1000000*H29</f>
        <v>1099.41176470588</v>
      </c>
      <c r="J29" s="21" t="n">
        <f aca="false">H29/($B$9*(1-H29*$AE$5*$B$5/1000) - L29*($B$11+$B$12) - M29*(2*$B$11+$B$13) - E29*$B$15 - F29*$B$16)</f>
        <v>1.16967341146392E-006</v>
      </c>
      <c r="K29" s="18" t="n">
        <f aca="false">K28</f>
        <v>0.333333333333333</v>
      </c>
      <c r="L29" s="22" t="n">
        <f aca="false">M29*E29/(10^-$B$19)</f>
        <v>0.04560229620107</v>
      </c>
      <c r="M29" s="22" t="n">
        <f aca="false">(10^-$B$19)*K29/(E29+(10^-$B$19))</f>
        <v>0.287731037132263</v>
      </c>
      <c r="N29" s="21" t="n">
        <f aca="false">(L29+3*M29)/($B$9*(1-H29*$AE$3*$B$5/1000) - L29*($B$11+$B$12) - M29*(2*$B$11+$B$13) - E29*$B$15 - F29*$B$16)</f>
        <v>0.000966875067970652</v>
      </c>
      <c r="O29" s="18" t="n">
        <v>19.05</v>
      </c>
      <c r="P29" s="18" t="n">
        <f aca="false">O29*133.322</f>
        <v>2539.7841</v>
      </c>
      <c r="Q29" s="23" t="n">
        <f aca="false">$B$1*$B$2*$B$9*1000*(J29+0.25*$AD$19*$AD$19*J29*J29/N29)</f>
        <v>2940.05108036324</v>
      </c>
      <c r="R29" s="24" t="n">
        <f aca="false">P29/Q29</f>
        <v>0.863857133967283</v>
      </c>
      <c r="S29" s="24" t="n">
        <f aca="false">R29-1</f>
        <v>-0.136142866032717</v>
      </c>
      <c r="T29" s="24" t="n">
        <f aca="false">$U$22+$U$23*J29+$U$24*J29*J29+$U$25*J29*J29*J29+$U$26*J29*J29*J29*J29</f>
        <v>-0.13626320130359</v>
      </c>
      <c r="U29" s="25"/>
      <c r="V29" s="18" t="n">
        <f aca="false">S29-T29</f>
        <v>0.000120335270872962</v>
      </c>
      <c r="W29" s="18" t="n">
        <f aca="false">V29*V29</f>
        <v>1.44805774160692E-008</v>
      </c>
      <c r="X29" s="26" t="n">
        <f aca="false">EXP(S29+$U$23*J29+$U$24*J29*J29/2+$U$25*J29*J29*J29/3+$U$26*J29*J29*J29*J29/4)</f>
        <v>0.71402278832339</v>
      </c>
      <c r="Y29" s="26" t="n">
        <f aca="false">EXP(2*$AG$11*J29)</f>
        <v>0.751089556117579</v>
      </c>
      <c r="Z29" s="26" t="n">
        <f aca="false">X29</f>
        <v>0.71402278832339</v>
      </c>
      <c r="AA29" s="26" t="n">
        <f aca="false">Y29</f>
        <v>0.751089556117579</v>
      </c>
    </row>
    <row r="30" customFormat="false" ht="15.75" hidden="false" customHeight="true" outlineLevel="0" collapsed="false">
      <c r="D30" s="6"/>
      <c r="E30" s="28" t="n">
        <f aca="false">E26</f>
        <v>1E-008</v>
      </c>
      <c r="F30" s="28" t="n">
        <f aca="false">0.00000000000001/E30</f>
        <v>1E-006</v>
      </c>
      <c r="G30" s="29" t="n">
        <v>20.74</v>
      </c>
      <c r="H30" s="30" t="n">
        <f aca="false">G30/$AE$3</f>
        <v>0.00122</v>
      </c>
      <c r="I30" s="31" t="n">
        <f aca="false">1000000*H30</f>
        <v>1220</v>
      </c>
      <c r="J30" s="32" t="n">
        <f aca="false">H30/($B$9*(1-H30*$AE$5*$B$5/1000) - L30*($B$11+$B$12) - M30*(2*$B$11+$B$13) - E30*$B$15 - F30*$B$16)</f>
        <v>1.30006584714294E-006</v>
      </c>
      <c r="K30" s="29" t="n">
        <f aca="false">K29</f>
        <v>0.333333333333333</v>
      </c>
      <c r="L30" s="33" t="n">
        <f aca="false">M30*E30/(10^-$B$19)</f>
        <v>0.04560229620107</v>
      </c>
      <c r="M30" s="33" t="n">
        <f aca="false">(10^-$B$19)*K30/(E30+(10^-$B$19))</f>
        <v>0.287731037132263</v>
      </c>
      <c r="N30" s="32" t="n">
        <f aca="false">(L30+3*M30)/($B$9*(1-H30*$AE$3*$B$5/1000) - L30*($B$11+$B$12) - M30*(2*$B$11+$B$13) - E30*$B$15 - F30*$B$16)</f>
        <v>0.000968437599556002</v>
      </c>
      <c r="O30" s="29" t="n">
        <v>20.9</v>
      </c>
      <c r="P30" s="29" t="n">
        <f aca="false">O30*133.322</f>
        <v>2786.4298</v>
      </c>
      <c r="Q30" s="34" t="n">
        <f aca="false">$B$1*$B$2*$B$9*1000*(J30+0.25*$AD$19*$AD$19*J30*J30/N30)</f>
        <v>3273.79662208097</v>
      </c>
      <c r="R30" s="35" t="n">
        <f aca="false">P30/Q30</f>
        <v>0.851131002215045</v>
      </c>
      <c r="S30" s="35" t="n">
        <f aca="false">R30-1</f>
        <v>-0.148868997784956</v>
      </c>
      <c r="T30" s="35" t="n">
        <f aca="false">$U$22+$U$23*J30+$U$24*J30*J30+$U$25*J30*J30*J30+$U$26*J30*J30*J30*J30</f>
        <v>-0.148695669339454</v>
      </c>
      <c r="U30" s="36" t="n">
        <f aca="false">SUM(W22:W30)</f>
        <v>7.4311478831955E-005</v>
      </c>
      <c r="V30" s="29" t="n">
        <f aca="false">S30-T30</f>
        <v>-0.00017332844550183</v>
      </c>
      <c r="W30" s="29" t="n">
        <f aca="false">V30*V30</f>
        <v>3.00427500200809E-008</v>
      </c>
      <c r="X30" s="37" t="n">
        <f aca="false">EXP(S30+$U$23*J30+$U$24*J30*J30/2+$U$25*J30*J30*J30/3+$U$26*J30*J30*J30*J30/4)</f>
        <v>0.694482228951428</v>
      </c>
      <c r="Y30" s="37" t="n">
        <f aca="false">EXP(2*$AG$11*J30)</f>
        <v>0.727501895797919</v>
      </c>
      <c r="Z30" s="37" t="n">
        <f aca="false">X30</f>
        <v>0.694482228951428</v>
      </c>
      <c r="AA30" s="37" t="n">
        <f aca="false">Y30</f>
        <v>0.727501895797919</v>
      </c>
    </row>
    <row r="31" customFormat="false" ht="15.75" hidden="false" customHeight="true" outlineLevel="0" collapsed="false">
      <c r="D31" s="6" t="n">
        <v>8</v>
      </c>
      <c r="E31" s="7" t="n">
        <f aca="false">10^-D31</f>
        <v>1E-008</v>
      </c>
      <c r="F31" s="7" t="n">
        <f aca="false">0.00000000000001/E31</f>
        <v>1E-006</v>
      </c>
      <c r="G31" s="8" t="n">
        <v>4.09</v>
      </c>
      <c r="H31" s="9" t="n">
        <f aca="false">G31/$AE$3</f>
        <v>0.000240588235294118</v>
      </c>
      <c r="I31" s="10" t="n">
        <f aca="false">1000000*H31</f>
        <v>240.588235294118</v>
      </c>
      <c r="J31" s="41" t="n">
        <f aca="false">H31/($B$9*(1-H31*$AE$6*$B$5/1000) - L31*($B$11+$B$12) - M31*(2*$B$11+$B$13) - E31*$B$15 - F31*$B$16)</f>
        <v>2.78379629701803E-007</v>
      </c>
      <c r="K31" s="13" t="n">
        <v>1</v>
      </c>
      <c r="L31" s="12" t="n">
        <f aca="false">M31*E31/(10^-$B$19)</f>
        <v>0.13680688860321</v>
      </c>
      <c r="M31" s="12" t="n">
        <f aca="false">(10^-$B$19)*K31/(E31+(10^-$B$19))</f>
        <v>0.86319311139679</v>
      </c>
      <c r="N31" s="42" t="n">
        <f aca="false">(L31+3*M31)/($B$9*(1-H31*$AE$3*$B$5/1000) - L31*($B$11+$B$12) - M31*(2*$B$11+$B$13) - E31*$B$15 - F31*$B$16)</f>
        <v>0.00315464464086341</v>
      </c>
      <c r="O31" s="8" t="n">
        <v>4.4</v>
      </c>
      <c r="P31" s="8" t="n">
        <f aca="false">O31*133.322</f>
        <v>586.6168</v>
      </c>
      <c r="Q31" s="13" t="n">
        <f aca="false">$B$1*$B$2*$B$9*1000*(J31+0.25*$AD$20*$AD$20*J31*J31/N31)</f>
        <v>688.874656703775</v>
      </c>
      <c r="R31" s="14" t="n">
        <f aca="false">P31/Q31</f>
        <v>0.851558108998998</v>
      </c>
      <c r="S31" s="14" t="n">
        <f aca="false">R31-1</f>
        <v>-0.148441891001002</v>
      </c>
      <c r="T31" s="14" t="n">
        <f aca="false">$U$31+$U$32*J31+$U$33*J31*J31+$U$34*J31*J31*J31+$U$35*J31*J31*J31*J31</f>
        <v>-0.146167809630769</v>
      </c>
      <c r="U31" s="15" t="n">
        <v>0</v>
      </c>
      <c r="V31" s="8" t="n">
        <f aca="false">S31-T31</f>
        <v>-0.0022740813702333</v>
      </c>
      <c r="W31" s="43" t="n">
        <f aca="false">V31*V31</f>
        <v>5.17144607844216E-006</v>
      </c>
      <c r="X31" s="16" t="n">
        <f aca="false">EXP(S31+$U$32*J31+$U$33*J31*J31/2+$U$34*J31*J31*J31/3+$U$35*J31*J31*J31*J31/4)</f>
        <v>0.715667323771625</v>
      </c>
      <c r="Y31" s="16" t="n">
        <f aca="false">EXP(2*$AG$12*J31)</f>
        <v>0.926237606254254</v>
      </c>
      <c r="Z31" s="16" t="n">
        <f aca="false">X31</f>
        <v>0.715667323771625</v>
      </c>
      <c r="AA31" s="16" t="n">
        <f aca="false">Y31</f>
        <v>0.926237606254254</v>
      </c>
    </row>
    <row r="32" customFormat="false" ht="15.75" hidden="false" customHeight="true" outlineLevel="0" collapsed="false">
      <c r="D32" s="6"/>
      <c r="E32" s="17" t="n">
        <f aca="false">E31</f>
        <v>1E-008</v>
      </c>
      <c r="F32" s="17" t="n">
        <f aca="false">0.00000000000001/E32</f>
        <v>1E-006</v>
      </c>
      <c r="G32" s="18" t="n">
        <v>6.24</v>
      </c>
      <c r="H32" s="19" t="n">
        <f aca="false">G32/$AE$3</f>
        <v>0.000367058823529412</v>
      </c>
      <c r="I32" s="20" t="n">
        <f aca="false">1000000*H32</f>
        <v>367.058823529412</v>
      </c>
      <c r="J32" s="44" t="n">
        <f aca="false">H32/($B$9*(1-H32*$AE$6*$B$5/1000) - L32*($B$11+$B$12) - M32*(2*$B$11+$B$13) - E32*$B$15 - F32*$B$16)</f>
        <v>4.25499177570346E-007</v>
      </c>
      <c r="K32" s="23" t="n">
        <v>1</v>
      </c>
      <c r="L32" s="22" t="n">
        <f aca="false">M32*E32/(10^-$B$19)</f>
        <v>0.13680688860321</v>
      </c>
      <c r="M32" s="22" t="n">
        <f aca="false">(10^-$B$19)*K32/(E32+(10^-$B$19))</f>
        <v>0.86319311139679</v>
      </c>
      <c r="N32" s="45" t="n">
        <f aca="false">(L32+3*M32)/($B$9*(1-H32*$AE$3*$B$5/1000) - L32*($B$11+$B$12) - M32*(2*$B$11+$B$13) - E32*$B$15 - F32*$B$16)</f>
        <v>0.00316046099745872</v>
      </c>
      <c r="O32" s="18" t="n">
        <v>6.5</v>
      </c>
      <c r="P32" s="18" t="n">
        <f aca="false">O32*133.322</f>
        <v>866.593</v>
      </c>
      <c r="Q32" s="23" t="n">
        <f aca="false">$B$1*$B$2*$B$9*1000*(J32+0.25*$AD$20*$AD$20*J32*J32/N32)</f>
        <v>1053.62080601562</v>
      </c>
      <c r="R32" s="24" t="n">
        <f aca="false">P32/Q32</f>
        <v>0.822490401719681</v>
      </c>
      <c r="S32" s="24" t="n">
        <f aca="false">R32-1</f>
        <v>-0.177509598280319</v>
      </c>
      <c r="T32" s="24" t="n">
        <f aca="false">$U$31+$U$32*J32+$U$33*J32*J32+$U$34*J32*J32*J32+$U$35*J32*J32*J32*J32</f>
        <v>-0.177018939819799</v>
      </c>
      <c r="U32" s="25" t="n">
        <v>-837360.482420962</v>
      </c>
      <c r="V32" s="18" t="n">
        <f aca="false">S32-T32</f>
        <v>-0.000490658460520377</v>
      </c>
      <c r="W32" s="46" t="n">
        <f aca="false">V32*V32</f>
        <v>2.40745724880226E-007</v>
      </c>
      <c r="X32" s="26" t="n">
        <f aca="false">EXP(S32+$U$32*J32+$U$33*J32*J32/2+$U$34*J32*J32*J32/3+$U$35*J32*J32*J32*J32/4)</f>
        <v>0.648938282110285</v>
      </c>
      <c r="Y32" s="26" t="n">
        <f aca="false">EXP(2*$AG$12*J32)</f>
        <v>0.889478985251655</v>
      </c>
      <c r="Z32" s="26" t="n">
        <f aca="false">X32</f>
        <v>0.648938282110285</v>
      </c>
      <c r="AA32" s="26" t="n">
        <f aca="false">Y32</f>
        <v>0.889478985251655</v>
      </c>
    </row>
    <row r="33" customFormat="false" ht="15.75" hidden="false" customHeight="true" outlineLevel="0" collapsed="false">
      <c r="D33" s="6"/>
      <c r="E33" s="17" t="n">
        <f aca="false">E32</f>
        <v>1E-008</v>
      </c>
      <c r="F33" s="17" t="n">
        <f aca="false">0.00000000000001/E33</f>
        <v>1E-006</v>
      </c>
      <c r="G33" s="18" t="n">
        <v>8.28</v>
      </c>
      <c r="H33" s="19" t="n">
        <f aca="false">G33/$AE$3</f>
        <v>0.000487058823529412</v>
      </c>
      <c r="I33" s="20" t="n">
        <f aca="false">1000000*H33</f>
        <v>487.058823529412</v>
      </c>
      <c r="J33" s="44" t="n">
        <f aca="false">H33/($B$9*(1-H33*$AE$6*$B$5/1000) - L33*($B$11+$B$12) - M33*(2*$B$11+$B$13) - E33*$B$15 - F33*$B$16)</f>
        <v>5.65594135522564E-007</v>
      </c>
      <c r="K33" s="23" t="n">
        <v>1</v>
      </c>
      <c r="L33" s="22" t="n">
        <f aca="false">M33*E33/(10^-$B$19)</f>
        <v>0.13680688860321</v>
      </c>
      <c r="M33" s="22" t="n">
        <f aca="false">(10^-$B$19)*K33/(E33+(10^-$B$19))</f>
        <v>0.86319311139679</v>
      </c>
      <c r="N33" s="45" t="n">
        <f aca="false">(L33+3*M33)/($B$9*(1-H33*$AE$3*$B$5/1000) - L33*($B$11+$B$12) - M33*(2*$B$11+$B$13) - E33*$B$15 - F33*$B$16)</f>
        <v>0.003165999637595</v>
      </c>
      <c r="O33" s="18" t="n">
        <v>8.5</v>
      </c>
      <c r="P33" s="18" t="n">
        <f aca="false">O33*133.322</f>
        <v>1133.237</v>
      </c>
      <c r="Q33" s="23" t="n">
        <f aca="false">$B$1*$B$2*$B$9*1000*(J33+0.25*$AD$20*$AD$20*J33*J33/N33)</f>
        <v>1401.38907394514</v>
      </c>
      <c r="R33" s="24" t="n">
        <f aca="false">P33/Q33</f>
        <v>0.808652658329748</v>
      </c>
      <c r="S33" s="24" t="n">
        <f aca="false">R33-1</f>
        <v>-0.191347341670252</v>
      </c>
      <c r="T33" s="24" t="n">
        <f aca="false">$U$31+$U$32*J33+$U$33*J33*J33+$U$34*J33*J33*J33+$U$35*J33*J33*J33*J33</f>
        <v>-0.192916167569615</v>
      </c>
      <c r="U33" s="25" t="n">
        <v>1407849842109.56</v>
      </c>
      <c r="V33" s="18" t="n">
        <f aca="false">S33-T33</f>
        <v>0.00156882589936247</v>
      </c>
      <c r="W33" s="46" t="n">
        <f aca="false">V33*V33</f>
        <v>2.46121470251046E-006</v>
      </c>
      <c r="X33" s="26" t="n">
        <f aca="false">EXP(S33+$U$32*J33+$U$33*J33*J33/2+$U$34*J33*J33*J33/3+$U$35*J33*J33*J33*J33/4)</f>
        <v>0.60714282127555</v>
      </c>
      <c r="Y33" s="26" t="n">
        <f aca="false">EXP(2*$AG$12*J33)</f>
        <v>0.855832344503446</v>
      </c>
      <c r="Z33" s="26" t="n">
        <f aca="false">X33</f>
        <v>0.60714282127555</v>
      </c>
      <c r="AA33" s="26" t="n">
        <f aca="false">Y33</f>
        <v>0.855832344503446</v>
      </c>
    </row>
    <row r="34" customFormat="false" ht="15.75" hidden="false" customHeight="true" outlineLevel="0" collapsed="false">
      <c r="D34" s="6"/>
      <c r="E34" s="17" t="n">
        <f aca="false">E33</f>
        <v>1E-008</v>
      </c>
      <c r="F34" s="17" t="n">
        <f aca="false">0.00000000000001/E34</f>
        <v>1E-006</v>
      </c>
      <c r="G34" s="18" t="n">
        <v>10.38</v>
      </c>
      <c r="H34" s="19" t="n">
        <f aca="false">G34/$AE$3</f>
        <v>0.000610588235294118</v>
      </c>
      <c r="I34" s="20" t="n">
        <f aca="false">1000000*H34</f>
        <v>610.588235294118</v>
      </c>
      <c r="J34" s="44" t="n">
        <f aca="false">H34/($B$9*(1-H34*$AE$6*$B$5/1000) - L34*($B$11+$B$12) - M34*(2*$B$11+$B$13) - E34*$B$15 - F34*$B$16)</f>
        <v>7.10323362523606E-007</v>
      </c>
      <c r="K34" s="23" t="n">
        <v>1</v>
      </c>
      <c r="L34" s="22" t="n">
        <f aca="false">M34*E34/(10^-$B$19)</f>
        <v>0.13680688860321</v>
      </c>
      <c r="M34" s="22" t="n">
        <f aca="false">(10^-$B$19)*K34/(E34+(10^-$B$19))</f>
        <v>0.86319311139679</v>
      </c>
      <c r="N34" s="45" t="n">
        <f aca="false">(L34+3*M34)/($B$9*(1-H34*$AE$3*$B$5/1000) - L34*($B$11+$B$12) - M34*(2*$B$11+$B$13) - E34*$B$15 - F34*$B$16)</f>
        <v>0.00317172149309413</v>
      </c>
      <c r="O34" s="18" t="n">
        <v>10.6</v>
      </c>
      <c r="P34" s="18" t="n">
        <f aca="false">O34*133.322</f>
        <v>1413.2132</v>
      </c>
      <c r="Q34" s="23" t="n">
        <f aca="false">$B$1*$B$2*$B$9*1000*(J34+0.25*$AD$20*$AD$20*J34*J34/N34)</f>
        <v>1761.10747459473</v>
      </c>
      <c r="R34" s="24" t="n">
        <f aca="false">P34/Q34</f>
        <v>0.802457101787735</v>
      </c>
      <c r="S34" s="24" t="n">
        <f aca="false">R34-1</f>
        <v>-0.197542898212265</v>
      </c>
      <c r="T34" s="24" t="n">
        <f aca="false">$U$31+$U$32*J34+$U$33*J34*J34+$U$34*J34*J34*J34+$U$35*J34*J34*J34*J34</f>
        <v>-0.204365766948109</v>
      </c>
      <c r="U34" s="25" t="n">
        <v>-1.11435502166908E+018</v>
      </c>
      <c r="V34" s="18" t="n">
        <f aca="false">S34-T34</f>
        <v>0.00682286873584365</v>
      </c>
      <c r="W34" s="46" t="n">
        <f aca="false">V34*V34</f>
        <v>4.65515377865527E-005</v>
      </c>
      <c r="X34" s="26" t="n">
        <f aca="false">EXP(S34+$U$32*J34+$U$33*J34*J34/2+$U$34*J34*J34*J34/3+$U$35*J34*J34*J34*J34/4)</f>
        <v>0.57670290431723</v>
      </c>
      <c r="Y34" s="26" t="n">
        <f aca="false">EXP(2*$AG$12*J34)</f>
        <v>0.822408740988585</v>
      </c>
      <c r="Z34" s="26" t="n">
        <f aca="false">X34</f>
        <v>0.57670290431723</v>
      </c>
      <c r="AA34" s="26" t="n">
        <f aca="false">Y34</f>
        <v>0.822408740988585</v>
      </c>
    </row>
    <row r="35" customFormat="false" ht="15.75" hidden="false" customHeight="true" outlineLevel="0" collapsed="false">
      <c r="D35" s="6"/>
      <c r="E35" s="17" t="n">
        <f aca="false">E34</f>
        <v>1E-008</v>
      </c>
      <c r="F35" s="17" t="n">
        <f aca="false">0.00000000000001/E35</f>
        <v>1E-006</v>
      </c>
      <c r="G35" s="18" t="n">
        <v>12.46</v>
      </c>
      <c r="H35" s="19" t="n">
        <f aca="false">G35/$AE$3</f>
        <v>0.000732941176470588</v>
      </c>
      <c r="I35" s="20" t="n">
        <f aca="false">1000000*H35</f>
        <v>732.941176470588</v>
      </c>
      <c r="J35" s="44" t="n">
        <f aca="false">H35/($B$9*(1-H35*$AE$6*$B$5/1000) - L35*($B$11+$B$12) - M35*(2*$B$11+$B$13) - E35*$B$15 - F35*$B$16)</f>
        <v>8.54190824269494E-007</v>
      </c>
      <c r="K35" s="23" t="n">
        <v>1</v>
      </c>
      <c r="L35" s="22" t="n">
        <f aca="false">M35*E35/(10^-$B$19)</f>
        <v>0.13680688860321</v>
      </c>
      <c r="M35" s="22" t="n">
        <f aca="false">(10^-$B$19)*K35/(E35+(10^-$B$19))</f>
        <v>0.86319311139679</v>
      </c>
      <c r="N35" s="45" t="n">
        <f aca="false">(L35+3*M35)/($B$9*(1-H35*$AE$3*$B$5/1000) - L35*($B$11+$B$12) - M35*(2*$B$11+$B$13) - E35*$B$15 - F35*$B$16)</f>
        <v>0.00317740927879018</v>
      </c>
      <c r="O35" s="18" t="n">
        <v>12.4</v>
      </c>
      <c r="P35" s="18" t="n">
        <f aca="false">O35*133.322</f>
        <v>1653.1928</v>
      </c>
      <c r="Q35" s="23" t="n">
        <f aca="false">$B$1*$B$2*$B$9*1000*(J35+0.25*$AD$20*$AD$20*J35*J35/N35)</f>
        <v>2119.13095214117</v>
      </c>
      <c r="R35" s="24" t="n">
        <f aca="false">P35/Q35</f>
        <v>0.780127720908242</v>
      </c>
      <c r="S35" s="24" t="n">
        <f aca="false">R35-1</f>
        <v>-0.219872279091758</v>
      </c>
      <c r="T35" s="24" t="n">
        <f aca="false">$U$31+$U$32*J35+$U$33*J35*J35+$U$34*J35*J35*J35+$U$35*J35*J35*J35*J35</f>
        <v>-0.216372496899545</v>
      </c>
      <c r="U35" s="25" t="n">
        <v>3.12170381181448E+023</v>
      </c>
      <c r="V35" s="18" t="n">
        <f aca="false">S35-T35</f>
        <v>-0.0034997821922135</v>
      </c>
      <c r="W35" s="46" t="n">
        <f aca="false">V35*V35</f>
        <v>1.22484753929347E-005</v>
      </c>
      <c r="X35" s="26" t="n">
        <f aca="false">EXP(S35+$U$32*J35+$U$33*J35*J35/2+$U$34*J35*J35*J35/3+$U$35*J35*J35*J35*J35/4)</f>
        <v>0.542544489279945</v>
      </c>
      <c r="Y35" s="26" t="n">
        <f aca="false">EXP(2*$AG$12*J35)</f>
        <v>0.790477941070571</v>
      </c>
      <c r="Z35" s="26" t="n">
        <f aca="false">X35</f>
        <v>0.542544489279945</v>
      </c>
      <c r="AA35" s="26" t="n">
        <f aca="false">Y35</f>
        <v>0.790477941070571</v>
      </c>
    </row>
    <row r="36" customFormat="false" ht="15.75" hidden="false" customHeight="true" outlineLevel="0" collapsed="false">
      <c r="D36" s="6"/>
      <c r="E36" s="17" t="n">
        <f aca="false">E35</f>
        <v>1E-008</v>
      </c>
      <c r="F36" s="17" t="n">
        <f aca="false">0.00000000000001/E36</f>
        <v>1E-006</v>
      </c>
      <c r="G36" s="18" t="n">
        <v>14.58</v>
      </c>
      <c r="H36" s="19" t="n">
        <f aca="false">G36/$AE$3</f>
        <v>0.000857647058823529</v>
      </c>
      <c r="I36" s="20" t="n">
        <f aca="false">1000000*H36</f>
        <v>857.647058823529</v>
      </c>
      <c r="J36" s="44" t="n">
        <f aca="false">H36/($B$9*(1-H36*$AE$6*$B$5/1000) - L36*($B$11+$B$12) - M36*(2*$B$11+$B$13) - E36*$B$15 - F36*$B$16)</f>
        <v>1.00135690932988E-006</v>
      </c>
      <c r="K36" s="23" t="n">
        <v>1</v>
      </c>
      <c r="L36" s="22" t="n">
        <f aca="false">M36*E36/(10^-$B$19)</f>
        <v>0.13680688860321</v>
      </c>
      <c r="M36" s="22" t="n">
        <f aca="false">(10^-$B$19)*K36/(E36+(10^-$B$19))</f>
        <v>0.86319311139679</v>
      </c>
      <c r="N36" s="45" t="n">
        <f aca="false">(L36+3*M36)/($B$9*(1-H36*$AE$3*$B$5/1000) - L36*($B$11+$B$12) - M36*(2*$B$11+$B$13) - E36*$B$15 - F36*$B$16)</f>
        <v>0.00318322747522871</v>
      </c>
      <c r="O36" s="18" t="n">
        <v>14.1</v>
      </c>
      <c r="P36" s="18" t="n">
        <f aca="false">O36*133.322</f>
        <v>1879.8402</v>
      </c>
      <c r="Q36" s="23" t="n">
        <f aca="false">$B$1*$B$2*$B$9*1000*(J36+0.25*$AD$20*$AD$20*J36*J36/N36)</f>
        <v>2485.82183836583</v>
      </c>
      <c r="R36" s="24" t="n">
        <f aca="false">P36/Q36</f>
        <v>0.756224831155157</v>
      </c>
      <c r="S36" s="24" t="n">
        <f aca="false">R36-1</f>
        <v>-0.243775168844843</v>
      </c>
      <c r="T36" s="24" t="n">
        <f aca="false">$U$31+$U$32*J36+$U$33*J36*J36+$U$34*J36*J36*J36+$U$35*J36*J36*J36*J36</f>
        <v>-0.231852856617766</v>
      </c>
      <c r="U36" s="25"/>
      <c r="V36" s="18" t="n">
        <f aca="false">S36-T36</f>
        <v>-0.0119223122270774</v>
      </c>
      <c r="W36" s="46" t="n">
        <f aca="false">V36*V36</f>
        <v>0.000142141528839919</v>
      </c>
      <c r="X36" s="26" t="n">
        <f aca="false">EXP(S36+$U$32*J36+$U$33*J36*J36/2+$U$34*J36*J36*J36/3+$U$35*J36*J36*J36*J36/4)</f>
        <v>0.51123081808202</v>
      </c>
      <c r="Y36" s="26" t="n">
        <f aca="false">EXP(2*$AG$12*J36)</f>
        <v>0.759097347920417</v>
      </c>
      <c r="Z36" s="26" t="n">
        <f aca="false">X36</f>
        <v>0.51123081808202</v>
      </c>
      <c r="AA36" s="26" t="n">
        <f aca="false">Y36</f>
        <v>0.759097347920417</v>
      </c>
    </row>
    <row r="37" customFormat="false" ht="15.75" hidden="false" customHeight="true" outlineLevel="0" collapsed="false">
      <c r="D37" s="6"/>
      <c r="E37" s="17" t="n">
        <f aca="false">E36</f>
        <v>1E-008</v>
      </c>
      <c r="F37" s="17" t="n">
        <f aca="false">0.00000000000001/E37</f>
        <v>1E-006</v>
      </c>
      <c r="G37" s="18" t="n">
        <v>16.67</v>
      </c>
      <c r="H37" s="19" t="n">
        <f aca="false">G37/$AE$3</f>
        <v>0.000980588235294118</v>
      </c>
      <c r="I37" s="20" t="n">
        <f aca="false">1000000*H37</f>
        <v>980.588235294118</v>
      </c>
      <c r="J37" s="44" t="n">
        <f aca="false">H37/($B$9*(1-H37*$AE$6*$B$5/1000) - L37*($B$11+$B$12) - M37*(2*$B$11+$B$13) - E37*$B$15 - F37*$B$16)</f>
        <v>1.14696897896629E-006</v>
      </c>
      <c r="K37" s="23" t="n">
        <v>1</v>
      </c>
      <c r="L37" s="22" t="n">
        <f aca="false">M37*E37/(10^-$B$19)</f>
        <v>0.13680688860321</v>
      </c>
      <c r="M37" s="22" t="n">
        <f aca="false">(10^-$B$19)*K37/(E37+(10^-$B$19))</f>
        <v>0.86319311139679</v>
      </c>
      <c r="N37" s="45" t="n">
        <f aca="false">(L37+3*M37)/($B$9*(1-H37*$AE$3*$B$5/1000) - L37*($B$11+$B$12) - M37*(2*$B$11+$B$13) - E37*$B$15 - F37*$B$16)</f>
        <v>0.00318898423382304</v>
      </c>
      <c r="O37" s="18" t="n">
        <v>16.3</v>
      </c>
      <c r="P37" s="18" t="n">
        <f aca="false">O37*133.322</f>
        <v>2173.1486</v>
      </c>
      <c r="Q37" s="23" t="n">
        <f aca="false">$B$1*$B$2*$B$9*1000*(J37+0.25*$AD$20*$AD$20*J37*J37/N37)</f>
        <v>2849.09459247287</v>
      </c>
      <c r="R37" s="24" t="n">
        <f aca="false">P37/Q37</f>
        <v>0.762750596537343</v>
      </c>
      <c r="S37" s="24" t="n">
        <f aca="false">R37-1</f>
        <v>-0.237249403462657</v>
      </c>
      <c r="T37" s="24" t="n">
        <f aca="false">$U$31+$U$32*J37+$U$33*J37*J37+$U$34*J37*J37*J37+$U$35*J37*J37*J37*J37</f>
        <v>-0.249521492981422</v>
      </c>
      <c r="U37" s="25"/>
      <c r="V37" s="18" t="n">
        <f aca="false">S37-T37</f>
        <v>0.0122720895187651</v>
      </c>
      <c r="W37" s="46" t="n">
        <f aca="false">V37*V37</f>
        <v>0.000150604181156585</v>
      </c>
      <c r="X37" s="26" t="n">
        <f aca="false">EXP(S37+$U$32*J37+$U$33*J37*J37/2+$U$34*J37*J37*J37/3+$U$35*J37*J37*J37*J37/4)</f>
        <v>0.498052982507409</v>
      </c>
      <c r="Y37" s="26" t="n">
        <f aca="false">EXP(2*$AG$12*J37)</f>
        <v>0.729274386606818</v>
      </c>
      <c r="Z37" s="26" t="n">
        <f aca="false">X37</f>
        <v>0.498052982507409</v>
      </c>
      <c r="AA37" s="26" t="n">
        <f aca="false">Y37</f>
        <v>0.729274386606818</v>
      </c>
    </row>
    <row r="38" customFormat="false" ht="15.75" hidden="false" customHeight="true" outlineLevel="0" collapsed="false">
      <c r="D38" s="6"/>
      <c r="E38" s="17" t="n">
        <f aca="false">E37</f>
        <v>1E-008</v>
      </c>
      <c r="F38" s="17" t="n">
        <f aca="false">0.00000000000001/E38</f>
        <v>1E-006</v>
      </c>
      <c r="G38" s="18" t="n">
        <v>18.7</v>
      </c>
      <c r="H38" s="19" t="n">
        <f aca="false">G38/$AE$3</f>
        <v>0.0011</v>
      </c>
      <c r="I38" s="20" t="n">
        <f aca="false">1000000*H38</f>
        <v>1100</v>
      </c>
      <c r="J38" s="44" t="n">
        <f aca="false">H38/($B$9*(1-H38*$AE$6*$B$5/1000) - L38*($B$11+$B$12) - M38*(2*$B$11+$B$13) - E38*$B$15 - F38*$B$16)</f>
        <v>1.28890589147433E-006</v>
      </c>
      <c r="K38" s="23" t="n">
        <v>1</v>
      </c>
      <c r="L38" s="22" t="n">
        <f aca="false">M38*E38/(10^-$B$19)</f>
        <v>0.13680688860321</v>
      </c>
      <c r="M38" s="22" t="n">
        <f aca="false">(10^-$B$19)*K38/(E38+(10^-$B$19))</f>
        <v>0.86319311139679</v>
      </c>
      <c r="N38" s="45" t="n">
        <f aca="false">(L38+3*M38)/($B$9*(1-H38*$AE$3*$B$5/1000) - L38*($B$11+$B$12) - M38*(2*$B$11+$B$13) - E38*$B$15 - F38*$B$16)</f>
        <v>0.00319459569544827</v>
      </c>
      <c r="O38" s="18" t="n">
        <v>17.6</v>
      </c>
      <c r="P38" s="18" t="n">
        <f aca="false">O38*133.322</f>
        <v>2346.4672</v>
      </c>
      <c r="Q38" s="23" t="n">
        <f aca="false">$B$1*$B$2*$B$9*1000*(J38+0.25*$AD$20*$AD$20*J38*J38/N38)</f>
        <v>3203.63084867829</v>
      </c>
      <c r="R38" s="24" t="n">
        <f aca="false">P38/Q38</f>
        <v>0.732439944186477</v>
      </c>
      <c r="S38" s="24" t="n">
        <f aca="false">R38-1</f>
        <v>-0.267560055813523</v>
      </c>
      <c r="T38" s="24" t="n">
        <f aca="false">$U$31+$U$32*J38+$U$33*J38*J38+$U$34*J38*J38*J38+$U$35*J38*J38*J38*J38</f>
        <v>-0.264998268999994</v>
      </c>
      <c r="U38" s="25"/>
      <c r="V38" s="18" t="n">
        <f aca="false">S38-T38</f>
        <v>-0.00256178681352859</v>
      </c>
      <c r="W38" s="46" t="n">
        <f aca="false">V38*V38</f>
        <v>6.56275167796896E-006</v>
      </c>
      <c r="X38" s="26" t="n">
        <f aca="false">EXP(S38+$U$32*J38+$U$33*J38*J38/2+$U$34*J38*J38*J38/3+$U$35*J38*J38*J38*J38/4)</f>
        <v>0.46888293718595</v>
      </c>
      <c r="Y38" s="26" t="n">
        <f aca="false">EXP(2*$AG$12*J38)</f>
        <v>0.701332196255486</v>
      </c>
      <c r="Z38" s="26" t="n">
        <f aca="false">X38</f>
        <v>0.46888293718595</v>
      </c>
      <c r="AA38" s="26" t="n">
        <f aca="false">Y38</f>
        <v>0.701332196255486</v>
      </c>
    </row>
    <row r="39" customFormat="false" ht="15.75" hidden="false" customHeight="true" outlineLevel="0" collapsed="false">
      <c r="D39" s="6"/>
      <c r="E39" s="28" t="n">
        <f aca="false">E38</f>
        <v>1E-008</v>
      </c>
      <c r="F39" s="28" t="n">
        <f aca="false">0.00000000000001/E39</f>
        <v>1E-006</v>
      </c>
      <c r="G39" s="29" t="n">
        <v>20.8</v>
      </c>
      <c r="H39" s="30" t="n">
        <f aca="false">G39/$AE$3</f>
        <v>0.00122352941176471</v>
      </c>
      <c r="I39" s="31" t="n">
        <f aca="false">1000000*H39</f>
        <v>1223.52941176471</v>
      </c>
      <c r="J39" s="47" t="n">
        <f aca="false">H39/($B$9*(1-H39*$AE$6*$B$5/1000) - L39*($B$11+$B$12) - M39*(2*$B$11+$B$13) - E39*$B$15 - F39*$B$16)</f>
        <v>1.43626378836189E-006</v>
      </c>
      <c r="K39" s="34" t="n">
        <v>1</v>
      </c>
      <c r="L39" s="33" t="n">
        <f aca="false">M39*E39/(10^-$B$19)</f>
        <v>0.13680688860321</v>
      </c>
      <c r="M39" s="33" t="n">
        <f aca="false">(10^-$B$19)*K39/(E39+(10^-$B$19))</f>
        <v>0.86319311139679</v>
      </c>
      <c r="N39" s="48" t="n">
        <f aca="false">(L39+3*M39)/($B$9*(1-H39*$AE$3*$B$5/1000) - L39*($B$11+$B$12) - M39*(2*$B$11+$B$13) - E39*$B$15 - F39*$B$16)</f>
        <v>0.00320042147514818</v>
      </c>
      <c r="O39" s="29" t="n">
        <v>19.5</v>
      </c>
      <c r="P39" s="29" t="n">
        <f aca="false">O39*133.322</f>
        <v>2599.779</v>
      </c>
      <c r="Q39" s="34" t="n">
        <f aca="false">$B$1*$B$2*$B$9*1000*(J39+0.25*$AD$20*$AD$20*J39*J39/N39)</f>
        <v>3572.15696497947</v>
      </c>
      <c r="R39" s="35" t="n">
        <f aca="false">P39/Q39</f>
        <v>0.727789687151932</v>
      </c>
      <c r="S39" s="35" t="n">
        <f aca="false">R39-1</f>
        <v>-0.272210312848068</v>
      </c>
      <c r="T39" s="35" t="n">
        <f aca="false">$U$31+$U$32*J39+$U$33*J39*J39+$U$34*J39*J39*J39+$U$35*J39*J39*J39*J39</f>
        <v>-0.271696645787187</v>
      </c>
      <c r="U39" s="36" t="n">
        <f aca="false">SUM(W31:W39)</f>
        <v>0.000366245735209228</v>
      </c>
      <c r="V39" s="29" t="n">
        <f aca="false">S39-T39</f>
        <v>-0.000513667060881407</v>
      </c>
      <c r="W39" s="49" t="n">
        <f aca="false">V39*V39</f>
        <v>2.63853849434543E-007</v>
      </c>
      <c r="X39" s="37" t="n">
        <f aca="false">EXP(S39+$U$32*J39+$U$33*J39*J39/2+$U$34*J39*J39*J39/3+$U$35*J39*J39*J39*J39/4)</f>
        <v>0.45328928093453</v>
      </c>
      <c r="Y39" s="37" t="n">
        <f aca="false">EXP(2*$AG$12*J39)</f>
        <v>0.673454976387211</v>
      </c>
      <c r="Z39" s="37" t="n">
        <f aca="false">X39</f>
        <v>0.45328928093453</v>
      </c>
      <c r="AA39" s="37" t="n">
        <f aca="false">Y39</f>
        <v>0.673454976387211</v>
      </c>
    </row>
    <row r="42" customFormat="false" ht="15.75" hidden="false" customHeight="true" outlineLevel="0" collapsed="false">
      <c r="L42" s="50"/>
    </row>
  </sheetData>
  <mergeCells count="4">
    <mergeCell ref="D4:D12"/>
    <mergeCell ref="D13:D21"/>
    <mergeCell ref="D22:D30"/>
    <mergeCell ref="D31:D3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2109375" defaultRowHeight="15" zeroHeight="false" outlineLevelRow="0" outlineLevelCol="0"/>
  <cols>
    <col collapsed="false" customWidth="true" hidden="false" outlineLevel="0" max="1" min="1" style="0" width="10"/>
    <col collapsed="false" customWidth="true" hidden="false" outlineLevel="0" max="3" min="2" style="0" width="45"/>
    <col collapsed="false" customWidth="true" hidden="false" outlineLevel="0" max="4" min="4" style="0" width="70"/>
  </cols>
  <sheetData>
    <row r="1" customFormat="false" ht="15" hidden="false" customHeight="false" outlineLevel="0" collapsed="false">
      <c r="A1" s="51" t="s">
        <v>48</v>
      </c>
    </row>
    <row r="3" customFormat="false" ht="60" hidden="false" customHeight="true" outlineLevel="0" collapsed="false">
      <c r="A3" s="52" t="s">
        <v>49</v>
      </c>
      <c r="B3" s="52"/>
      <c r="C3" s="52"/>
      <c r="D3" s="52"/>
    </row>
    <row r="4" customFormat="false" ht="75" hidden="false" customHeight="true" outlineLevel="0" collapsed="false">
      <c r="A4" s="52" t="s">
        <v>50</v>
      </c>
      <c r="B4" s="52"/>
      <c r="C4" s="52"/>
      <c r="D4" s="52"/>
    </row>
    <row r="5" customFormat="false" ht="90" hidden="false" customHeight="true" outlineLevel="0" collapsed="false">
      <c r="A5" s="52" t="s">
        <v>51</v>
      </c>
      <c r="B5" s="52"/>
      <c r="C5" s="52"/>
      <c r="D5" s="52"/>
    </row>
    <row r="6" customFormat="false" ht="45" hidden="false" customHeight="true" outlineLevel="0" collapsed="false">
      <c r="A6" s="52" t="s">
        <v>52</v>
      </c>
      <c r="B6" s="52"/>
      <c r="C6" s="52"/>
      <c r="D6" s="52"/>
    </row>
    <row r="8" customFormat="false" ht="15" hidden="false" customHeight="false" outlineLevel="0" collapsed="false">
      <c r="A8" s="53" t="s">
        <v>53</v>
      </c>
      <c r="B8" s="53" t="s">
        <v>54</v>
      </c>
      <c r="C8" s="53" t="s">
        <v>55</v>
      </c>
      <c r="D8" s="53" t="s">
        <v>56</v>
      </c>
    </row>
    <row r="9" customFormat="false" ht="22.35" hidden="false" customHeight="false" outlineLevel="0" collapsed="false">
      <c r="A9" s="54" t="s">
        <v>57</v>
      </c>
      <c r="B9" s="55" t="s">
        <v>58</v>
      </c>
      <c r="C9" s="55" t="s">
        <v>59</v>
      </c>
      <c r="D9" s="55" t="s">
        <v>60</v>
      </c>
    </row>
    <row r="10" customFormat="false" ht="22.35" hidden="false" customHeight="false" outlineLevel="0" collapsed="false">
      <c r="A10" s="54" t="s">
        <v>61</v>
      </c>
      <c r="B10" s="55" t="s">
        <v>62</v>
      </c>
      <c r="C10" s="55" t="s">
        <v>63</v>
      </c>
      <c r="D10" s="55" t="s">
        <v>64</v>
      </c>
    </row>
    <row r="11" customFormat="false" ht="22.35" hidden="false" customHeight="false" outlineLevel="0" collapsed="false">
      <c r="A11" s="54" t="s">
        <v>65</v>
      </c>
      <c r="B11" s="55" t="s">
        <v>66</v>
      </c>
      <c r="C11" s="55" t="s">
        <v>67</v>
      </c>
      <c r="D11" s="55" t="s">
        <v>60</v>
      </c>
    </row>
    <row r="12" customFormat="false" ht="22.35" hidden="false" customHeight="false" outlineLevel="0" collapsed="false">
      <c r="A12" s="54" t="s">
        <v>68</v>
      </c>
      <c r="B12" s="55" t="s">
        <v>69</v>
      </c>
      <c r="C12" s="55" t="s">
        <v>70</v>
      </c>
      <c r="D12" s="55" t="s">
        <v>64</v>
      </c>
    </row>
    <row r="13" customFormat="false" ht="22.35" hidden="false" customHeight="false" outlineLevel="0" collapsed="false">
      <c r="A13" s="54" t="s">
        <v>71</v>
      </c>
      <c r="B13" s="55" t="s">
        <v>72</v>
      </c>
      <c r="C13" s="55" t="s">
        <v>73</v>
      </c>
      <c r="D13" s="55" t="s">
        <v>60</v>
      </c>
    </row>
    <row r="14" customFormat="false" ht="22.35" hidden="false" customHeight="false" outlineLevel="0" collapsed="false">
      <c r="A14" s="54" t="s">
        <v>74</v>
      </c>
      <c r="B14" s="55" t="s">
        <v>75</v>
      </c>
      <c r="C14" s="55" t="s">
        <v>76</v>
      </c>
      <c r="D14" s="55" t="s">
        <v>64</v>
      </c>
    </row>
    <row r="15" customFormat="false" ht="22.35" hidden="false" customHeight="false" outlineLevel="0" collapsed="false">
      <c r="A15" s="54" t="s">
        <v>77</v>
      </c>
      <c r="B15" s="55" t="s">
        <v>78</v>
      </c>
      <c r="C15" s="55" t="s">
        <v>79</v>
      </c>
      <c r="D15" s="55" t="s">
        <v>60</v>
      </c>
    </row>
    <row r="16" customFormat="false" ht="22.35" hidden="false" customHeight="false" outlineLevel="0" collapsed="false">
      <c r="A16" s="54" t="s">
        <v>80</v>
      </c>
      <c r="B16" s="55" t="s">
        <v>81</v>
      </c>
      <c r="C16" s="55" t="s">
        <v>82</v>
      </c>
      <c r="D16" s="55" t="s">
        <v>64</v>
      </c>
    </row>
    <row r="17" customFormat="false" ht="22.35" hidden="false" customHeight="false" outlineLevel="0" collapsed="false">
      <c r="A17" s="54" t="s">
        <v>83</v>
      </c>
      <c r="B17" s="55" t="s">
        <v>84</v>
      </c>
      <c r="C17" s="55" t="s">
        <v>85</v>
      </c>
      <c r="D17" s="55" t="s">
        <v>60</v>
      </c>
    </row>
    <row r="18" customFormat="false" ht="22.35" hidden="false" customHeight="false" outlineLevel="0" collapsed="false">
      <c r="A18" s="54" t="s">
        <v>86</v>
      </c>
      <c r="B18" s="55" t="s">
        <v>87</v>
      </c>
      <c r="C18" s="55" t="s">
        <v>88</v>
      </c>
      <c r="D18" s="55" t="s">
        <v>64</v>
      </c>
    </row>
    <row r="19" customFormat="false" ht="22.35" hidden="false" customHeight="false" outlineLevel="0" collapsed="false">
      <c r="A19" s="54" t="s">
        <v>89</v>
      </c>
      <c r="B19" s="55" t="s">
        <v>90</v>
      </c>
      <c r="C19" s="55" t="s">
        <v>91</v>
      </c>
      <c r="D19" s="55" t="s">
        <v>60</v>
      </c>
    </row>
    <row r="20" customFormat="false" ht="22.35" hidden="false" customHeight="false" outlineLevel="0" collapsed="false">
      <c r="A20" s="54" t="s">
        <v>92</v>
      </c>
      <c r="B20" s="55" t="s">
        <v>93</v>
      </c>
      <c r="C20" s="55" t="s">
        <v>94</v>
      </c>
      <c r="D20" s="55" t="s">
        <v>64</v>
      </c>
    </row>
    <row r="21" customFormat="false" ht="22.35" hidden="false" customHeight="false" outlineLevel="0" collapsed="false">
      <c r="A21" s="54" t="s">
        <v>95</v>
      </c>
      <c r="B21" s="55" t="s">
        <v>96</v>
      </c>
      <c r="C21" s="55" t="s">
        <v>97</v>
      </c>
      <c r="D21" s="55" t="s">
        <v>60</v>
      </c>
    </row>
    <row r="22" customFormat="false" ht="22.35" hidden="false" customHeight="false" outlineLevel="0" collapsed="false">
      <c r="A22" s="54" t="s">
        <v>98</v>
      </c>
      <c r="B22" s="55" t="s">
        <v>99</v>
      </c>
      <c r="C22" s="55" t="s">
        <v>100</v>
      </c>
      <c r="D22" s="55" t="s">
        <v>64</v>
      </c>
    </row>
    <row r="23" customFormat="false" ht="22.35" hidden="false" customHeight="false" outlineLevel="0" collapsed="false">
      <c r="A23" s="54" t="s">
        <v>101</v>
      </c>
      <c r="B23" s="55" t="s">
        <v>102</v>
      </c>
      <c r="C23" s="55" t="s">
        <v>103</v>
      </c>
      <c r="D23" s="55" t="s">
        <v>60</v>
      </c>
    </row>
    <row r="24" customFormat="false" ht="22.35" hidden="false" customHeight="false" outlineLevel="0" collapsed="false">
      <c r="A24" s="54" t="s">
        <v>104</v>
      </c>
      <c r="B24" s="55" t="s">
        <v>105</v>
      </c>
      <c r="C24" s="55" t="s">
        <v>106</v>
      </c>
      <c r="D24" s="55" t="s">
        <v>64</v>
      </c>
    </row>
    <row r="25" customFormat="false" ht="22.35" hidden="false" customHeight="false" outlineLevel="0" collapsed="false">
      <c r="A25" s="54" t="s">
        <v>107</v>
      </c>
      <c r="B25" s="55" t="s">
        <v>108</v>
      </c>
      <c r="C25" s="55" t="s">
        <v>109</v>
      </c>
      <c r="D25" s="55" t="s">
        <v>60</v>
      </c>
    </row>
    <row r="26" customFormat="false" ht="22.35" hidden="false" customHeight="false" outlineLevel="0" collapsed="false">
      <c r="A26" s="54" t="s">
        <v>110</v>
      </c>
      <c r="B26" s="55" t="s">
        <v>111</v>
      </c>
      <c r="C26" s="55" t="s">
        <v>112</v>
      </c>
      <c r="D26" s="55" t="s">
        <v>64</v>
      </c>
    </row>
    <row r="27" customFormat="false" ht="22.35" hidden="false" customHeight="false" outlineLevel="0" collapsed="false">
      <c r="A27" s="54" t="s">
        <v>113</v>
      </c>
      <c r="B27" s="55" t="s">
        <v>114</v>
      </c>
      <c r="C27" s="55" t="s">
        <v>115</v>
      </c>
      <c r="D27" s="55" t="s">
        <v>60</v>
      </c>
    </row>
    <row r="28" customFormat="false" ht="22.35" hidden="false" customHeight="false" outlineLevel="0" collapsed="false">
      <c r="A28" s="54" t="s">
        <v>116</v>
      </c>
      <c r="B28" s="55" t="s">
        <v>117</v>
      </c>
      <c r="C28" s="55" t="s">
        <v>118</v>
      </c>
      <c r="D28" s="55" t="s">
        <v>64</v>
      </c>
    </row>
    <row r="29" customFormat="false" ht="22.35" hidden="false" customHeight="false" outlineLevel="0" collapsed="false">
      <c r="A29" s="54" t="s">
        <v>119</v>
      </c>
      <c r="B29" s="55" t="s">
        <v>120</v>
      </c>
      <c r="C29" s="55" t="s">
        <v>121</v>
      </c>
      <c r="D29" s="55" t="s">
        <v>60</v>
      </c>
    </row>
    <row r="30" customFormat="false" ht="22.35" hidden="false" customHeight="false" outlineLevel="0" collapsed="false">
      <c r="A30" s="54" t="s">
        <v>122</v>
      </c>
      <c r="B30" s="55" t="s">
        <v>123</v>
      </c>
      <c r="C30" s="55" t="s">
        <v>124</v>
      </c>
      <c r="D30" s="55" t="s">
        <v>64</v>
      </c>
    </row>
    <row r="31" customFormat="false" ht="22.35" hidden="false" customHeight="false" outlineLevel="0" collapsed="false">
      <c r="A31" s="54" t="s">
        <v>125</v>
      </c>
      <c r="B31" s="55" t="s">
        <v>126</v>
      </c>
      <c r="C31" s="55" t="s">
        <v>127</v>
      </c>
      <c r="D31" s="55" t="s">
        <v>60</v>
      </c>
    </row>
    <row r="32" customFormat="false" ht="22.35" hidden="false" customHeight="false" outlineLevel="0" collapsed="false">
      <c r="A32" s="54" t="s">
        <v>128</v>
      </c>
      <c r="B32" s="55" t="s">
        <v>129</v>
      </c>
      <c r="C32" s="55" t="s">
        <v>130</v>
      </c>
      <c r="D32" s="55" t="s">
        <v>64</v>
      </c>
    </row>
    <row r="33" customFormat="false" ht="22.35" hidden="false" customHeight="false" outlineLevel="0" collapsed="false">
      <c r="A33" s="54" t="s">
        <v>131</v>
      </c>
      <c r="B33" s="55" t="s">
        <v>132</v>
      </c>
      <c r="C33" s="55" t="s">
        <v>133</v>
      </c>
      <c r="D33" s="55" t="s">
        <v>60</v>
      </c>
    </row>
    <row r="34" customFormat="false" ht="22.35" hidden="false" customHeight="false" outlineLevel="0" collapsed="false">
      <c r="A34" s="54" t="s">
        <v>134</v>
      </c>
      <c r="B34" s="55" t="s">
        <v>135</v>
      </c>
      <c r="C34" s="55" t="s">
        <v>136</v>
      </c>
      <c r="D34" s="55" t="s">
        <v>64</v>
      </c>
    </row>
    <row r="35" customFormat="false" ht="22.35" hidden="false" customHeight="false" outlineLevel="0" collapsed="false">
      <c r="A35" s="54" t="s">
        <v>137</v>
      </c>
      <c r="B35" s="55" t="s">
        <v>138</v>
      </c>
      <c r="C35" s="55" t="s">
        <v>139</v>
      </c>
      <c r="D35" s="55" t="s">
        <v>60</v>
      </c>
    </row>
    <row r="36" customFormat="false" ht="22.35" hidden="false" customHeight="false" outlineLevel="0" collapsed="false">
      <c r="A36" s="54" t="s">
        <v>140</v>
      </c>
      <c r="B36" s="55" t="s">
        <v>141</v>
      </c>
      <c r="C36" s="55" t="s">
        <v>142</v>
      </c>
      <c r="D36" s="55" t="s">
        <v>64</v>
      </c>
    </row>
    <row r="37" customFormat="false" ht="22.35" hidden="false" customHeight="false" outlineLevel="0" collapsed="false">
      <c r="A37" s="54" t="s">
        <v>143</v>
      </c>
      <c r="B37" s="55" t="s">
        <v>144</v>
      </c>
      <c r="C37" s="55" t="s">
        <v>145</v>
      </c>
      <c r="D37" s="55" t="s">
        <v>60</v>
      </c>
    </row>
    <row r="38" customFormat="false" ht="22.35" hidden="false" customHeight="false" outlineLevel="0" collapsed="false">
      <c r="A38" s="54" t="s">
        <v>146</v>
      </c>
      <c r="B38" s="55" t="s">
        <v>147</v>
      </c>
      <c r="C38" s="55" t="s">
        <v>148</v>
      </c>
      <c r="D38" s="55" t="s">
        <v>64</v>
      </c>
    </row>
    <row r="39" customFormat="false" ht="22.35" hidden="false" customHeight="false" outlineLevel="0" collapsed="false">
      <c r="A39" s="54" t="s">
        <v>149</v>
      </c>
      <c r="B39" s="55" t="s">
        <v>150</v>
      </c>
      <c r="C39" s="55" t="s">
        <v>151</v>
      </c>
      <c r="D39" s="55" t="s">
        <v>60</v>
      </c>
    </row>
    <row r="40" customFormat="false" ht="22.35" hidden="false" customHeight="false" outlineLevel="0" collapsed="false">
      <c r="A40" s="54" t="s">
        <v>152</v>
      </c>
      <c r="B40" s="55" t="s">
        <v>153</v>
      </c>
      <c r="C40" s="55" t="s">
        <v>154</v>
      </c>
      <c r="D40" s="55" t="s">
        <v>64</v>
      </c>
    </row>
    <row r="41" customFormat="false" ht="22.35" hidden="false" customHeight="false" outlineLevel="0" collapsed="false">
      <c r="A41" s="54" t="s">
        <v>155</v>
      </c>
      <c r="B41" s="55" t="s">
        <v>156</v>
      </c>
      <c r="C41" s="55" t="s">
        <v>157</v>
      </c>
      <c r="D41" s="55" t="s">
        <v>60</v>
      </c>
    </row>
    <row r="42" customFormat="false" ht="22.35" hidden="false" customHeight="false" outlineLevel="0" collapsed="false">
      <c r="A42" s="54" t="s">
        <v>158</v>
      </c>
      <c r="B42" s="55" t="s">
        <v>159</v>
      </c>
      <c r="C42" s="55" t="s">
        <v>160</v>
      </c>
      <c r="D42" s="55" t="s">
        <v>64</v>
      </c>
    </row>
    <row r="43" customFormat="false" ht="22.35" hidden="false" customHeight="false" outlineLevel="0" collapsed="false">
      <c r="A43" s="54" t="s">
        <v>161</v>
      </c>
      <c r="B43" s="55" t="s">
        <v>162</v>
      </c>
      <c r="C43" s="55" t="s">
        <v>163</v>
      </c>
      <c r="D43" s="55" t="s">
        <v>60</v>
      </c>
    </row>
    <row r="44" customFormat="false" ht="22.35" hidden="false" customHeight="false" outlineLevel="0" collapsed="false">
      <c r="A44" s="54" t="s">
        <v>164</v>
      </c>
      <c r="B44" s="55" t="s">
        <v>165</v>
      </c>
      <c r="C44" s="55" t="s">
        <v>166</v>
      </c>
      <c r="D44" s="55" t="s">
        <v>64</v>
      </c>
    </row>
    <row r="45" customFormat="false" ht="22.35" hidden="false" customHeight="false" outlineLevel="0" collapsed="false">
      <c r="A45" s="54" t="s">
        <v>167</v>
      </c>
      <c r="B45" s="55" t="s">
        <v>168</v>
      </c>
      <c r="C45" s="55" t="s">
        <v>169</v>
      </c>
      <c r="D45" s="55" t="s">
        <v>60</v>
      </c>
    </row>
    <row r="46" customFormat="false" ht="22.35" hidden="false" customHeight="false" outlineLevel="0" collapsed="false">
      <c r="A46" s="54" t="s">
        <v>170</v>
      </c>
      <c r="B46" s="55" t="s">
        <v>171</v>
      </c>
      <c r="C46" s="55" t="s">
        <v>172</v>
      </c>
      <c r="D46" s="55" t="s">
        <v>64</v>
      </c>
    </row>
    <row r="47" customFormat="false" ht="22.35" hidden="false" customHeight="false" outlineLevel="0" collapsed="false">
      <c r="A47" s="54" t="s">
        <v>173</v>
      </c>
      <c r="B47" s="55" t="s">
        <v>174</v>
      </c>
      <c r="C47" s="55" t="s">
        <v>175</v>
      </c>
      <c r="D47" s="55" t="s">
        <v>60</v>
      </c>
    </row>
    <row r="48" customFormat="false" ht="22.35" hidden="false" customHeight="false" outlineLevel="0" collapsed="false">
      <c r="A48" s="54" t="s">
        <v>176</v>
      </c>
      <c r="B48" s="55" t="s">
        <v>177</v>
      </c>
      <c r="C48" s="55" t="s">
        <v>178</v>
      </c>
      <c r="D48" s="55" t="s">
        <v>64</v>
      </c>
    </row>
    <row r="49" customFormat="false" ht="22.35" hidden="false" customHeight="false" outlineLevel="0" collapsed="false">
      <c r="A49" s="54" t="s">
        <v>179</v>
      </c>
      <c r="B49" s="55" t="s">
        <v>180</v>
      </c>
      <c r="C49" s="55" t="s">
        <v>181</v>
      </c>
      <c r="D49" s="55" t="s">
        <v>60</v>
      </c>
    </row>
    <row r="50" customFormat="false" ht="22.35" hidden="false" customHeight="false" outlineLevel="0" collapsed="false">
      <c r="A50" s="54" t="s">
        <v>182</v>
      </c>
      <c r="B50" s="55" t="s">
        <v>183</v>
      </c>
      <c r="C50" s="55" t="s">
        <v>184</v>
      </c>
      <c r="D50" s="55" t="s">
        <v>64</v>
      </c>
    </row>
    <row r="51" customFormat="false" ht="22.35" hidden="false" customHeight="false" outlineLevel="0" collapsed="false">
      <c r="A51" s="54" t="s">
        <v>185</v>
      </c>
      <c r="B51" s="55" t="s">
        <v>186</v>
      </c>
      <c r="C51" s="55" t="s">
        <v>187</v>
      </c>
      <c r="D51" s="55" t="s">
        <v>60</v>
      </c>
    </row>
    <row r="52" customFormat="false" ht="22.35" hidden="false" customHeight="false" outlineLevel="0" collapsed="false">
      <c r="A52" s="54" t="s">
        <v>188</v>
      </c>
      <c r="B52" s="55" t="s">
        <v>189</v>
      </c>
      <c r="C52" s="55" t="s">
        <v>190</v>
      </c>
      <c r="D52" s="55" t="s">
        <v>64</v>
      </c>
    </row>
    <row r="53" customFormat="false" ht="22.35" hidden="false" customHeight="false" outlineLevel="0" collapsed="false">
      <c r="A53" s="54" t="s">
        <v>191</v>
      </c>
      <c r="B53" s="55" t="s">
        <v>192</v>
      </c>
      <c r="C53" s="55" t="s">
        <v>193</v>
      </c>
      <c r="D53" s="55" t="s">
        <v>60</v>
      </c>
    </row>
    <row r="54" customFormat="false" ht="22.35" hidden="false" customHeight="false" outlineLevel="0" collapsed="false">
      <c r="A54" s="54" t="s">
        <v>194</v>
      </c>
      <c r="B54" s="55" t="s">
        <v>195</v>
      </c>
      <c r="C54" s="55" t="s">
        <v>196</v>
      </c>
      <c r="D54" s="55" t="s">
        <v>64</v>
      </c>
    </row>
    <row r="55" customFormat="false" ht="22.35" hidden="false" customHeight="false" outlineLevel="0" collapsed="false">
      <c r="A55" s="54" t="s">
        <v>197</v>
      </c>
      <c r="B55" s="55" t="s">
        <v>198</v>
      </c>
      <c r="C55" s="55" t="s">
        <v>199</v>
      </c>
      <c r="D55" s="55" t="s">
        <v>60</v>
      </c>
    </row>
    <row r="56" customFormat="false" ht="22.35" hidden="false" customHeight="false" outlineLevel="0" collapsed="false">
      <c r="A56" s="54" t="s">
        <v>200</v>
      </c>
      <c r="B56" s="55" t="s">
        <v>201</v>
      </c>
      <c r="C56" s="55" t="s">
        <v>202</v>
      </c>
      <c r="D56" s="55" t="s">
        <v>64</v>
      </c>
    </row>
    <row r="57" customFormat="false" ht="22.35" hidden="false" customHeight="false" outlineLevel="0" collapsed="false">
      <c r="A57" s="54" t="s">
        <v>203</v>
      </c>
      <c r="B57" s="55" t="s">
        <v>204</v>
      </c>
      <c r="C57" s="55" t="s">
        <v>205</v>
      </c>
      <c r="D57" s="55" t="s">
        <v>60</v>
      </c>
    </row>
    <row r="58" customFormat="false" ht="22.35" hidden="false" customHeight="false" outlineLevel="0" collapsed="false">
      <c r="A58" s="54" t="s">
        <v>206</v>
      </c>
      <c r="B58" s="55" t="s">
        <v>207</v>
      </c>
      <c r="C58" s="55" t="s">
        <v>208</v>
      </c>
      <c r="D58" s="55" t="s">
        <v>64</v>
      </c>
    </row>
    <row r="59" customFormat="false" ht="22.35" hidden="false" customHeight="false" outlineLevel="0" collapsed="false">
      <c r="A59" s="54" t="s">
        <v>209</v>
      </c>
      <c r="B59" s="55" t="s">
        <v>210</v>
      </c>
      <c r="C59" s="55" t="s">
        <v>211</v>
      </c>
      <c r="D59" s="55" t="s">
        <v>60</v>
      </c>
    </row>
    <row r="60" customFormat="false" ht="22.35" hidden="false" customHeight="false" outlineLevel="0" collapsed="false">
      <c r="A60" s="54" t="s">
        <v>212</v>
      </c>
      <c r="B60" s="55" t="s">
        <v>213</v>
      </c>
      <c r="C60" s="55" t="s">
        <v>214</v>
      </c>
      <c r="D60" s="55" t="s">
        <v>64</v>
      </c>
    </row>
    <row r="61" customFormat="false" ht="22.35" hidden="false" customHeight="false" outlineLevel="0" collapsed="false">
      <c r="A61" s="54" t="s">
        <v>215</v>
      </c>
      <c r="B61" s="55" t="s">
        <v>216</v>
      </c>
      <c r="C61" s="55" t="s">
        <v>217</v>
      </c>
      <c r="D61" s="55" t="s">
        <v>60</v>
      </c>
    </row>
    <row r="62" customFormat="false" ht="22.35" hidden="false" customHeight="false" outlineLevel="0" collapsed="false">
      <c r="A62" s="54" t="s">
        <v>218</v>
      </c>
      <c r="B62" s="55" t="s">
        <v>219</v>
      </c>
      <c r="C62" s="55" t="s">
        <v>220</v>
      </c>
      <c r="D62" s="55" t="s">
        <v>64</v>
      </c>
    </row>
    <row r="63" customFormat="false" ht="22.35" hidden="false" customHeight="false" outlineLevel="0" collapsed="false">
      <c r="A63" s="54" t="s">
        <v>221</v>
      </c>
      <c r="B63" s="55" t="s">
        <v>222</v>
      </c>
      <c r="C63" s="55" t="s">
        <v>223</v>
      </c>
      <c r="D63" s="55" t="s">
        <v>60</v>
      </c>
    </row>
    <row r="64" customFormat="false" ht="22.35" hidden="false" customHeight="false" outlineLevel="0" collapsed="false">
      <c r="A64" s="54" t="s">
        <v>224</v>
      </c>
      <c r="B64" s="55" t="s">
        <v>225</v>
      </c>
      <c r="C64" s="55" t="s">
        <v>226</v>
      </c>
      <c r="D64" s="55" t="s">
        <v>64</v>
      </c>
    </row>
    <row r="65" customFormat="false" ht="22.35" hidden="false" customHeight="false" outlineLevel="0" collapsed="false">
      <c r="A65" s="54" t="s">
        <v>227</v>
      </c>
      <c r="B65" s="55" t="s">
        <v>228</v>
      </c>
      <c r="C65" s="55" t="s">
        <v>229</v>
      </c>
      <c r="D65" s="55" t="s">
        <v>60</v>
      </c>
    </row>
    <row r="66" customFormat="false" ht="22.35" hidden="false" customHeight="false" outlineLevel="0" collapsed="false">
      <c r="A66" s="54" t="s">
        <v>230</v>
      </c>
      <c r="B66" s="55" t="s">
        <v>231</v>
      </c>
      <c r="C66" s="55" t="s">
        <v>232</v>
      </c>
      <c r="D66" s="55" t="s">
        <v>64</v>
      </c>
    </row>
    <row r="67" customFormat="false" ht="22.35" hidden="false" customHeight="false" outlineLevel="0" collapsed="false">
      <c r="A67" s="54" t="s">
        <v>233</v>
      </c>
      <c r="B67" s="55" t="s">
        <v>234</v>
      </c>
      <c r="C67" s="55" t="s">
        <v>235</v>
      </c>
      <c r="D67" s="55" t="s">
        <v>60</v>
      </c>
    </row>
    <row r="68" customFormat="false" ht="22.35" hidden="false" customHeight="false" outlineLevel="0" collapsed="false">
      <c r="A68" s="54" t="s">
        <v>236</v>
      </c>
      <c r="B68" s="55" t="s">
        <v>237</v>
      </c>
      <c r="C68" s="55" t="s">
        <v>238</v>
      </c>
      <c r="D68" s="55" t="s">
        <v>64</v>
      </c>
    </row>
    <row r="69" customFormat="false" ht="22.35" hidden="false" customHeight="false" outlineLevel="0" collapsed="false">
      <c r="A69" s="54" t="s">
        <v>239</v>
      </c>
      <c r="B69" s="55" t="s">
        <v>240</v>
      </c>
      <c r="C69" s="55" t="s">
        <v>241</v>
      </c>
      <c r="D69" s="55" t="s">
        <v>60</v>
      </c>
    </row>
    <row r="70" customFormat="false" ht="22.35" hidden="false" customHeight="false" outlineLevel="0" collapsed="false">
      <c r="A70" s="54" t="s">
        <v>242</v>
      </c>
      <c r="B70" s="55" t="s">
        <v>243</v>
      </c>
      <c r="C70" s="55" t="s">
        <v>244</v>
      </c>
      <c r="D70" s="55" t="s">
        <v>64</v>
      </c>
    </row>
    <row r="71" customFormat="false" ht="22.35" hidden="false" customHeight="false" outlineLevel="0" collapsed="false">
      <c r="A71" s="54" t="s">
        <v>245</v>
      </c>
      <c r="B71" s="55" t="s">
        <v>246</v>
      </c>
      <c r="C71" s="55" t="s">
        <v>247</v>
      </c>
      <c r="D71" s="55" t="s">
        <v>60</v>
      </c>
    </row>
    <row r="72" customFormat="false" ht="22.35" hidden="false" customHeight="false" outlineLevel="0" collapsed="false">
      <c r="A72" s="54" t="s">
        <v>248</v>
      </c>
      <c r="B72" s="55" t="s">
        <v>249</v>
      </c>
      <c r="C72" s="55" t="s">
        <v>250</v>
      </c>
      <c r="D72" s="55" t="s">
        <v>64</v>
      </c>
    </row>
    <row r="73" customFormat="false" ht="22.35" hidden="false" customHeight="false" outlineLevel="0" collapsed="false">
      <c r="A73" s="54" t="s">
        <v>251</v>
      </c>
      <c r="B73" s="55" t="s">
        <v>252</v>
      </c>
      <c r="C73" s="55" t="s">
        <v>253</v>
      </c>
      <c r="D73" s="55" t="s">
        <v>60</v>
      </c>
    </row>
    <row r="74" customFormat="false" ht="22.35" hidden="false" customHeight="false" outlineLevel="0" collapsed="false">
      <c r="A74" s="54" t="s">
        <v>254</v>
      </c>
      <c r="B74" s="55" t="s">
        <v>255</v>
      </c>
      <c r="C74" s="55" t="s">
        <v>256</v>
      </c>
      <c r="D74" s="55" t="s">
        <v>64</v>
      </c>
    </row>
    <row r="75" customFormat="false" ht="22.35" hidden="false" customHeight="false" outlineLevel="0" collapsed="false">
      <c r="A75" s="54" t="s">
        <v>257</v>
      </c>
      <c r="B75" s="55" t="s">
        <v>258</v>
      </c>
      <c r="C75" s="55" t="s">
        <v>259</v>
      </c>
      <c r="D75" s="55" t="s">
        <v>60</v>
      </c>
    </row>
    <row r="76" customFormat="false" ht="22.35" hidden="false" customHeight="false" outlineLevel="0" collapsed="false">
      <c r="A76" s="54" t="s">
        <v>260</v>
      </c>
      <c r="B76" s="55" t="s">
        <v>261</v>
      </c>
      <c r="C76" s="55" t="s">
        <v>262</v>
      </c>
      <c r="D76" s="55" t="s">
        <v>64</v>
      </c>
    </row>
    <row r="77" customFormat="false" ht="22.35" hidden="false" customHeight="false" outlineLevel="0" collapsed="false">
      <c r="A77" s="54" t="s">
        <v>263</v>
      </c>
      <c r="B77" s="55" t="s">
        <v>264</v>
      </c>
      <c r="C77" s="55" t="s">
        <v>265</v>
      </c>
      <c r="D77" s="55" t="s">
        <v>60</v>
      </c>
    </row>
    <row r="78" customFormat="false" ht="22.35" hidden="false" customHeight="false" outlineLevel="0" collapsed="false">
      <c r="A78" s="54" t="s">
        <v>266</v>
      </c>
      <c r="B78" s="55" t="s">
        <v>267</v>
      </c>
      <c r="C78" s="55" t="s">
        <v>268</v>
      </c>
      <c r="D78" s="55" t="s">
        <v>64</v>
      </c>
    </row>
    <row r="79" customFormat="false" ht="22.35" hidden="false" customHeight="false" outlineLevel="0" collapsed="false">
      <c r="A79" s="54" t="s">
        <v>269</v>
      </c>
      <c r="B79" s="55" t="s">
        <v>270</v>
      </c>
      <c r="C79" s="55" t="s">
        <v>271</v>
      </c>
      <c r="D79" s="55" t="s">
        <v>60</v>
      </c>
    </row>
    <row r="80" customFormat="false" ht="22.35" hidden="false" customHeight="false" outlineLevel="0" collapsed="false">
      <c r="A80" s="54" t="s">
        <v>272</v>
      </c>
      <c r="B80" s="55" t="s">
        <v>273</v>
      </c>
      <c r="C80" s="55" t="s">
        <v>274</v>
      </c>
      <c r="D80" s="55" t="s">
        <v>64</v>
      </c>
    </row>
    <row r="81" customFormat="false" ht="22.35" hidden="false" customHeight="false" outlineLevel="0" collapsed="false">
      <c r="A81" s="54" t="s">
        <v>61</v>
      </c>
      <c r="B81" s="55" t="s">
        <v>63</v>
      </c>
      <c r="C81" s="55" t="s">
        <v>275</v>
      </c>
      <c r="D81" s="55" t="s">
        <v>276</v>
      </c>
    </row>
    <row r="82" customFormat="false" ht="22.35" hidden="false" customHeight="false" outlineLevel="0" collapsed="false">
      <c r="A82" s="54" t="s">
        <v>68</v>
      </c>
      <c r="B82" s="55" t="s">
        <v>70</v>
      </c>
      <c r="C82" s="55" t="s">
        <v>277</v>
      </c>
      <c r="D82" s="55" t="s">
        <v>276</v>
      </c>
    </row>
    <row r="83" customFormat="false" ht="22.35" hidden="false" customHeight="false" outlineLevel="0" collapsed="false">
      <c r="A83" s="54" t="s">
        <v>74</v>
      </c>
      <c r="B83" s="55" t="s">
        <v>76</v>
      </c>
      <c r="C83" s="55" t="s">
        <v>278</v>
      </c>
      <c r="D83" s="55" t="s">
        <v>276</v>
      </c>
    </row>
    <row r="84" customFormat="false" ht="22.35" hidden="false" customHeight="false" outlineLevel="0" collapsed="false">
      <c r="A84" s="54" t="s">
        <v>80</v>
      </c>
      <c r="B84" s="55" t="s">
        <v>82</v>
      </c>
      <c r="C84" s="55" t="s">
        <v>279</v>
      </c>
      <c r="D84" s="55" t="s">
        <v>276</v>
      </c>
    </row>
    <row r="85" customFormat="false" ht="22.35" hidden="false" customHeight="false" outlineLevel="0" collapsed="false">
      <c r="A85" s="54" t="s">
        <v>86</v>
      </c>
      <c r="B85" s="55" t="s">
        <v>88</v>
      </c>
      <c r="C85" s="55" t="s">
        <v>280</v>
      </c>
      <c r="D85" s="55" t="s">
        <v>276</v>
      </c>
    </row>
    <row r="86" customFormat="false" ht="22.35" hidden="false" customHeight="false" outlineLevel="0" collapsed="false">
      <c r="A86" s="54" t="s">
        <v>92</v>
      </c>
      <c r="B86" s="55" t="s">
        <v>94</v>
      </c>
      <c r="C86" s="55" t="s">
        <v>281</v>
      </c>
      <c r="D86" s="55" t="s">
        <v>276</v>
      </c>
    </row>
    <row r="87" customFormat="false" ht="22.35" hidden="false" customHeight="false" outlineLevel="0" collapsed="false">
      <c r="A87" s="54" t="s">
        <v>98</v>
      </c>
      <c r="B87" s="55" t="s">
        <v>100</v>
      </c>
      <c r="C87" s="55" t="s">
        <v>282</v>
      </c>
      <c r="D87" s="55" t="s">
        <v>276</v>
      </c>
    </row>
    <row r="88" customFormat="false" ht="22.35" hidden="false" customHeight="false" outlineLevel="0" collapsed="false">
      <c r="A88" s="54" t="s">
        <v>104</v>
      </c>
      <c r="B88" s="55" t="s">
        <v>106</v>
      </c>
      <c r="C88" s="55" t="s">
        <v>283</v>
      </c>
      <c r="D88" s="55" t="s">
        <v>276</v>
      </c>
    </row>
    <row r="89" customFormat="false" ht="22.35" hidden="false" customHeight="false" outlineLevel="0" collapsed="false">
      <c r="A89" s="54" t="s">
        <v>110</v>
      </c>
      <c r="B89" s="55" t="s">
        <v>112</v>
      </c>
      <c r="C89" s="55" t="s">
        <v>284</v>
      </c>
      <c r="D89" s="55" t="s">
        <v>276</v>
      </c>
    </row>
    <row r="90" customFormat="false" ht="22.35" hidden="false" customHeight="false" outlineLevel="0" collapsed="false">
      <c r="A90" s="54" t="s">
        <v>116</v>
      </c>
      <c r="B90" s="55" t="s">
        <v>118</v>
      </c>
      <c r="C90" s="55" t="s">
        <v>285</v>
      </c>
      <c r="D90" s="55" t="s">
        <v>276</v>
      </c>
    </row>
    <row r="91" customFormat="false" ht="22.35" hidden="false" customHeight="false" outlineLevel="0" collapsed="false">
      <c r="A91" s="54" t="s">
        <v>122</v>
      </c>
      <c r="B91" s="55" t="s">
        <v>124</v>
      </c>
      <c r="C91" s="55" t="s">
        <v>286</v>
      </c>
      <c r="D91" s="55" t="s">
        <v>276</v>
      </c>
    </row>
    <row r="92" customFormat="false" ht="22.35" hidden="false" customHeight="false" outlineLevel="0" collapsed="false">
      <c r="A92" s="54" t="s">
        <v>128</v>
      </c>
      <c r="B92" s="55" t="s">
        <v>130</v>
      </c>
      <c r="C92" s="55" t="s">
        <v>287</v>
      </c>
      <c r="D92" s="55" t="s">
        <v>276</v>
      </c>
    </row>
    <row r="93" customFormat="false" ht="22.35" hidden="false" customHeight="false" outlineLevel="0" collapsed="false">
      <c r="A93" s="54" t="s">
        <v>134</v>
      </c>
      <c r="B93" s="55" t="s">
        <v>136</v>
      </c>
      <c r="C93" s="55" t="s">
        <v>288</v>
      </c>
      <c r="D93" s="55" t="s">
        <v>276</v>
      </c>
    </row>
    <row r="94" customFormat="false" ht="22.35" hidden="false" customHeight="false" outlineLevel="0" collapsed="false">
      <c r="A94" s="54" t="s">
        <v>140</v>
      </c>
      <c r="B94" s="55" t="s">
        <v>142</v>
      </c>
      <c r="C94" s="55" t="s">
        <v>289</v>
      </c>
      <c r="D94" s="55" t="s">
        <v>276</v>
      </c>
    </row>
    <row r="95" customFormat="false" ht="22.35" hidden="false" customHeight="false" outlineLevel="0" collapsed="false">
      <c r="A95" s="54" t="s">
        <v>146</v>
      </c>
      <c r="B95" s="55" t="s">
        <v>148</v>
      </c>
      <c r="C95" s="55" t="s">
        <v>290</v>
      </c>
      <c r="D95" s="55" t="s">
        <v>276</v>
      </c>
    </row>
    <row r="96" customFormat="false" ht="22.35" hidden="false" customHeight="false" outlineLevel="0" collapsed="false">
      <c r="A96" s="54" t="s">
        <v>152</v>
      </c>
      <c r="B96" s="55" t="s">
        <v>154</v>
      </c>
      <c r="C96" s="55" t="s">
        <v>291</v>
      </c>
      <c r="D96" s="55" t="s">
        <v>276</v>
      </c>
    </row>
    <row r="97" customFormat="false" ht="22.35" hidden="false" customHeight="false" outlineLevel="0" collapsed="false">
      <c r="A97" s="54" t="s">
        <v>158</v>
      </c>
      <c r="B97" s="55" t="s">
        <v>160</v>
      </c>
      <c r="C97" s="55" t="s">
        <v>292</v>
      </c>
      <c r="D97" s="55" t="s">
        <v>276</v>
      </c>
    </row>
    <row r="98" customFormat="false" ht="22.35" hidden="false" customHeight="false" outlineLevel="0" collapsed="false">
      <c r="A98" s="54" t="s">
        <v>164</v>
      </c>
      <c r="B98" s="55" t="s">
        <v>166</v>
      </c>
      <c r="C98" s="55" t="s">
        <v>293</v>
      </c>
      <c r="D98" s="55" t="s">
        <v>276</v>
      </c>
    </row>
    <row r="99" customFormat="false" ht="22.35" hidden="false" customHeight="false" outlineLevel="0" collapsed="false">
      <c r="A99" s="54" t="s">
        <v>170</v>
      </c>
      <c r="B99" s="55" t="s">
        <v>172</v>
      </c>
      <c r="C99" s="55" t="s">
        <v>294</v>
      </c>
      <c r="D99" s="55" t="s">
        <v>276</v>
      </c>
    </row>
    <row r="100" customFormat="false" ht="22.35" hidden="false" customHeight="false" outlineLevel="0" collapsed="false">
      <c r="A100" s="54" t="s">
        <v>176</v>
      </c>
      <c r="B100" s="55" t="s">
        <v>178</v>
      </c>
      <c r="C100" s="55" t="s">
        <v>295</v>
      </c>
      <c r="D100" s="55" t="s">
        <v>276</v>
      </c>
    </row>
    <row r="101" customFormat="false" ht="22.35" hidden="false" customHeight="false" outlineLevel="0" collapsed="false">
      <c r="A101" s="54" t="s">
        <v>182</v>
      </c>
      <c r="B101" s="55" t="s">
        <v>184</v>
      </c>
      <c r="C101" s="55" t="s">
        <v>296</v>
      </c>
      <c r="D101" s="55" t="s">
        <v>276</v>
      </c>
    </row>
    <row r="102" customFormat="false" ht="22.35" hidden="false" customHeight="false" outlineLevel="0" collapsed="false">
      <c r="A102" s="54" t="s">
        <v>188</v>
      </c>
      <c r="B102" s="55" t="s">
        <v>190</v>
      </c>
      <c r="C102" s="55" t="s">
        <v>297</v>
      </c>
      <c r="D102" s="55" t="s">
        <v>276</v>
      </c>
    </row>
    <row r="103" customFormat="false" ht="22.35" hidden="false" customHeight="false" outlineLevel="0" collapsed="false">
      <c r="A103" s="54" t="s">
        <v>194</v>
      </c>
      <c r="B103" s="55" t="s">
        <v>196</v>
      </c>
      <c r="C103" s="55" t="s">
        <v>298</v>
      </c>
      <c r="D103" s="55" t="s">
        <v>276</v>
      </c>
    </row>
    <row r="104" customFormat="false" ht="22.35" hidden="false" customHeight="false" outlineLevel="0" collapsed="false">
      <c r="A104" s="54" t="s">
        <v>200</v>
      </c>
      <c r="B104" s="55" t="s">
        <v>202</v>
      </c>
      <c r="C104" s="55" t="s">
        <v>299</v>
      </c>
      <c r="D104" s="55" t="s">
        <v>276</v>
      </c>
    </row>
    <row r="105" customFormat="false" ht="22.35" hidden="false" customHeight="false" outlineLevel="0" collapsed="false">
      <c r="A105" s="54" t="s">
        <v>206</v>
      </c>
      <c r="B105" s="55" t="s">
        <v>208</v>
      </c>
      <c r="C105" s="55" t="s">
        <v>300</v>
      </c>
      <c r="D105" s="55" t="s">
        <v>276</v>
      </c>
    </row>
    <row r="106" customFormat="false" ht="22.35" hidden="false" customHeight="false" outlineLevel="0" collapsed="false">
      <c r="A106" s="54" t="s">
        <v>212</v>
      </c>
      <c r="B106" s="55" t="s">
        <v>214</v>
      </c>
      <c r="C106" s="55" t="s">
        <v>301</v>
      </c>
      <c r="D106" s="55" t="s">
        <v>276</v>
      </c>
    </row>
    <row r="107" customFormat="false" ht="22.35" hidden="false" customHeight="false" outlineLevel="0" collapsed="false">
      <c r="A107" s="54" t="s">
        <v>218</v>
      </c>
      <c r="B107" s="55" t="s">
        <v>220</v>
      </c>
      <c r="C107" s="55" t="s">
        <v>302</v>
      </c>
      <c r="D107" s="55" t="s">
        <v>276</v>
      </c>
    </row>
    <row r="108" customFormat="false" ht="22.35" hidden="false" customHeight="false" outlineLevel="0" collapsed="false">
      <c r="A108" s="54" t="s">
        <v>224</v>
      </c>
      <c r="B108" s="55" t="s">
        <v>226</v>
      </c>
      <c r="C108" s="55" t="s">
        <v>303</v>
      </c>
      <c r="D108" s="55" t="s">
        <v>276</v>
      </c>
    </row>
    <row r="109" customFormat="false" ht="22.35" hidden="false" customHeight="false" outlineLevel="0" collapsed="false">
      <c r="A109" s="54" t="s">
        <v>230</v>
      </c>
      <c r="B109" s="55" t="s">
        <v>232</v>
      </c>
      <c r="C109" s="55" t="s">
        <v>304</v>
      </c>
      <c r="D109" s="55" t="s">
        <v>276</v>
      </c>
    </row>
    <row r="110" customFormat="false" ht="22.35" hidden="false" customHeight="false" outlineLevel="0" collapsed="false">
      <c r="A110" s="54" t="s">
        <v>236</v>
      </c>
      <c r="B110" s="55" t="s">
        <v>238</v>
      </c>
      <c r="C110" s="55" t="s">
        <v>305</v>
      </c>
      <c r="D110" s="55" t="s">
        <v>276</v>
      </c>
    </row>
    <row r="111" customFormat="false" ht="22.35" hidden="false" customHeight="false" outlineLevel="0" collapsed="false">
      <c r="A111" s="54" t="s">
        <v>242</v>
      </c>
      <c r="B111" s="55" t="s">
        <v>244</v>
      </c>
      <c r="C111" s="55" t="s">
        <v>306</v>
      </c>
      <c r="D111" s="55" t="s">
        <v>276</v>
      </c>
    </row>
    <row r="112" customFormat="false" ht="22.35" hidden="false" customHeight="false" outlineLevel="0" collapsed="false">
      <c r="A112" s="54" t="s">
        <v>248</v>
      </c>
      <c r="B112" s="55" t="s">
        <v>250</v>
      </c>
      <c r="C112" s="55" t="s">
        <v>307</v>
      </c>
      <c r="D112" s="55" t="s">
        <v>276</v>
      </c>
    </row>
    <row r="113" customFormat="false" ht="22.35" hidden="false" customHeight="false" outlineLevel="0" collapsed="false">
      <c r="A113" s="54" t="s">
        <v>254</v>
      </c>
      <c r="B113" s="55" t="s">
        <v>256</v>
      </c>
      <c r="C113" s="55" t="s">
        <v>308</v>
      </c>
      <c r="D113" s="55" t="s">
        <v>276</v>
      </c>
    </row>
    <row r="114" customFormat="false" ht="22.35" hidden="false" customHeight="false" outlineLevel="0" collapsed="false">
      <c r="A114" s="54" t="s">
        <v>260</v>
      </c>
      <c r="B114" s="55" t="s">
        <v>262</v>
      </c>
      <c r="C114" s="55" t="s">
        <v>309</v>
      </c>
      <c r="D114" s="55" t="s">
        <v>276</v>
      </c>
    </row>
    <row r="115" customFormat="false" ht="22.35" hidden="false" customHeight="false" outlineLevel="0" collapsed="false">
      <c r="A115" s="54" t="s">
        <v>266</v>
      </c>
      <c r="B115" s="55" t="s">
        <v>268</v>
      </c>
      <c r="C115" s="55" t="s">
        <v>310</v>
      </c>
      <c r="D115" s="55" t="s">
        <v>276</v>
      </c>
    </row>
    <row r="116" customFormat="false" ht="22.35" hidden="false" customHeight="false" outlineLevel="0" collapsed="false">
      <c r="A116" s="54" t="s">
        <v>272</v>
      </c>
      <c r="B116" s="55" t="s">
        <v>274</v>
      </c>
      <c r="C116" s="55" t="s">
        <v>311</v>
      </c>
      <c r="D116" s="55" t="s">
        <v>276</v>
      </c>
    </row>
    <row r="117" customFormat="false" ht="15" hidden="false" customHeight="false" outlineLevel="0" collapsed="false">
      <c r="A117" s="54" t="s">
        <v>312</v>
      </c>
      <c r="B117" s="55" t="s">
        <v>313</v>
      </c>
      <c r="C117" s="55" t="s">
        <v>14</v>
      </c>
      <c r="D117" s="55" t="s">
        <v>314</v>
      </c>
    </row>
    <row r="118" customFormat="false" ht="22.35" hidden="false" customHeight="false" outlineLevel="0" collapsed="false">
      <c r="A118" s="54" t="s">
        <v>315</v>
      </c>
      <c r="B118" s="55" t="s">
        <v>316</v>
      </c>
      <c r="C118" s="55" t="s">
        <v>317</v>
      </c>
      <c r="D118" s="55" t="s">
        <v>318</v>
      </c>
    </row>
    <row r="119" customFormat="false" ht="22.35" hidden="false" customHeight="false" outlineLevel="0" collapsed="false">
      <c r="A119" s="54" t="s">
        <v>319</v>
      </c>
      <c r="B119" s="55" t="s">
        <v>320</v>
      </c>
      <c r="C119" s="55" t="s">
        <v>321</v>
      </c>
      <c r="D119" s="55" t="s">
        <v>318</v>
      </c>
    </row>
    <row r="120" customFormat="false" ht="22.35" hidden="false" customHeight="false" outlineLevel="0" collapsed="false">
      <c r="A120" s="54" t="s">
        <v>322</v>
      </c>
      <c r="B120" s="55" t="s">
        <v>323</v>
      </c>
      <c r="C120" s="55" t="s">
        <v>324</v>
      </c>
      <c r="D120" s="55" t="s">
        <v>318</v>
      </c>
    </row>
    <row r="121" customFormat="false" ht="22.35" hidden="false" customHeight="false" outlineLevel="0" collapsed="false">
      <c r="A121" s="54" t="s">
        <v>325</v>
      </c>
      <c r="B121" s="55" t="s">
        <v>326</v>
      </c>
      <c r="C121" s="55" t="s">
        <v>327</v>
      </c>
      <c r="D121" s="55" t="s">
        <v>318</v>
      </c>
    </row>
    <row r="122" customFormat="false" ht="22.35" hidden="false" customHeight="false" outlineLevel="0" collapsed="false">
      <c r="A122" s="54" t="s">
        <v>328</v>
      </c>
      <c r="B122" s="55" t="s">
        <v>329</v>
      </c>
      <c r="C122" s="55" t="s">
        <v>330</v>
      </c>
      <c r="D122" s="55" t="s">
        <v>318</v>
      </c>
    </row>
    <row r="123" customFormat="false" ht="22.35" hidden="false" customHeight="false" outlineLevel="0" collapsed="false">
      <c r="A123" s="54" t="s">
        <v>331</v>
      </c>
      <c r="B123" s="55" t="s">
        <v>332</v>
      </c>
      <c r="C123" s="55" t="s">
        <v>333</v>
      </c>
      <c r="D123" s="55" t="s">
        <v>318</v>
      </c>
    </row>
    <row r="124" customFormat="false" ht="22.35" hidden="false" customHeight="false" outlineLevel="0" collapsed="false">
      <c r="A124" s="54" t="s">
        <v>334</v>
      </c>
      <c r="B124" s="55" t="s">
        <v>335</v>
      </c>
      <c r="C124" s="55" t="s">
        <v>336</v>
      </c>
      <c r="D124" s="55" t="s">
        <v>318</v>
      </c>
    </row>
    <row r="125" customFormat="false" ht="22.35" hidden="false" customHeight="false" outlineLevel="0" collapsed="false">
      <c r="A125" s="54" t="s">
        <v>337</v>
      </c>
      <c r="B125" s="55" t="s">
        <v>338</v>
      </c>
      <c r="C125" s="55" t="s">
        <v>339</v>
      </c>
      <c r="D125" s="55" t="s">
        <v>318</v>
      </c>
    </row>
    <row r="126" customFormat="false" ht="22.35" hidden="false" customHeight="false" outlineLevel="0" collapsed="false">
      <c r="A126" s="54" t="s">
        <v>340</v>
      </c>
      <c r="B126" s="55" t="s">
        <v>341</v>
      </c>
      <c r="C126" s="55" t="s">
        <v>342</v>
      </c>
      <c r="D126" s="55" t="s">
        <v>318</v>
      </c>
    </row>
    <row r="127" customFormat="false" ht="22.35" hidden="false" customHeight="false" outlineLevel="0" collapsed="false">
      <c r="A127" s="54" t="s">
        <v>343</v>
      </c>
      <c r="B127" s="55" t="s">
        <v>344</v>
      </c>
      <c r="C127" s="55" t="s">
        <v>345</v>
      </c>
      <c r="D127" s="55" t="s">
        <v>318</v>
      </c>
    </row>
    <row r="128" customFormat="false" ht="22.35" hidden="false" customHeight="false" outlineLevel="0" collapsed="false">
      <c r="A128" s="54" t="s">
        <v>346</v>
      </c>
      <c r="B128" s="55" t="s">
        <v>347</v>
      </c>
      <c r="C128" s="55" t="s">
        <v>348</v>
      </c>
      <c r="D128" s="55" t="s">
        <v>318</v>
      </c>
    </row>
    <row r="129" customFormat="false" ht="22.35" hidden="false" customHeight="false" outlineLevel="0" collapsed="false">
      <c r="A129" s="54" t="s">
        <v>349</v>
      </c>
      <c r="B129" s="55" t="s">
        <v>350</v>
      </c>
      <c r="C129" s="55" t="s">
        <v>351</v>
      </c>
      <c r="D129" s="55" t="s">
        <v>318</v>
      </c>
    </row>
    <row r="130" customFormat="false" ht="22.35" hidden="false" customHeight="false" outlineLevel="0" collapsed="false">
      <c r="A130" s="54" t="s">
        <v>352</v>
      </c>
      <c r="B130" s="55" t="s">
        <v>353</v>
      </c>
      <c r="C130" s="55" t="s">
        <v>354</v>
      </c>
      <c r="D130" s="55" t="s">
        <v>318</v>
      </c>
    </row>
    <row r="131" customFormat="false" ht="22.35" hidden="false" customHeight="false" outlineLevel="0" collapsed="false">
      <c r="A131" s="54" t="s">
        <v>355</v>
      </c>
      <c r="B131" s="55" t="s">
        <v>356</v>
      </c>
      <c r="C131" s="55" t="s">
        <v>357</v>
      </c>
      <c r="D131" s="55" t="s">
        <v>318</v>
      </c>
    </row>
    <row r="132" customFormat="false" ht="22.35" hidden="false" customHeight="false" outlineLevel="0" collapsed="false">
      <c r="A132" s="54" t="s">
        <v>358</v>
      </c>
      <c r="B132" s="55" t="s">
        <v>359</v>
      </c>
      <c r="C132" s="55" t="s">
        <v>360</v>
      </c>
      <c r="D132" s="55" t="s">
        <v>318</v>
      </c>
    </row>
    <row r="133" customFormat="false" ht="22.35" hidden="false" customHeight="false" outlineLevel="0" collapsed="false">
      <c r="A133" s="54" t="s">
        <v>361</v>
      </c>
      <c r="B133" s="55" t="s">
        <v>362</v>
      </c>
      <c r="C133" s="55" t="s">
        <v>363</v>
      </c>
      <c r="D133" s="55" t="s">
        <v>318</v>
      </c>
    </row>
    <row r="134" customFormat="false" ht="22.35" hidden="false" customHeight="false" outlineLevel="0" collapsed="false">
      <c r="A134" s="54" t="s">
        <v>364</v>
      </c>
      <c r="B134" s="55" t="s">
        <v>365</v>
      </c>
      <c r="C134" s="55" t="s">
        <v>366</v>
      </c>
      <c r="D134" s="55" t="s">
        <v>318</v>
      </c>
    </row>
    <row r="135" customFormat="false" ht="22.35" hidden="false" customHeight="false" outlineLevel="0" collapsed="false">
      <c r="A135" s="54" t="s">
        <v>367</v>
      </c>
      <c r="B135" s="55" t="s">
        <v>368</v>
      </c>
      <c r="C135" s="55" t="s">
        <v>369</v>
      </c>
      <c r="D135" s="55" t="s">
        <v>318</v>
      </c>
    </row>
    <row r="136" customFormat="false" ht="22.35" hidden="false" customHeight="false" outlineLevel="0" collapsed="false">
      <c r="A136" s="54" t="s">
        <v>370</v>
      </c>
      <c r="B136" s="55" t="s">
        <v>371</v>
      </c>
      <c r="C136" s="55" t="s">
        <v>372</v>
      </c>
      <c r="D136" s="55" t="s">
        <v>318</v>
      </c>
    </row>
    <row r="137" customFormat="false" ht="22.35" hidden="false" customHeight="false" outlineLevel="0" collapsed="false">
      <c r="A137" s="54" t="s">
        <v>373</v>
      </c>
      <c r="B137" s="55" t="s">
        <v>374</v>
      </c>
      <c r="C137" s="55" t="s">
        <v>375</v>
      </c>
      <c r="D137" s="55" t="s">
        <v>318</v>
      </c>
    </row>
    <row r="138" customFormat="false" ht="22.35" hidden="false" customHeight="false" outlineLevel="0" collapsed="false">
      <c r="A138" s="54" t="s">
        <v>376</v>
      </c>
      <c r="B138" s="55" t="s">
        <v>377</v>
      </c>
      <c r="C138" s="55" t="s">
        <v>378</v>
      </c>
      <c r="D138" s="55" t="s">
        <v>318</v>
      </c>
    </row>
    <row r="139" customFormat="false" ht="22.35" hidden="false" customHeight="false" outlineLevel="0" collapsed="false">
      <c r="A139" s="54" t="s">
        <v>379</v>
      </c>
      <c r="B139" s="55" t="s">
        <v>380</v>
      </c>
      <c r="C139" s="55" t="s">
        <v>381</v>
      </c>
      <c r="D139" s="55" t="s">
        <v>318</v>
      </c>
    </row>
    <row r="140" customFormat="false" ht="22.35" hidden="false" customHeight="false" outlineLevel="0" collapsed="false">
      <c r="A140" s="54" t="s">
        <v>382</v>
      </c>
      <c r="B140" s="55" t="s">
        <v>383</v>
      </c>
      <c r="C140" s="55" t="s">
        <v>384</v>
      </c>
      <c r="D140" s="55" t="s">
        <v>318</v>
      </c>
    </row>
    <row r="141" customFormat="false" ht="22.35" hidden="false" customHeight="false" outlineLevel="0" collapsed="false">
      <c r="A141" s="54" t="s">
        <v>385</v>
      </c>
      <c r="B141" s="55" t="s">
        <v>386</v>
      </c>
      <c r="C141" s="55" t="s">
        <v>387</v>
      </c>
      <c r="D141" s="55" t="s">
        <v>318</v>
      </c>
    </row>
    <row r="142" customFormat="false" ht="22.35" hidden="false" customHeight="false" outlineLevel="0" collapsed="false">
      <c r="A142" s="54" t="s">
        <v>388</v>
      </c>
      <c r="B142" s="55" t="s">
        <v>389</v>
      </c>
      <c r="C142" s="55" t="s">
        <v>390</v>
      </c>
      <c r="D142" s="55" t="s">
        <v>318</v>
      </c>
    </row>
    <row r="143" customFormat="false" ht="22.35" hidden="false" customHeight="false" outlineLevel="0" collapsed="false">
      <c r="A143" s="54" t="s">
        <v>391</v>
      </c>
      <c r="B143" s="55" t="s">
        <v>392</v>
      </c>
      <c r="C143" s="55" t="s">
        <v>393</v>
      </c>
      <c r="D143" s="55" t="s">
        <v>318</v>
      </c>
    </row>
    <row r="144" customFormat="false" ht="22.35" hidden="false" customHeight="false" outlineLevel="0" collapsed="false">
      <c r="A144" s="54" t="s">
        <v>394</v>
      </c>
      <c r="B144" s="55" t="s">
        <v>395</v>
      </c>
      <c r="C144" s="55" t="s">
        <v>396</v>
      </c>
      <c r="D144" s="55" t="s">
        <v>318</v>
      </c>
    </row>
    <row r="145" customFormat="false" ht="22.35" hidden="false" customHeight="false" outlineLevel="0" collapsed="false">
      <c r="A145" s="54" t="s">
        <v>397</v>
      </c>
      <c r="B145" s="55" t="s">
        <v>398</v>
      </c>
      <c r="C145" s="55" t="s">
        <v>399</v>
      </c>
      <c r="D145" s="55" t="s">
        <v>318</v>
      </c>
    </row>
    <row r="146" customFormat="false" ht="22.35" hidden="false" customHeight="false" outlineLevel="0" collapsed="false">
      <c r="A146" s="54" t="s">
        <v>400</v>
      </c>
      <c r="B146" s="55" t="s">
        <v>401</v>
      </c>
      <c r="C146" s="55" t="s">
        <v>402</v>
      </c>
      <c r="D146" s="55" t="s">
        <v>318</v>
      </c>
    </row>
    <row r="147" customFormat="false" ht="22.35" hidden="false" customHeight="false" outlineLevel="0" collapsed="false">
      <c r="A147" s="54" t="s">
        <v>403</v>
      </c>
      <c r="B147" s="55" t="s">
        <v>404</v>
      </c>
      <c r="C147" s="55" t="s">
        <v>405</v>
      </c>
      <c r="D147" s="55" t="s">
        <v>318</v>
      </c>
    </row>
    <row r="148" customFormat="false" ht="22.35" hidden="false" customHeight="false" outlineLevel="0" collapsed="false">
      <c r="A148" s="54" t="s">
        <v>406</v>
      </c>
      <c r="B148" s="55" t="s">
        <v>407</v>
      </c>
      <c r="C148" s="55" t="s">
        <v>408</v>
      </c>
      <c r="D148" s="55" t="s">
        <v>318</v>
      </c>
    </row>
    <row r="149" customFormat="false" ht="22.35" hidden="false" customHeight="false" outlineLevel="0" collapsed="false">
      <c r="A149" s="54" t="s">
        <v>409</v>
      </c>
      <c r="B149" s="55" t="s">
        <v>410</v>
      </c>
      <c r="C149" s="55" t="s">
        <v>411</v>
      </c>
      <c r="D149" s="55" t="s">
        <v>318</v>
      </c>
    </row>
    <row r="150" customFormat="false" ht="22.35" hidden="false" customHeight="false" outlineLevel="0" collapsed="false">
      <c r="A150" s="54" t="s">
        <v>412</v>
      </c>
      <c r="B150" s="55" t="s">
        <v>413</v>
      </c>
      <c r="C150" s="55" t="s">
        <v>414</v>
      </c>
      <c r="D150" s="55" t="s">
        <v>318</v>
      </c>
    </row>
    <row r="151" customFormat="false" ht="22.35" hidden="false" customHeight="false" outlineLevel="0" collapsed="false">
      <c r="A151" s="54" t="s">
        <v>415</v>
      </c>
      <c r="B151" s="55" t="s">
        <v>416</v>
      </c>
      <c r="C151" s="55" t="s">
        <v>417</v>
      </c>
      <c r="D151" s="55" t="s">
        <v>318</v>
      </c>
    </row>
    <row r="152" customFormat="false" ht="22.35" hidden="false" customHeight="false" outlineLevel="0" collapsed="false">
      <c r="A152" s="54" t="s">
        <v>418</v>
      </c>
      <c r="B152" s="55" t="s">
        <v>419</v>
      </c>
      <c r="C152" s="55" t="s">
        <v>420</v>
      </c>
      <c r="D152" s="55" t="s">
        <v>318</v>
      </c>
    </row>
    <row r="153" customFormat="false" ht="22.35" hidden="false" customHeight="false" outlineLevel="0" collapsed="false">
      <c r="A153" s="54" t="s">
        <v>421</v>
      </c>
      <c r="B153" s="55" t="s">
        <v>422</v>
      </c>
      <c r="C153" s="55" t="s">
        <v>423</v>
      </c>
      <c r="D153" s="55" t="s">
        <v>318</v>
      </c>
    </row>
    <row r="154" customFormat="false" ht="22.35" hidden="false" customHeight="false" outlineLevel="0" collapsed="false">
      <c r="A154" s="54" t="s">
        <v>424</v>
      </c>
      <c r="B154" s="55" t="s">
        <v>425</v>
      </c>
      <c r="C154" s="55" t="s">
        <v>426</v>
      </c>
      <c r="D154" s="55" t="s">
        <v>318</v>
      </c>
    </row>
    <row r="155" customFormat="false" ht="22.35" hidden="false" customHeight="false" outlineLevel="0" collapsed="false">
      <c r="A155" s="54" t="s">
        <v>427</v>
      </c>
      <c r="B155" s="55" t="s">
        <v>428</v>
      </c>
      <c r="C155" s="55" t="s">
        <v>429</v>
      </c>
      <c r="D155" s="55" t="s">
        <v>318</v>
      </c>
    </row>
    <row r="156" customFormat="false" ht="22.35" hidden="false" customHeight="false" outlineLevel="0" collapsed="false">
      <c r="A156" s="54" t="s">
        <v>430</v>
      </c>
      <c r="B156" s="55" t="s">
        <v>431</v>
      </c>
      <c r="C156" s="55" t="s">
        <v>432</v>
      </c>
      <c r="D156" s="55" t="s">
        <v>318</v>
      </c>
    </row>
    <row r="157" customFormat="false" ht="22.35" hidden="false" customHeight="false" outlineLevel="0" collapsed="false">
      <c r="A157" s="54" t="s">
        <v>433</v>
      </c>
      <c r="B157" s="55" t="s">
        <v>434</v>
      </c>
      <c r="C157" s="55" t="s">
        <v>435</v>
      </c>
      <c r="D157" s="55" t="s">
        <v>318</v>
      </c>
    </row>
    <row r="158" customFormat="false" ht="22.35" hidden="false" customHeight="false" outlineLevel="0" collapsed="false">
      <c r="A158" s="54" t="s">
        <v>436</v>
      </c>
      <c r="B158" s="55" t="s">
        <v>437</v>
      </c>
      <c r="C158" s="55" t="s">
        <v>438</v>
      </c>
      <c r="D158" s="55" t="s">
        <v>318</v>
      </c>
    </row>
    <row r="159" customFormat="false" ht="22.35" hidden="false" customHeight="false" outlineLevel="0" collapsed="false">
      <c r="A159" s="54" t="s">
        <v>439</v>
      </c>
      <c r="B159" s="55" t="s">
        <v>440</v>
      </c>
      <c r="C159" s="55" t="s">
        <v>441</v>
      </c>
      <c r="D159" s="55" t="s">
        <v>318</v>
      </c>
    </row>
    <row r="160" customFormat="false" ht="22.35" hidden="false" customHeight="false" outlineLevel="0" collapsed="false">
      <c r="A160" s="54" t="s">
        <v>442</v>
      </c>
      <c r="B160" s="55" t="s">
        <v>443</v>
      </c>
      <c r="C160" s="55" t="s">
        <v>444</v>
      </c>
      <c r="D160" s="55" t="s">
        <v>318</v>
      </c>
    </row>
    <row r="161" customFormat="false" ht="22.35" hidden="false" customHeight="false" outlineLevel="0" collapsed="false">
      <c r="A161" s="54" t="s">
        <v>445</v>
      </c>
      <c r="B161" s="55" t="s">
        <v>446</v>
      </c>
      <c r="C161" s="55" t="s">
        <v>447</v>
      </c>
      <c r="D161" s="55" t="s">
        <v>318</v>
      </c>
    </row>
    <row r="162" customFormat="false" ht="22.35" hidden="false" customHeight="false" outlineLevel="0" collapsed="false">
      <c r="A162" s="54" t="s">
        <v>448</v>
      </c>
      <c r="B162" s="55" t="s">
        <v>449</v>
      </c>
      <c r="C162" s="55" t="s">
        <v>450</v>
      </c>
      <c r="D162" s="55" t="s">
        <v>318</v>
      </c>
    </row>
    <row r="163" customFormat="false" ht="22.35" hidden="false" customHeight="false" outlineLevel="0" collapsed="false">
      <c r="A163" s="54" t="s">
        <v>451</v>
      </c>
      <c r="B163" s="55" t="s">
        <v>452</v>
      </c>
      <c r="C163" s="55" t="s">
        <v>453</v>
      </c>
      <c r="D163" s="55" t="s">
        <v>318</v>
      </c>
    </row>
    <row r="164" customFormat="false" ht="22.35" hidden="false" customHeight="false" outlineLevel="0" collapsed="false">
      <c r="A164" s="54" t="s">
        <v>454</v>
      </c>
      <c r="B164" s="55" t="s">
        <v>455</v>
      </c>
      <c r="C164" s="55" t="s">
        <v>456</v>
      </c>
      <c r="D164" s="55" t="s">
        <v>318</v>
      </c>
    </row>
    <row r="165" customFormat="false" ht="22.35" hidden="false" customHeight="false" outlineLevel="0" collapsed="false">
      <c r="A165" s="54" t="s">
        <v>457</v>
      </c>
      <c r="B165" s="55" t="s">
        <v>458</v>
      </c>
      <c r="C165" s="55" t="s">
        <v>459</v>
      </c>
      <c r="D165" s="55" t="s">
        <v>318</v>
      </c>
    </row>
    <row r="166" customFormat="false" ht="22.35" hidden="false" customHeight="false" outlineLevel="0" collapsed="false">
      <c r="A166" s="54" t="s">
        <v>460</v>
      </c>
      <c r="B166" s="55" t="s">
        <v>461</v>
      </c>
      <c r="C166" s="55" t="s">
        <v>462</v>
      </c>
      <c r="D166" s="55" t="s">
        <v>318</v>
      </c>
    </row>
    <row r="167" customFormat="false" ht="22.35" hidden="false" customHeight="false" outlineLevel="0" collapsed="false">
      <c r="A167" s="54" t="s">
        <v>463</v>
      </c>
      <c r="B167" s="55" t="s">
        <v>464</v>
      </c>
      <c r="C167" s="55" t="s">
        <v>465</v>
      </c>
      <c r="D167" s="55" t="s">
        <v>318</v>
      </c>
    </row>
    <row r="168" customFormat="false" ht="22.35" hidden="false" customHeight="false" outlineLevel="0" collapsed="false">
      <c r="A168" s="54" t="s">
        <v>466</v>
      </c>
      <c r="B168" s="55" t="s">
        <v>467</v>
      </c>
      <c r="C168" s="55" t="s">
        <v>468</v>
      </c>
      <c r="D168" s="55" t="s">
        <v>318</v>
      </c>
    </row>
    <row r="169" customFormat="false" ht="22.35" hidden="false" customHeight="false" outlineLevel="0" collapsed="false">
      <c r="A169" s="54" t="s">
        <v>469</v>
      </c>
      <c r="B169" s="55" t="s">
        <v>470</v>
      </c>
      <c r="C169" s="55" t="s">
        <v>471</v>
      </c>
      <c r="D169" s="55" t="s">
        <v>318</v>
      </c>
    </row>
    <row r="170" customFormat="false" ht="22.35" hidden="false" customHeight="false" outlineLevel="0" collapsed="false">
      <c r="A170" s="54" t="s">
        <v>472</v>
      </c>
      <c r="B170" s="55" t="s">
        <v>473</v>
      </c>
      <c r="C170" s="55" t="s">
        <v>474</v>
      </c>
      <c r="D170" s="55" t="s">
        <v>318</v>
      </c>
    </row>
    <row r="171" customFormat="false" ht="22.35" hidden="false" customHeight="false" outlineLevel="0" collapsed="false">
      <c r="A171" s="54" t="s">
        <v>475</v>
      </c>
      <c r="B171" s="55" t="s">
        <v>476</v>
      </c>
      <c r="C171" s="55" t="s">
        <v>477</v>
      </c>
      <c r="D171" s="55" t="s">
        <v>318</v>
      </c>
    </row>
    <row r="172" customFormat="false" ht="22.35" hidden="false" customHeight="false" outlineLevel="0" collapsed="false">
      <c r="A172" s="54" t="s">
        <v>478</v>
      </c>
      <c r="B172" s="55" t="s">
        <v>479</v>
      </c>
      <c r="C172" s="55" t="s">
        <v>480</v>
      </c>
      <c r="D172" s="55" t="s">
        <v>318</v>
      </c>
    </row>
    <row r="173" customFormat="false" ht="22.35" hidden="false" customHeight="false" outlineLevel="0" collapsed="false">
      <c r="A173" s="54" t="s">
        <v>481</v>
      </c>
      <c r="B173" s="55" t="s">
        <v>482</v>
      </c>
      <c r="C173" s="55" t="s">
        <v>483</v>
      </c>
      <c r="D173" s="55" t="s">
        <v>318</v>
      </c>
    </row>
    <row r="174" customFormat="false" ht="22.35" hidden="false" customHeight="false" outlineLevel="0" collapsed="false">
      <c r="A174" s="54" t="s">
        <v>484</v>
      </c>
      <c r="B174" s="55" t="s">
        <v>485</v>
      </c>
      <c r="C174" s="55" t="s">
        <v>486</v>
      </c>
      <c r="D174" s="55" t="s">
        <v>318</v>
      </c>
    </row>
    <row r="175" customFormat="false" ht="22.35" hidden="false" customHeight="false" outlineLevel="0" collapsed="false">
      <c r="A175" s="54" t="s">
        <v>487</v>
      </c>
      <c r="B175" s="55" t="s">
        <v>488</v>
      </c>
      <c r="C175" s="55" t="s">
        <v>489</v>
      </c>
      <c r="D175" s="55" t="s">
        <v>318</v>
      </c>
    </row>
    <row r="176" customFormat="false" ht="22.35" hidden="false" customHeight="false" outlineLevel="0" collapsed="false">
      <c r="A176" s="54" t="s">
        <v>490</v>
      </c>
      <c r="B176" s="55" t="s">
        <v>491</v>
      </c>
      <c r="C176" s="55" t="s">
        <v>492</v>
      </c>
      <c r="D176" s="55" t="s">
        <v>318</v>
      </c>
    </row>
    <row r="177" customFormat="false" ht="22.35" hidden="false" customHeight="false" outlineLevel="0" collapsed="false">
      <c r="A177" s="54" t="s">
        <v>493</v>
      </c>
      <c r="B177" s="55" t="s">
        <v>494</v>
      </c>
      <c r="C177" s="55" t="s">
        <v>495</v>
      </c>
      <c r="D177" s="55" t="s">
        <v>318</v>
      </c>
    </row>
    <row r="178" customFormat="false" ht="22.35" hidden="false" customHeight="false" outlineLevel="0" collapsed="false">
      <c r="A178" s="54" t="s">
        <v>496</v>
      </c>
      <c r="B178" s="55" t="s">
        <v>497</v>
      </c>
      <c r="C178" s="55" t="s">
        <v>498</v>
      </c>
      <c r="D178" s="55" t="s">
        <v>318</v>
      </c>
    </row>
    <row r="179" customFormat="false" ht="22.35" hidden="false" customHeight="false" outlineLevel="0" collapsed="false">
      <c r="A179" s="54" t="s">
        <v>499</v>
      </c>
      <c r="B179" s="55" t="s">
        <v>500</v>
      </c>
      <c r="C179" s="55" t="s">
        <v>501</v>
      </c>
      <c r="D179" s="55" t="s">
        <v>318</v>
      </c>
    </row>
    <row r="180" customFormat="false" ht="22.35" hidden="false" customHeight="false" outlineLevel="0" collapsed="false">
      <c r="A180" s="54" t="s">
        <v>502</v>
      </c>
      <c r="B180" s="55" t="s">
        <v>503</v>
      </c>
      <c r="C180" s="55" t="s">
        <v>504</v>
      </c>
      <c r="D180" s="55" t="s">
        <v>318</v>
      </c>
    </row>
    <row r="181" customFormat="false" ht="22.35" hidden="false" customHeight="false" outlineLevel="0" collapsed="false">
      <c r="A181" s="54" t="s">
        <v>505</v>
      </c>
      <c r="B181" s="55" t="s">
        <v>506</v>
      </c>
      <c r="C181" s="55" t="s">
        <v>507</v>
      </c>
      <c r="D181" s="55" t="s">
        <v>318</v>
      </c>
    </row>
    <row r="182" customFormat="false" ht="22.35" hidden="false" customHeight="false" outlineLevel="0" collapsed="false">
      <c r="A182" s="54" t="s">
        <v>508</v>
      </c>
      <c r="B182" s="55" t="s">
        <v>509</v>
      </c>
      <c r="C182" s="55" t="s">
        <v>510</v>
      </c>
      <c r="D182" s="55" t="s">
        <v>318</v>
      </c>
    </row>
    <row r="183" customFormat="false" ht="22.35" hidden="false" customHeight="false" outlineLevel="0" collapsed="false">
      <c r="A183" s="54" t="s">
        <v>511</v>
      </c>
      <c r="B183" s="55" t="s">
        <v>512</v>
      </c>
      <c r="C183" s="55" t="s">
        <v>513</v>
      </c>
      <c r="D183" s="55" t="s">
        <v>318</v>
      </c>
    </row>
    <row r="184" customFormat="false" ht="22.35" hidden="false" customHeight="false" outlineLevel="0" collapsed="false">
      <c r="A184" s="54" t="s">
        <v>514</v>
      </c>
      <c r="B184" s="55" t="s">
        <v>515</v>
      </c>
      <c r="C184" s="55" t="s">
        <v>516</v>
      </c>
      <c r="D184" s="55" t="s">
        <v>318</v>
      </c>
    </row>
    <row r="185" customFormat="false" ht="22.35" hidden="false" customHeight="false" outlineLevel="0" collapsed="false">
      <c r="A185" s="54" t="s">
        <v>517</v>
      </c>
      <c r="B185" s="55" t="s">
        <v>518</v>
      </c>
      <c r="C185" s="55" t="s">
        <v>519</v>
      </c>
      <c r="D185" s="55" t="s">
        <v>318</v>
      </c>
    </row>
    <row r="186" customFormat="false" ht="22.35" hidden="false" customHeight="false" outlineLevel="0" collapsed="false">
      <c r="A186" s="54" t="s">
        <v>520</v>
      </c>
      <c r="B186" s="55" t="s">
        <v>521</v>
      </c>
      <c r="C186" s="55" t="s">
        <v>522</v>
      </c>
      <c r="D186" s="55" t="s">
        <v>318</v>
      </c>
    </row>
    <row r="187" customFormat="false" ht="22.35" hidden="false" customHeight="false" outlineLevel="0" collapsed="false">
      <c r="A187" s="54" t="s">
        <v>523</v>
      </c>
      <c r="B187" s="55" t="s">
        <v>524</v>
      </c>
      <c r="C187" s="55" t="s">
        <v>525</v>
      </c>
      <c r="D187" s="55" t="s">
        <v>318</v>
      </c>
    </row>
    <row r="188" customFormat="false" ht="22.35" hidden="false" customHeight="false" outlineLevel="0" collapsed="false">
      <c r="A188" s="54" t="s">
        <v>526</v>
      </c>
      <c r="B188" s="55" t="s">
        <v>527</v>
      </c>
      <c r="C188" s="55" t="s">
        <v>528</v>
      </c>
      <c r="D188" s="55" t="s">
        <v>318</v>
      </c>
    </row>
    <row r="189" customFormat="false" ht="22.35" hidden="false" customHeight="false" outlineLevel="0" collapsed="false">
      <c r="A189" s="54" t="s">
        <v>529</v>
      </c>
      <c r="B189" s="55" t="s">
        <v>530</v>
      </c>
      <c r="C189" s="55" t="s">
        <v>531</v>
      </c>
      <c r="D189" s="55" t="s">
        <v>318</v>
      </c>
    </row>
    <row r="190" customFormat="false" ht="15" hidden="false" customHeight="false" outlineLevel="0" collapsed="false">
      <c r="A190" s="54" t="s">
        <v>532</v>
      </c>
      <c r="B190" s="55" t="s">
        <v>533</v>
      </c>
      <c r="C190" s="55" t="s">
        <v>26</v>
      </c>
      <c r="D190" s="55" t="s">
        <v>314</v>
      </c>
    </row>
    <row r="191" customFormat="false" ht="15" hidden="false" customHeight="false" outlineLevel="0" collapsed="false">
      <c r="A191" s="54" t="s">
        <v>534</v>
      </c>
      <c r="B191" s="55" t="s">
        <v>535</v>
      </c>
      <c r="C191" s="55" t="s">
        <v>27</v>
      </c>
      <c r="D191" s="55" t="s">
        <v>314</v>
      </c>
    </row>
    <row r="192" customFormat="false" ht="15" hidden="false" customHeight="false" outlineLevel="0" collapsed="false">
      <c r="A192" s="54" t="s">
        <v>536</v>
      </c>
      <c r="B192" s="55" t="s">
        <v>537</v>
      </c>
      <c r="C192" s="55" t="s">
        <v>538</v>
      </c>
      <c r="D192" s="55" t="s">
        <v>539</v>
      </c>
    </row>
    <row r="193" customFormat="false" ht="15" hidden="false" customHeight="false" outlineLevel="0" collapsed="false">
      <c r="A193" s="54" t="s">
        <v>540</v>
      </c>
      <c r="B193" s="55" t="s">
        <v>541</v>
      </c>
      <c r="C193" s="55" t="s">
        <v>542</v>
      </c>
      <c r="D193" s="55" t="s">
        <v>539</v>
      </c>
    </row>
    <row r="194" customFormat="false" ht="15" hidden="false" customHeight="false" outlineLevel="0" collapsed="false">
      <c r="A194" s="54" t="s">
        <v>543</v>
      </c>
      <c r="B194" s="55" t="s">
        <v>544</v>
      </c>
      <c r="C194" s="55" t="s">
        <v>545</v>
      </c>
      <c r="D194" s="55" t="s">
        <v>539</v>
      </c>
    </row>
    <row r="195" customFormat="false" ht="15" hidden="false" customHeight="false" outlineLevel="0" collapsed="false">
      <c r="A195" s="54" t="s">
        <v>546</v>
      </c>
      <c r="B195" s="55" t="s">
        <v>547</v>
      </c>
      <c r="C195" s="55" t="s">
        <v>548</v>
      </c>
      <c r="D195" s="55" t="s">
        <v>539</v>
      </c>
    </row>
    <row r="196" customFormat="false" ht="15" hidden="false" customHeight="false" outlineLevel="0" collapsed="false">
      <c r="A196" s="54" t="s">
        <v>549</v>
      </c>
      <c r="B196" s="55" t="s">
        <v>550</v>
      </c>
      <c r="C196" s="55" t="s">
        <v>551</v>
      </c>
      <c r="D196" s="55" t="s">
        <v>552</v>
      </c>
    </row>
    <row r="197" customFormat="false" ht="15" hidden="false" customHeight="false" outlineLevel="0" collapsed="false">
      <c r="A197" s="54" t="s">
        <v>553</v>
      </c>
      <c r="B197" s="55" t="s">
        <v>554</v>
      </c>
      <c r="C197" s="55" t="s">
        <v>555</v>
      </c>
      <c r="D197" s="55" t="s">
        <v>552</v>
      </c>
    </row>
    <row r="198" customFormat="false" ht="15" hidden="false" customHeight="false" outlineLevel="0" collapsed="false">
      <c r="A198" s="54" t="s">
        <v>556</v>
      </c>
      <c r="B198" s="55" t="s">
        <v>557</v>
      </c>
      <c r="C198" s="55" t="s">
        <v>558</v>
      </c>
      <c r="D198" s="55" t="s">
        <v>552</v>
      </c>
    </row>
    <row r="199" customFormat="false" ht="15" hidden="false" customHeight="false" outlineLevel="0" collapsed="false">
      <c r="A199" s="54" t="s">
        <v>559</v>
      </c>
      <c r="B199" s="55" t="s">
        <v>560</v>
      </c>
      <c r="C199" s="55" t="s">
        <v>561</v>
      </c>
      <c r="D199" s="55" t="s">
        <v>552</v>
      </c>
    </row>
    <row r="200" customFormat="false" ht="15" hidden="false" customHeight="false" outlineLevel="0" collapsed="false">
      <c r="A200" s="54" t="s">
        <v>562</v>
      </c>
      <c r="B200" s="55" t="s">
        <v>563</v>
      </c>
      <c r="C200" s="55" t="s">
        <v>564</v>
      </c>
      <c r="D200" s="55" t="s">
        <v>565</v>
      </c>
    </row>
    <row r="201" customFormat="false" ht="15" hidden="false" customHeight="false" outlineLevel="0" collapsed="false">
      <c r="A201" s="54" t="s">
        <v>566</v>
      </c>
      <c r="B201" s="55" t="s">
        <v>567</v>
      </c>
      <c r="C201" s="55" t="s">
        <v>568</v>
      </c>
      <c r="D201" s="55" t="s">
        <v>565</v>
      </c>
    </row>
    <row r="202" customFormat="false" ht="15" hidden="false" customHeight="false" outlineLevel="0" collapsed="false">
      <c r="A202" s="54" t="s">
        <v>569</v>
      </c>
      <c r="B202" s="55" t="s">
        <v>570</v>
      </c>
      <c r="C202" s="55" t="s">
        <v>571</v>
      </c>
      <c r="D202" s="55" t="s">
        <v>565</v>
      </c>
    </row>
    <row r="203" customFormat="false" ht="15" hidden="false" customHeight="false" outlineLevel="0" collapsed="false">
      <c r="A203" s="54" t="s">
        <v>572</v>
      </c>
      <c r="B203" s="55" t="s">
        <v>573</v>
      </c>
      <c r="C203" s="55" t="s">
        <v>574</v>
      </c>
      <c r="D203" s="55" t="s">
        <v>565</v>
      </c>
    </row>
    <row r="204" customFormat="false" ht="15" hidden="false" customHeight="false" outlineLevel="0" collapsed="false">
      <c r="A204" s="54" t="s">
        <v>575</v>
      </c>
      <c r="B204" s="55" t="s">
        <v>576</v>
      </c>
      <c r="C204" s="55" t="s">
        <v>577</v>
      </c>
      <c r="D204" s="55" t="s">
        <v>578</v>
      </c>
    </row>
    <row r="205" customFormat="false" ht="15" hidden="false" customHeight="false" outlineLevel="0" collapsed="false">
      <c r="A205" s="54" t="s">
        <v>579</v>
      </c>
      <c r="B205" s="55" t="s">
        <v>580</v>
      </c>
      <c r="C205" s="55" t="s">
        <v>581</v>
      </c>
      <c r="D205" s="55" t="s">
        <v>578</v>
      </c>
    </row>
    <row r="206" customFormat="false" ht="15" hidden="false" customHeight="false" outlineLevel="0" collapsed="false">
      <c r="A206" s="54" t="s">
        <v>582</v>
      </c>
      <c r="B206" s="55" t="s">
        <v>583</v>
      </c>
      <c r="C206" s="55" t="s">
        <v>584</v>
      </c>
      <c r="D206" s="55" t="s">
        <v>578</v>
      </c>
    </row>
    <row r="207" customFormat="false" ht="15" hidden="false" customHeight="false" outlineLevel="0" collapsed="false">
      <c r="A207" s="54" t="s">
        <v>585</v>
      </c>
      <c r="B207" s="55" t="s">
        <v>586</v>
      </c>
      <c r="C207" s="55" t="s">
        <v>587</v>
      </c>
      <c r="D207" s="55" t="s">
        <v>578</v>
      </c>
    </row>
  </sheetData>
  <mergeCells count="4">
    <mergeCell ref="A3:D3"/>
    <mergeCell ref="A4:D4"/>
    <mergeCell ref="A5:D5"/>
    <mergeCell ref="A6:D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2023-04-12T21:19:53Z</dcterms:created>
  <dc:creator>Filipe Menezes</dc:creator>
  <dc:description/>
  <dc:language>en-US</dc:language>
  <cp:lastModifiedBy/>
  <dcterms:modified xsi:type="dcterms:W3CDTF">2026-10-09T17:51:07Z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