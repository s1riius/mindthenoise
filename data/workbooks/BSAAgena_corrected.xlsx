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irius/MolPhys/Activities/review/corrections/"/>
    </mc:Choice>
  </mc:AlternateContent>
  <xr:revisionPtr revIDLastSave="0" documentId="11_A922C6C4C1B8F418A8F37665018908652643D8A4" xr6:coauthVersionLast="47" xr6:coauthVersionMax="47" xr10:uidLastSave="{00000000-0000-0000-0000-000000000000}"/>
  <bookViews>
    <workbookView xWindow="8800" yWindow="660" windowWidth="25760" windowHeight="19940" tabRatio="500" xr2:uid="{00000000-000D-0000-FFFF-FFFF00000000}"/>
  </bookViews>
  <sheets>
    <sheet name="Proteins" sheetId="1" r:id="rId1"/>
    <sheet name="Corrections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0" i="1" l="1"/>
  <c r="H30" i="1" s="1"/>
  <c r="K30" i="1" s="1"/>
  <c r="F29" i="1"/>
  <c r="H29" i="1" s="1"/>
  <c r="K29" i="1" s="1"/>
  <c r="F28" i="1"/>
  <c r="H28" i="1" s="1"/>
  <c r="K28" i="1" s="1"/>
  <c r="F27" i="1"/>
  <c r="H27" i="1" s="1"/>
  <c r="K27" i="1" s="1"/>
  <c r="F26" i="1"/>
  <c r="H26" i="1" s="1"/>
  <c r="K26" i="1" s="1"/>
  <c r="F25" i="1"/>
  <c r="H25" i="1" s="1"/>
  <c r="K25" i="1" s="1"/>
  <c r="F24" i="1"/>
  <c r="H24" i="1" s="1"/>
  <c r="K24" i="1" s="1"/>
  <c r="F23" i="1"/>
  <c r="H23" i="1" s="1"/>
  <c r="K23" i="1" s="1"/>
  <c r="F22" i="1"/>
  <c r="H22" i="1" s="1"/>
  <c r="K22" i="1" s="1"/>
  <c r="F21" i="1"/>
  <c r="H21" i="1" s="1"/>
  <c r="K21" i="1" s="1"/>
  <c r="F20" i="1"/>
  <c r="H20" i="1" s="1"/>
  <c r="K20" i="1" s="1"/>
  <c r="F19" i="1"/>
  <c r="H19" i="1" s="1"/>
  <c r="K19" i="1" s="1"/>
  <c r="F18" i="1"/>
  <c r="H18" i="1" s="1"/>
  <c r="K18" i="1" s="1"/>
  <c r="F17" i="1"/>
  <c r="H17" i="1" s="1"/>
  <c r="K17" i="1" s="1"/>
  <c r="F16" i="1"/>
  <c r="H16" i="1" s="1"/>
  <c r="K16" i="1" s="1"/>
  <c r="F15" i="1"/>
  <c r="H15" i="1" s="1"/>
  <c r="K15" i="1" s="1"/>
  <c r="F14" i="1"/>
  <c r="H14" i="1" s="1"/>
  <c r="K14" i="1" s="1"/>
  <c r="H13" i="1"/>
  <c r="K13" i="1" s="1"/>
  <c r="F13" i="1"/>
  <c r="F12" i="1"/>
  <c r="H12" i="1" s="1"/>
  <c r="K12" i="1" s="1"/>
  <c r="F11" i="1"/>
  <c r="H11" i="1" s="1"/>
  <c r="K11" i="1" s="1"/>
  <c r="H10" i="1"/>
  <c r="K10" i="1" s="1"/>
  <c r="F10" i="1"/>
  <c r="F9" i="1"/>
  <c r="H9" i="1" s="1"/>
  <c r="K9" i="1" s="1"/>
  <c r="F8" i="1"/>
  <c r="H8" i="1" s="1"/>
  <c r="K8" i="1" s="1"/>
  <c r="H7" i="1"/>
  <c r="K7" i="1" s="1"/>
  <c r="F7" i="1"/>
  <c r="F6" i="1"/>
  <c r="H6" i="1" s="1"/>
  <c r="K6" i="1" s="1"/>
  <c r="F5" i="1"/>
  <c r="H5" i="1" s="1"/>
  <c r="K5" i="1" s="1"/>
  <c r="H4" i="1"/>
  <c r="K4" i="1" s="1"/>
  <c r="F4" i="1"/>
  <c r="F3" i="1"/>
  <c r="H3" i="1" s="1"/>
  <c r="K3" i="1" s="1"/>
  <c r="Y1" i="1"/>
  <c r="X1" i="1"/>
  <c r="W1" i="1"/>
  <c r="V1" i="1"/>
  <c r="U1" i="1"/>
  <c r="T1" i="1"/>
  <c r="S1" i="1"/>
  <c r="R1" i="1"/>
  <c r="Q1" i="1"/>
  <c r="P1" i="1"/>
  <c r="O1" i="1"/>
  <c r="N1" i="1"/>
  <c r="M1" i="1"/>
  <c r="Y9" i="1" l="1"/>
  <c r="M9" i="1"/>
  <c r="X9" i="1"/>
  <c r="W9" i="1"/>
  <c r="V9" i="1"/>
  <c r="R9" i="1"/>
  <c r="U9" i="1"/>
  <c r="T9" i="1"/>
  <c r="S9" i="1"/>
  <c r="P9" i="1"/>
  <c r="O9" i="1"/>
  <c r="Q9" i="1"/>
  <c r="N9" i="1"/>
  <c r="Y12" i="1"/>
  <c r="M12" i="1"/>
  <c r="X12" i="1"/>
  <c r="W12" i="1"/>
  <c r="V12" i="1"/>
  <c r="U12" i="1"/>
  <c r="S12" i="1"/>
  <c r="Q12" i="1"/>
  <c r="T12" i="1"/>
  <c r="P12" i="1"/>
  <c r="O12" i="1"/>
  <c r="R12" i="1"/>
  <c r="N12" i="1"/>
  <c r="U19" i="1"/>
  <c r="T19" i="1"/>
  <c r="R19" i="1"/>
  <c r="S19" i="1"/>
  <c r="Q19" i="1"/>
  <c r="P19" i="1"/>
  <c r="O19" i="1"/>
  <c r="X19" i="1"/>
  <c r="N19" i="1"/>
  <c r="W19" i="1"/>
  <c r="Y19" i="1"/>
  <c r="M19" i="1"/>
  <c r="V19" i="1"/>
  <c r="Y21" i="1"/>
  <c r="M21" i="1"/>
  <c r="X21" i="1"/>
  <c r="V21" i="1"/>
  <c r="W21" i="1"/>
  <c r="U21" i="1"/>
  <c r="T21" i="1"/>
  <c r="S21" i="1"/>
  <c r="P21" i="1"/>
  <c r="R21" i="1"/>
  <c r="O21" i="1"/>
  <c r="Q21" i="1"/>
  <c r="N21" i="1"/>
  <c r="Y24" i="1"/>
  <c r="M24" i="1"/>
  <c r="V24" i="1"/>
  <c r="X24" i="1"/>
  <c r="W24" i="1"/>
  <c r="U24" i="1"/>
  <c r="T24" i="1"/>
  <c r="S24" i="1"/>
  <c r="P24" i="1"/>
  <c r="O24" i="1"/>
  <c r="Q24" i="1"/>
  <c r="N24" i="1"/>
  <c r="R24" i="1"/>
  <c r="Y6" i="1"/>
  <c r="M6" i="1"/>
  <c r="X6" i="1"/>
  <c r="V6" i="1"/>
  <c r="W6" i="1"/>
  <c r="U6" i="1"/>
  <c r="S6" i="1"/>
  <c r="T6" i="1"/>
  <c r="P6" i="1"/>
  <c r="O6" i="1"/>
  <c r="R6" i="1"/>
  <c r="Q6" i="1"/>
  <c r="N6" i="1"/>
  <c r="Q20" i="1"/>
  <c r="P20" i="1"/>
  <c r="N20" i="1"/>
  <c r="O20" i="1"/>
  <c r="Y20" i="1"/>
  <c r="M20" i="1"/>
  <c r="X20" i="1"/>
  <c r="W20" i="1"/>
  <c r="T20" i="1"/>
  <c r="S20" i="1"/>
  <c r="V20" i="1"/>
  <c r="U20" i="1"/>
  <c r="R20" i="1"/>
  <c r="U10" i="1"/>
  <c r="R10" i="1"/>
  <c r="T10" i="1"/>
  <c r="N10" i="1"/>
  <c r="S10" i="1"/>
  <c r="Y10" i="1"/>
  <c r="Q10" i="1"/>
  <c r="O10" i="1"/>
  <c r="P10" i="1"/>
  <c r="X10" i="1"/>
  <c r="W10" i="1"/>
  <c r="M10" i="1"/>
  <c r="V10" i="1"/>
  <c r="Y3" i="1"/>
  <c r="M3" i="1"/>
  <c r="V3" i="1"/>
  <c r="R3" i="1"/>
  <c r="X3" i="1"/>
  <c r="W3" i="1"/>
  <c r="U3" i="1"/>
  <c r="S3" i="1"/>
  <c r="T3" i="1"/>
  <c r="P3" i="1"/>
  <c r="O3" i="1"/>
  <c r="Q3" i="1"/>
  <c r="N3" i="1"/>
  <c r="Q23" i="1"/>
  <c r="P23" i="1"/>
  <c r="O23" i="1"/>
  <c r="N23" i="1"/>
  <c r="Y23" i="1"/>
  <c r="M23" i="1"/>
  <c r="X23" i="1"/>
  <c r="W23" i="1"/>
  <c r="T23" i="1"/>
  <c r="V23" i="1"/>
  <c r="S23" i="1"/>
  <c r="U23" i="1"/>
  <c r="R23" i="1"/>
  <c r="Q5" i="1"/>
  <c r="P5" i="1"/>
  <c r="V5" i="1"/>
  <c r="O5" i="1"/>
  <c r="N5" i="1"/>
  <c r="Y5" i="1"/>
  <c r="M5" i="1"/>
  <c r="X5" i="1"/>
  <c r="W5" i="1"/>
  <c r="T5" i="1"/>
  <c r="S5" i="1"/>
  <c r="U5" i="1"/>
  <c r="R5" i="1"/>
  <c r="U16" i="1"/>
  <c r="R16" i="1"/>
  <c r="T16" i="1"/>
  <c r="S16" i="1"/>
  <c r="Q16" i="1"/>
  <c r="P16" i="1"/>
  <c r="O16" i="1"/>
  <c r="X16" i="1"/>
  <c r="N16" i="1"/>
  <c r="Y16" i="1"/>
  <c r="W16" i="1"/>
  <c r="M16" i="1"/>
  <c r="V16" i="1"/>
  <c r="U28" i="1"/>
  <c r="R28" i="1"/>
  <c r="O28" i="1"/>
  <c r="T28" i="1"/>
  <c r="M28" i="1"/>
  <c r="S28" i="1"/>
  <c r="Y28" i="1"/>
  <c r="Q28" i="1"/>
  <c r="P28" i="1"/>
  <c r="X28" i="1"/>
  <c r="N28" i="1"/>
  <c r="W28" i="1"/>
  <c r="V28" i="1"/>
  <c r="Q11" i="1"/>
  <c r="V11" i="1"/>
  <c r="P11" i="1"/>
  <c r="O11" i="1"/>
  <c r="N11" i="1"/>
  <c r="Y11" i="1"/>
  <c r="M11" i="1"/>
  <c r="X11" i="1"/>
  <c r="W11" i="1"/>
  <c r="T11" i="1"/>
  <c r="S11" i="1"/>
  <c r="U11" i="1"/>
  <c r="R11" i="1"/>
  <c r="U25" i="1"/>
  <c r="T25" i="1"/>
  <c r="R25" i="1"/>
  <c r="S25" i="1"/>
  <c r="Q25" i="1"/>
  <c r="P25" i="1"/>
  <c r="O25" i="1"/>
  <c r="X25" i="1"/>
  <c r="N25" i="1"/>
  <c r="W25" i="1"/>
  <c r="Y25" i="1"/>
  <c r="M25" i="1"/>
  <c r="V25" i="1"/>
  <c r="Q26" i="1"/>
  <c r="N26" i="1"/>
  <c r="P26" i="1"/>
  <c r="O26" i="1"/>
  <c r="Y26" i="1"/>
  <c r="M26" i="1"/>
  <c r="X26" i="1"/>
  <c r="W26" i="1"/>
  <c r="T26" i="1"/>
  <c r="V26" i="1"/>
  <c r="S26" i="1"/>
  <c r="U26" i="1"/>
  <c r="R26" i="1"/>
  <c r="Y27" i="1"/>
  <c r="M27" i="1"/>
  <c r="V27" i="1"/>
  <c r="Q27" i="1"/>
  <c r="X27" i="1"/>
  <c r="W27" i="1"/>
  <c r="U27" i="1"/>
  <c r="T27" i="1"/>
  <c r="S27" i="1"/>
  <c r="P27" i="1"/>
  <c r="R27" i="1"/>
  <c r="O27" i="1"/>
  <c r="N27" i="1"/>
  <c r="U7" i="1"/>
  <c r="T7" i="1"/>
  <c r="S7" i="1"/>
  <c r="R7" i="1"/>
  <c r="O7" i="1"/>
  <c r="N7" i="1"/>
  <c r="Q7" i="1"/>
  <c r="P7" i="1"/>
  <c r="X7" i="1"/>
  <c r="W7" i="1"/>
  <c r="Y7" i="1"/>
  <c r="M7" i="1"/>
  <c r="V7" i="1"/>
  <c r="Q17" i="1"/>
  <c r="P17" i="1"/>
  <c r="N17" i="1"/>
  <c r="O17" i="1"/>
  <c r="Y17" i="1"/>
  <c r="M17" i="1"/>
  <c r="V17" i="1"/>
  <c r="X17" i="1"/>
  <c r="W17" i="1"/>
  <c r="T17" i="1"/>
  <c r="S17" i="1"/>
  <c r="U17" i="1"/>
  <c r="R17" i="1"/>
  <c r="Q29" i="1"/>
  <c r="P29" i="1"/>
  <c r="N29" i="1"/>
  <c r="W29" i="1"/>
  <c r="O29" i="1"/>
  <c r="Y29" i="1"/>
  <c r="M29" i="1"/>
  <c r="V29" i="1"/>
  <c r="X29" i="1"/>
  <c r="T29" i="1"/>
  <c r="S29" i="1"/>
  <c r="U29" i="1"/>
  <c r="R29" i="1"/>
  <c r="U22" i="1"/>
  <c r="R22" i="1"/>
  <c r="T22" i="1"/>
  <c r="S22" i="1"/>
  <c r="Q22" i="1"/>
  <c r="P22" i="1"/>
  <c r="O22" i="1"/>
  <c r="X22" i="1"/>
  <c r="N22" i="1"/>
  <c r="W22" i="1"/>
  <c r="Y22" i="1"/>
  <c r="M22" i="1"/>
  <c r="V22" i="1"/>
  <c r="U4" i="1"/>
  <c r="T4" i="1"/>
  <c r="R4" i="1"/>
  <c r="S4" i="1"/>
  <c r="N4" i="1"/>
  <c r="Q4" i="1"/>
  <c r="P4" i="1"/>
  <c r="O4" i="1"/>
  <c r="X4" i="1"/>
  <c r="W4" i="1"/>
  <c r="Y4" i="1"/>
  <c r="M4" i="1"/>
  <c r="V4" i="1"/>
  <c r="U13" i="1"/>
  <c r="O13" i="1"/>
  <c r="T13" i="1"/>
  <c r="M13" i="1"/>
  <c r="S13" i="1"/>
  <c r="R13" i="1"/>
  <c r="Q13" i="1"/>
  <c r="P13" i="1"/>
  <c r="N13" i="1"/>
  <c r="X13" i="1"/>
  <c r="W13" i="1"/>
  <c r="Y13" i="1"/>
  <c r="V13" i="1"/>
  <c r="Q14" i="1"/>
  <c r="N14" i="1"/>
  <c r="U14" i="1"/>
  <c r="P14" i="1"/>
  <c r="O14" i="1"/>
  <c r="Y14" i="1"/>
  <c r="M14" i="1"/>
  <c r="X14" i="1"/>
  <c r="W14" i="1"/>
  <c r="T14" i="1"/>
  <c r="S14" i="1"/>
  <c r="V14" i="1"/>
  <c r="R14" i="1"/>
  <c r="Y15" i="1"/>
  <c r="M15" i="1"/>
  <c r="X15" i="1"/>
  <c r="W15" i="1"/>
  <c r="V15" i="1"/>
  <c r="U15" i="1"/>
  <c r="Q15" i="1"/>
  <c r="T15" i="1"/>
  <c r="S15" i="1"/>
  <c r="P15" i="1"/>
  <c r="O15" i="1"/>
  <c r="R15" i="1"/>
  <c r="N15" i="1"/>
  <c r="Q8" i="1"/>
  <c r="N8" i="1"/>
  <c r="P8" i="1"/>
  <c r="O8" i="1"/>
  <c r="Y8" i="1"/>
  <c r="M8" i="1"/>
  <c r="W8" i="1"/>
  <c r="U8" i="1"/>
  <c r="X8" i="1"/>
  <c r="T8" i="1"/>
  <c r="S8" i="1"/>
  <c r="V8" i="1"/>
  <c r="R8" i="1"/>
  <c r="Y18" i="1"/>
  <c r="M18" i="1"/>
  <c r="V18" i="1"/>
  <c r="X18" i="1"/>
  <c r="W18" i="1"/>
  <c r="U18" i="1"/>
  <c r="T18" i="1"/>
  <c r="S18" i="1"/>
  <c r="P18" i="1"/>
  <c r="R18" i="1"/>
  <c r="O18" i="1"/>
  <c r="Q18" i="1"/>
  <c r="N18" i="1"/>
  <c r="Y30" i="1"/>
  <c r="M30" i="1"/>
  <c r="X30" i="1"/>
  <c r="W30" i="1"/>
  <c r="V30" i="1"/>
  <c r="U30" i="1"/>
  <c r="T30" i="1"/>
  <c r="S30" i="1"/>
  <c r="R30" i="1"/>
  <c r="Q30" i="1"/>
  <c r="P30" i="1"/>
  <c r="O30" i="1"/>
  <c r="N30" i="1"/>
</calcChain>
</file>

<file path=xl/sharedStrings.xml><?xml version="1.0" encoding="utf-8"?>
<sst xmlns="http://schemas.openxmlformats.org/spreadsheetml/2006/main" count="1580" uniqueCount="1166">
  <si>
    <t>Protein</t>
  </si>
  <si>
    <t>[NaCl]</t>
  </si>
  <si>
    <t>pH</t>
  </si>
  <si>
    <t>MW (kDa)</t>
  </si>
  <si>
    <t>MW (g/mol)</t>
  </si>
  <si>
    <t>B (mol.mL/g.g)</t>
  </si>
  <si>
    <t>B (mL/mol)</t>
  </si>
  <si>
    <t>PSVol (mL/g)</t>
  </si>
  <si>
    <t>Rho[H2O] (g/L)</t>
  </si>
  <si>
    <t>D2 (g/mol)</t>
  </si>
  <si>
    <t>conc. (mol/L) -&gt;</t>
  </si>
  <si>
    <t>BSA</t>
  </si>
  <si>
    <t>25 mM</t>
  </si>
  <si>
    <t>50 mM</t>
  </si>
  <si>
    <t>75 mM</t>
  </si>
  <si>
    <t>150 mM</t>
  </si>
  <si>
    <t>Corrections applied to this workbook</t>
  </si>
  <si>
    <t>Activity coefficients: column K (D2 = C2) is in g/mol, i.e. per (mol per g of water). The original formulas multiplied it by the concentration in mol/L, which overestimated ln(gamma) by a factor of 1000 (equivalently, the curves belonged to 1000-fold higher concentrations). The concentration is now divided by the density of water (column J, g/L), which converts mol/L to mol per g of water in the dilute limit.</t>
  </si>
  <si>
    <t>E26:E30: molar mass reset to 66 kDa (the fill series had incremented it to 67, 68, 69, 70, 71).</t>
  </si>
  <si>
    <t>M2:Y2: concentration grid changed to 1 nM - 1 mM (log-spaced).</t>
  </si>
  <si>
    <t>Charts 1-4: x-axis extended to 1e-3 M and y-axis set to automatic.</t>
  </si>
  <si>
    <t>Cell</t>
  </si>
  <si>
    <t>Original</t>
  </si>
  <si>
    <t>Corrected</t>
  </si>
  <si>
    <t>Reason</t>
  </si>
  <si>
    <t>E26</t>
  </si>
  <si>
    <t>67</t>
  </si>
  <si>
    <t>66</t>
  </si>
  <si>
    <t>BSA molar mass: the fill series had incremented it to 67-71 kDa</t>
  </si>
  <si>
    <t>E27</t>
  </si>
  <si>
    <t>68</t>
  </si>
  <si>
    <t>E28</t>
  </si>
  <si>
    <t>69</t>
  </si>
  <si>
    <t>E29</t>
  </si>
  <si>
    <t>70</t>
  </si>
  <si>
    <t>E30</t>
  </si>
  <si>
    <t>71</t>
  </si>
  <si>
    <t>M3</t>
  </si>
  <si>
    <t>=EXP(2*$K$3*M2)</t>
  </si>
  <si>
    <t>=EXP(2*$K$3*M$2/$J$3)</t>
  </si>
  <si>
    <t>C2 is per (mol/g water): the molar concentration must be divided by rho_w (g/L)</t>
  </si>
  <si>
    <t>N3</t>
  </si>
  <si>
    <t>=EXP(2*$K$3*N2)</t>
  </si>
  <si>
    <t>=EXP(2*$K$3*N$2/$J$3)</t>
  </si>
  <si>
    <t>O3</t>
  </si>
  <si>
    <t>=EXP(2*$K$3*O2)</t>
  </si>
  <si>
    <t>=EXP(2*$K$3*O$2/$J$3)</t>
  </si>
  <si>
    <t>P3</t>
  </si>
  <si>
    <t>=EXP(2*$K$3*P2)</t>
  </si>
  <si>
    <t>=EXP(2*$K$3*P$2/$J$3)</t>
  </si>
  <si>
    <t>Q3</t>
  </si>
  <si>
    <t>=EXP(2*$K$3*Q2)</t>
  </si>
  <si>
    <t>=EXP(2*$K$3*Q$2/$J$3)</t>
  </si>
  <si>
    <t>R3</t>
  </si>
  <si>
    <t>=EXP(2*$K$3*R2)</t>
  </si>
  <si>
    <t>=EXP(2*$K$3*R$2/$J$3)</t>
  </si>
  <si>
    <t>S3</t>
  </si>
  <si>
    <t>=EXP(2*$K$3*S2)</t>
  </si>
  <si>
    <t>=EXP(2*$K$3*S$2/$J$3)</t>
  </si>
  <si>
    <t>T3</t>
  </si>
  <si>
    <t>=EXP(2*$K$3*T2)</t>
  </si>
  <si>
    <t>=EXP(2*$K$3*T$2/$J$3)</t>
  </si>
  <si>
    <t>U3</t>
  </si>
  <si>
    <t>=EXP(2*$K$3*U2)</t>
  </si>
  <si>
    <t>=EXP(2*$K$3*U$2/$J$3)</t>
  </si>
  <si>
    <t>V3</t>
  </si>
  <si>
    <t>=EXP(2*$K$3*V2)</t>
  </si>
  <si>
    <t>=EXP(2*$K$3*V$2/$J$3)</t>
  </si>
  <si>
    <t>W3</t>
  </si>
  <si>
    <t>=EXP(2*$K$3*W2)</t>
  </si>
  <si>
    <t>=EXP(2*$K$3*W$2/$J$3)</t>
  </si>
  <si>
    <t>X3</t>
  </si>
  <si>
    <t>=EXP(2*$K$3*X2)</t>
  </si>
  <si>
    <t>=EXP(2*$K$3*X$2/$J$3)</t>
  </si>
  <si>
    <t>Y3</t>
  </si>
  <si>
    <t>=EXP(2*$K$3*Y2)</t>
  </si>
  <si>
    <t>=EXP(2*$K$3*Y$2/$J$3)</t>
  </si>
  <si>
    <t>M4</t>
  </si>
  <si>
    <t>=EXP(2*$K$4*M2)</t>
  </si>
  <si>
    <t>=EXP(2*$K$4*M$2/$J$4)</t>
  </si>
  <si>
    <t>N4</t>
  </si>
  <si>
    <t>=EXP(2*$K$4*N2)</t>
  </si>
  <si>
    <t>=EXP(2*$K$4*N$2/$J$4)</t>
  </si>
  <si>
    <t>O4</t>
  </si>
  <si>
    <t>=EXP(2*$K$4*O2)</t>
  </si>
  <si>
    <t>=EXP(2*$K$4*O$2/$J$4)</t>
  </si>
  <si>
    <t>P4</t>
  </si>
  <si>
    <t>=EXP(2*$K$4*P2)</t>
  </si>
  <si>
    <t>=EXP(2*$K$4*P$2/$J$4)</t>
  </si>
  <si>
    <t>Q4</t>
  </si>
  <si>
    <t>=EXP(2*$K$4*Q2)</t>
  </si>
  <si>
    <t>=EXP(2*$K$4*Q$2/$J$4)</t>
  </si>
  <si>
    <t>R4</t>
  </si>
  <si>
    <t>=EXP(2*$K$4*R2)</t>
  </si>
  <si>
    <t>=EXP(2*$K$4*R$2/$J$4)</t>
  </si>
  <si>
    <t>S4</t>
  </si>
  <si>
    <t>=EXP(2*$K$4*S2)</t>
  </si>
  <si>
    <t>=EXP(2*$K$4*S$2/$J$4)</t>
  </si>
  <si>
    <t>T4</t>
  </si>
  <si>
    <t>=EXP(2*$K$4*T2)</t>
  </si>
  <si>
    <t>=EXP(2*$K$4*T$2/$J$4)</t>
  </si>
  <si>
    <t>U4</t>
  </si>
  <si>
    <t>=EXP(2*$K$4*U2)</t>
  </si>
  <si>
    <t>=EXP(2*$K$4*U$2/$J$4)</t>
  </si>
  <si>
    <t>V4</t>
  </si>
  <si>
    <t>=EXP(2*$K$4*V2)</t>
  </si>
  <si>
    <t>=EXP(2*$K$4*V$2/$J$4)</t>
  </si>
  <si>
    <t>W4</t>
  </si>
  <si>
    <t>=EXP(2*$K$4*W2)</t>
  </si>
  <si>
    <t>=EXP(2*$K$4*W$2/$J$4)</t>
  </si>
  <si>
    <t>X4</t>
  </si>
  <si>
    <t>=EXP(2*$K$4*X2)</t>
  </si>
  <si>
    <t>=EXP(2*$K$4*X$2/$J$4)</t>
  </si>
  <si>
    <t>Y4</t>
  </si>
  <si>
    <t>=EXP(2*$K$4*Y2)</t>
  </si>
  <si>
    <t>=EXP(2*$K$4*Y$2/$J$4)</t>
  </si>
  <si>
    <t>M5</t>
  </si>
  <si>
    <t>=EXP(2*$K$5*M2)</t>
  </si>
  <si>
    <t>=EXP(2*$K$5*M$2/$J$5)</t>
  </si>
  <si>
    <t>N5</t>
  </si>
  <si>
    <t>=EXP(2*$K$5*N2)</t>
  </si>
  <si>
    <t>=EXP(2*$K$5*N$2/$J$5)</t>
  </si>
  <si>
    <t>O5</t>
  </si>
  <si>
    <t>=EXP(2*$K$5*O2)</t>
  </si>
  <si>
    <t>=EXP(2*$K$5*O$2/$J$5)</t>
  </si>
  <si>
    <t>P5</t>
  </si>
  <si>
    <t>=EXP(2*$K$5*P2)</t>
  </si>
  <si>
    <t>=EXP(2*$K$5*P$2/$J$5)</t>
  </si>
  <si>
    <t>Q5</t>
  </si>
  <si>
    <t>=EXP(2*$K$5*Q2)</t>
  </si>
  <si>
    <t>=EXP(2*$K$5*Q$2/$J$5)</t>
  </si>
  <si>
    <t>R5</t>
  </si>
  <si>
    <t>=EXP(2*$K$5*R2)</t>
  </si>
  <si>
    <t>=EXP(2*$K$5*R$2/$J$5)</t>
  </si>
  <si>
    <t>S5</t>
  </si>
  <si>
    <t>=EXP(2*$K$5*S2)</t>
  </si>
  <si>
    <t>=EXP(2*$K$5*S$2/$J$5)</t>
  </si>
  <si>
    <t>T5</t>
  </si>
  <si>
    <t>=EXP(2*$K$5*T2)</t>
  </si>
  <si>
    <t>=EXP(2*$K$5*T$2/$J$5)</t>
  </si>
  <si>
    <t>U5</t>
  </si>
  <si>
    <t>=EXP(2*$K$5*U2)</t>
  </si>
  <si>
    <t>=EXP(2*$K$5*U$2/$J$5)</t>
  </si>
  <si>
    <t>V5</t>
  </si>
  <si>
    <t>=EXP(2*$K$5*V2)</t>
  </si>
  <si>
    <t>=EXP(2*$K$5*V$2/$J$5)</t>
  </si>
  <si>
    <t>W5</t>
  </si>
  <si>
    <t>=EXP(2*$K$5*W2)</t>
  </si>
  <si>
    <t>=EXP(2*$K$5*W$2/$J$5)</t>
  </si>
  <si>
    <t>X5</t>
  </si>
  <si>
    <t>=EXP(2*$K$5*X2)</t>
  </si>
  <si>
    <t>=EXP(2*$K$5*X$2/$J$5)</t>
  </si>
  <si>
    <t>Y5</t>
  </si>
  <si>
    <t>=EXP(2*$K$5*Y2)</t>
  </si>
  <si>
    <t>=EXP(2*$K$5*Y$2/$J$5)</t>
  </si>
  <si>
    <t>M6</t>
  </si>
  <si>
    <t>=EXP(2*$K$6*M2)</t>
  </si>
  <si>
    <t>=EXP(2*$K$6*M$2/$J$6)</t>
  </si>
  <si>
    <t>N6</t>
  </si>
  <si>
    <t>=EXP(2*$K$6*N2)</t>
  </si>
  <si>
    <t>=EXP(2*$K$6*N$2/$J$6)</t>
  </si>
  <si>
    <t>O6</t>
  </si>
  <si>
    <t>=EXP(2*$K$6*O2)</t>
  </si>
  <si>
    <t>=EXP(2*$K$6*O$2/$J$6)</t>
  </si>
  <si>
    <t>P6</t>
  </si>
  <si>
    <t>=EXP(2*$K$6*P2)</t>
  </si>
  <si>
    <t>=EXP(2*$K$6*P$2/$J$6)</t>
  </si>
  <si>
    <t>Q6</t>
  </si>
  <si>
    <t>=EXP(2*$K$6*Q2)</t>
  </si>
  <si>
    <t>=EXP(2*$K$6*Q$2/$J$6)</t>
  </si>
  <si>
    <t>R6</t>
  </si>
  <si>
    <t>=EXP(2*$K$6*R2)</t>
  </si>
  <si>
    <t>=EXP(2*$K$6*R$2/$J$6)</t>
  </si>
  <si>
    <t>S6</t>
  </si>
  <si>
    <t>=EXP(2*$K$6*S2)</t>
  </si>
  <si>
    <t>=EXP(2*$K$6*S$2/$J$6)</t>
  </si>
  <si>
    <t>T6</t>
  </si>
  <si>
    <t>=EXP(2*$K$6*T2)</t>
  </si>
  <si>
    <t>=EXP(2*$K$6*T$2/$J$6)</t>
  </si>
  <si>
    <t>U6</t>
  </si>
  <si>
    <t>=EXP(2*$K$6*U2)</t>
  </si>
  <si>
    <t>=EXP(2*$K$6*U$2/$J$6)</t>
  </si>
  <si>
    <t>V6</t>
  </si>
  <si>
    <t>=EXP(2*$K$6*V2)</t>
  </si>
  <si>
    <t>=EXP(2*$K$6*V$2/$J$6)</t>
  </si>
  <si>
    <t>W6</t>
  </si>
  <si>
    <t>=EXP(2*$K$6*W2)</t>
  </si>
  <si>
    <t>=EXP(2*$K$6*W$2/$J$6)</t>
  </si>
  <si>
    <t>X6</t>
  </si>
  <si>
    <t>=EXP(2*$K$6*X2)</t>
  </si>
  <si>
    <t>=EXP(2*$K$6*X$2/$J$6)</t>
  </si>
  <si>
    <t>Y6</t>
  </si>
  <si>
    <t>=EXP(2*$K$6*Y2)</t>
  </si>
  <si>
    <t>=EXP(2*$K$6*Y$2/$J$6)</t>
  </si>
  <si>
    <t>M7</t>
  </si>
  <si>
    <t>=EXP(2*$K$7*M2)</t>
  </si>
  <si>
    <t>=EXP(2*$K$7*M$2/$J$7)</t>
  </si>
  <si>
    <t>N7</t>
  </si>
  <si>
    <t>=EXP(2*$K$7*N2)</t>
  </si>
  <si>
    <t>=EXP(2*$K$7*N$2/$J$7)</t>
  </si>
  <si>
    <t>O7</t>
  </si>
  <si>
    <t>=EXP(2*$K$7*O2)</t>
  </si>
  <si>
    <t>=EXP(2*$K$7*O$2/$J$7)</t>
  </si>
  <si>
    <t>P7</t>
  </si>
  <si>
    <t>=EXP(2*$K$7*P2)</t>
  </si>
  <si>
    <t>=EXP(2*$K$7*P$2/$J$7)</t>
  </si>
  <si>
    <t>Q7</t>
  </si>
  <si>
    <t>=EXP(2*$K$7*Q2)</t>
  </si>
  <si>
    <t>=EXP(2*$K$7*Q$2/$J$7)</t>
  </si>
  <si>
    <t>R7</t>
  </si>
  <si>
    <t>=EXP(2*$K$7*R2)</t>
  </si>
  <si>
    <t>=EXP(2*$K$7*R$2/$J$7)</t>
  </si>
  <si>
    <t>S7</t>
  </si>
  <si>
    <t>=EXP(2*$K$7*S2)</t>
  </si>
  <si>
    <t>=EXP(2*$K$7*S$2/$J$7)</t>
  </si>
  <si>
    <t>T7</t>
  </si>
  <si>
    <t>=EXP(2*$K$7*T2)</t>
  </si>
  <si>
    <t>=EXP(2*$K$7*T$2/$J$7)</t>
  </si>
  <si>
    <t>U7</t>
  </si>
  <si>
    <t>=EXP(2*$K$7*U2)</t>
  </si>
  <si>
    <t>=EXP(2*$K$7*U$2/$J$7)</t>
  </si>
  <si>
    <t>V7</t>
  </si>
  <si>
    <t>=EXP(2*$K$7*V2)</t>
  </si>
  <si>
    <t>=EXP(2*$K$7*V$2/$J$7)</t>
  </si>
  <si>
    <t>W7</t>
  </si>
  <si>
    <t>=EXP(2*$K$7*W2)</t>
  </si>
  <si>
    <t>=EXP(2*$K$7*W$2/$J$7)</t>
  </si>
  <si>
    <t>X7</t>
  </si>
  <si>
    <t>=EXP(2*$K$7*X2)</t>
  </si>
  <si>
    <t>=EXP(2*$K$7*X$2/$J$7)</t>
  </si>
  <si>
    <t>Y7</t>
  </si>
  <si>
    <t>=EXP(2*$K$7*Y2)</t>
  </si>
  <si>
    <t>=EXP(2*$K$7*Y$2/$J$7)</t>
  </si>
  <si>
    <t>M8</t>
  </si>
  <si>
    <t>=EXP(2*$K$8*M2)</t>
  </si>
  <si>
    <t>=EXP(2*$K$8*M$2/$J$8)</t>
  </si>
  <si>
    <t>N8</t>
  </si>
  <si>
    <t>=EXP(2*$K$8*N2)</t>
  </si>
  <si>
    <t>=EXP(2*$K$8*N$2/$J$8)</t>
  </si>
  <si>
    <t>O8</t>
  </si>
  <si>
    <t>=EXP(2*$K$8*O2)</t>
  </si>
  <si>
    <t>=EXP(2*$K$8*O$2/$J$8)</t>
  </si>
  <si>
    <t>P8</t>
  </si>
  <si>
    <t>=EXP(2*$K$8*P2)</t>
  </si>
  <si>
    <t>=EXP(2*$K$8*P$2/$J$8)</t>
  </si>
  <si>
    <t>Q8</t>
  </si>
  <si>
    <t>=EXP(2*$K$8*Q2)</t>
  </si>
  <si>
    <t>=EXP(2*$K$8*Q$2/$J$8)</t>
  </si>
  <si>
    <t>R8</t>
  </si>
  <si>
    <t>=EXP(2*$K$8*R2)</t>
  </si>
  <si>
    <t>=EXP(2*$K$8*R$2/$J$8)</t>
  </si>
  <si>
    <t>S8</t>
  </si>
  <si>
    <t>=EXP(2*$K$8*S2)</t>
  </si>
  <si>
    <t>=EXP(2*$K$8*S$2/$J$8)</t>
  </si>
  <si>
    <t>T8</t>
  </si>
  <si>
    <t>=EXP(2*$K$8*T2)</t>
  </si>
  <si>
    <t>=EXP(2*$K$8*T$2/$J$8)</t>
  </si>
  <si>
    <t>U8</t>
  </si>
  <si>
    <t>=EXP(2*$K$8*U2)</t>
  </si>
  <si>
    <t>=EXP(2*$K$8*U$2/$J$8)</t>
  </si>
  <si>
    <t>V8</t>
  </si>
  <si>
    <t>=EXP(2*$K$8*V2)</t>
  </si>
  <si>
    <t>=EXP(2*$K$8*V$2/$J$8)</t>
  </si>
  <si>
    <t>W8</t>
  </si>
  <si>
    <t>=EXP(2*$K$8*W2)</t>
  </si>
  <si>
    <t>=EXP(2*$K$8*W$2/$J$8)</t>
  </si>
  <si>
    <t>X8</t>
  </si>
  <si>
    <t>=EXP(2*$K$8*X2)</t>
  </si>
  <si>
    <t>=EXP(2*$K$8*X$2/$J$8)</t>
  </si>
  <si>
    <t>Y8</t>
  </si>
  <si>
    <t>=EXP(2*$K$8*Y2)</t>
  </si>
  <si>
    <t>=EXP(2*$K$8*Y$2/$J$8)</t>
  </si>
  <si>
    <t>M9</t>
  </si>
  <si>
    <t>=EXP(2*$K$9*M2)</t>
  </si>
  <si>
    <t>=EXP(2*$K$9*M$2/$J$9)</t>
  </si>
  <si>
    <t>N9</t>
  </si>
  <si>
    <t>=EXP(2*$K$9*N2)</t>
  </si>
  <si>
    <t>=EXP(2*$K$9*N$2/$J$9)</t>
  </si>
  <si>
    <t>O9</t>
  </si>
  <si>
    <t>=EXP(2*$K$9*O2)</t>
  </si>
  <si>
    <t>=EXP(2*$K$9*O$2/$J$9)</t>
  </si>
  <si>
    <t>P9</t>
  </si>
  <si>
    <t>=EXP(2*$K$9*P2)</t>
  </si>
  <si>
    <t>=EXP(2*$K$9*P$2/$J$9)</t>
  </si>
  <si>
    <t>Q9</t>
  </si>
  <si>
    <t>=EXP(2*$K$9*Q2)</t>
  </si>
  <si>
    <t>=EXP(2*$K$9*Q$2/$J$9)</t>
  </si>
  <si>
    <t>R9</t>
  </si>
  <si>
    <t>=EXP(2*$K$9*R2)</t>
  </si>
  <si>
    <t>=EXP(2*$K$9*R$2/$J$9)</t>
  </si>
  <si>
    <t>S9</t>
  </si>
  <si>
    <t>=EXP(2*$K$9*S2)</t>
  </si>
  <si>
    <t>=EXP(2*$K$9*S$2/$J$9)</t>
  </si>
  <si>
    <t>T9</t>
  </si>
  <si>
    <t>=EXP(2*$K$9*T2)</t>
  </si>
  <si>
    <t>=EXP(2*$K$9*T$2/$J$9)</t>
  </si>
  <si>
    <t>U9</t>
  </si>
  <si>
    <t>=EXP(2*$K$9*U2)</t>
  </si>
  <si>
    <t>=EXP(2*$K$9*U$2/$J$9)</t>
  </si>
  <si>
    <t>V9</t>
  </si>
  <si>
    <t>=EXP(2*$K$9*V2)</t>
  </si>
  <si>
    <t>=EXP(2*$K$9*V$2/$J$9)</t>
  </si>
  <si>
    <t>W9</t>
  </si>
  <si>
    <t>=EXP(2*$K$9*W2)</t>
  </si>
  <si>
    <t>=EXP(2*$K$9*W$2/$J$9)</t>
  </si>
  <si>
    <t>X9</t>
  </si>
  <si>
    <t>=EXP(2*$K$9*X2)</t>
  </si>
  <si>
    <t>=EXP(2*$K$9*X$2/$J$9)</t>
  </si>
  <si>
    <t>Y9</t>
  </si>
  <si>
    <t>=EXP(2*$K$9*Y2)</t>
  </si>
  <si>
    <t>=EXP(2*$K$9*Y$2/$J$9)</t>
  </si>
  <si>
    <t>M10</t>
  </si>
  <si>
    <t>=EXP(2*$K$10*M2)</t>
  </si>
  <si>
    <t>=EXP(2*$K$10*M$2/$J$10)</t>
  </si>
  <si>
    <t>N10</t>
  </si>
  <si>
    <t>=EXP(2*$K$10*N2)</t>
  </si>
  <si>
    <t>=EXP(2*$K$10*N$2/$J$10)</t>
  </si>
  <si>
    <t>O10</t>
  </si>
  <si>
    <t>=EXP(2*$K$10*O2)</t>
  </si>
  <si>
    <t>=EXP(2*$K$10*O$2/$J$10)</t>
  </si>
  <si>
    <t>P10</t>
  </si>
  <si>
    <t>=EXP(2*$K$10*P2)</t>
  </si>
  <si>
    <t>=EXP(2*$K$10*P$2/$J$10)</t>
  </si>
  <si>
    <t>Q10</t>
  </si>
  <si>
    <t>=EXP(2*$K$10*Q2)</t>
  </si>
  <si>
    <t>=EXP(2*$K$10*Q$2/$J$10)</t>
  </si>
  <si>
    <t>R10</t>
  </si>
  <si>
    <t>=EXP(2*$K$10*R2)</t>
  </si>
  <si>
    <t>=EXP(2*$K$10*R$2/$J$10)</t>
  </si>
  <si>
    <t>S10</t>
  </si>
  <si>
    <t>=EXP(2*$K$10*S2)</t>
  </si>
  <si>
    <t>=EXP(2*$K$10*S$2/$J$10)</t>
  </si>
  <si>
    <t>T10</t>
  </si>
  <si>
    <t>=EXP(2*$K$10*T2)</t>
  </si>
  <si>
    <t>=EXP(2*$K$10*T$2/$J$10)</t>
  </si>
  <si>
    <t>U10</t>
  </si>
  <si>
    <t>=EXP(2*$K$10*U2)</t>
  </si>
  <si>
    <t>=EXP(2*$K$10*U$2/$J$10)</t>
  </si>
  <si>
    <t>V10</t>
  </si>
  <si>
    <t>=EXP(2*$K$10*V2)</t>
  </si>
  <si>
    <t>=EXP(2*$K$10*V$2/$J$10)</t>
  </si>
  <si>
    <t>W10</t>
  </si>
  <si>
    <t>=EXP(2*$K$10*W2)</t>
  </si>
  <si>
    <t>=EXP(2*$K$10*W$2/$J$10)</t>
  </si>
  <si>
    <t>X10</t>
  </si>
  <si>
    <t>=EXP(2*$K$10*X2)</t>
  </si>
  <si>
    <t>=EXP(2*$K$10*X$2/$J$10)</t>
  </si>
  <si>
    <t>Y10</t>
  </si>
  <si>
    <t>=EXP(2*$K$10*Y2)</t>
  </si>
  <si>
    <t>=EXP(2*$K$10*Y$2/$J$10)</t>
  </si>
  <si>
    <t>M11</t>
  </si>
  <si>
    <t>=EXP(2*$K$11*M2)</t>
  </si>
  <si>
    <t>=EXP(2*$K$11*M$2/$J$11)</t>
  </si>
  <si>
    <t>N11</t>
  </si>
  <si>
    <t>=EXP(2*$K$11*N2)</t>
  </si>
  <si>
    <t>=EXP(2*$K$11*N$2/$J$11)</t>
  </si>
  <si>
    <t>O11</t>
  </si>
  <si>
    <t>=EXP(2*$K$11*O2)</t>
  </si>
  <si>
    <t>=EXP(2*$K$11*O$2/$J$11)</t>
  </si>
  <si>
    <t>P11</t>
  </si>
  <si>
    <t>=EXP(2*$K$11*P2)</t>
  </si>
  <si>
    <t>=EXP(2*$K$11*P$2/$J$11)</t>
  </si>
  <si>
    <t>Q11</t>
  </si>
  <si>
    <t>=EXP(2*$K$11*Q2)</t>
  </si>
  <si>
    <t>=EXP(2*$K$11*Q$2/$J$11)</t>
  </si>
  <si>
    <t>R11</t>
  </si>
  <si>
    <t>=EXP(2*$K$11*R2)</t>
  </si>
  <si>
    <t>=EXP(2*$K$11*R$2/$J$11)</t>
  </si>
  <si>
    <t>S11</t>
  </si>
  <si>
    <t>=EXP(2*$K$11*S2)</t>
  </si>
  <si>
    <t>=EXP(2*$K$11*S$2/$J$11)</t>
  </si>
  <si>
    <t>T11</t>
  </si>
  <si>
    <t>=EXP(2*$K$11*T2)</t>
  </si>
  <si>
    <t>=EXP(2*$K$11*T$2/$J$11)</t>
  </si>
  <si>
    <t>U11</t>
  </si>
  <si>
    <t>=EXP(2*$K$11*U2)</t>
  </si>
  <si>
    <t>=EXP(2*$K$11*U$2/$J$11)</t>
  </si>
  <si>
    <t>V11</t>
  </si>
  <si>
    <t>=EXP(2*$K$11*V2)</t>
  </si>
  <si>
    <t>=EXP(2*$K$11*V$2/$J$11)</t>
  </si>
  <si>
    <t>W11</t>
  </si>
  <si>
    <t>=EXP(2*$K$11*W2)</t>
  </si>
  <si>
    <t>=EXP(2*$K$11*W$2/$J$11)</t>
  </si>
  <si>
    <t>X11</t>
  </si>
  <si>
    <t>=EXP(2*$K$11*X2)</t>
  </si>
  <si>
    <t>=EXP(2*$K$11*X$2/$J$11)</t>
  </si>
  <si>
    <t>Y11</t>
  </si>
  <si>
    <t>=EXP(2*$K$11*Y2)</t>
  </si>
  <si>
    <t>=EXP(2*$K$11*Y$2/$J$11)</t>
  </si>
  <si>
    <t>M12</t>
  </si>
  <si>
    <t>=EXP(2*$K$12*M2)</t>
  </si>
  <si>
    <t>=EXP(2*$K$12*M$2/$J$12)</t>
  </si>
  <si>
    <t>N12</t>
  </si>
  <si>
    <t>=EXP(2*$K$12*N2)</t>
  </si>
  <si>
    <t>=EXP(2*$K$12*N$2/$J$12)</t>
  </si>
  <si>
    <t>O12</t>
  </si>
  <si>
    <t>=EXP(2*$K$12*O2)</t>
  </si>
  <si>
    <t>=EXP(2*$K$12*O$2/$J$12)</t>
  </si>
  <si>
    <t>P12</t>
  </si>
  <si>
    <t>=EXP(2*$K$12*P2)</t>
  </si>
  <si>
    <t>=EXP(2*$K$12*P$2/$J$12)</t>
  </si>
  <si>
    <t>Q12</t>
  </si>
  <si>
    <t>=EXP(2*$K$12*Q2)</t>
  </si>
  <si>
    <t>=EXP(2*$K$12*Q$2/$J$12)</t>
  </si>
  <si>
    <t>R12</t>
  </si>
  <si>
    <t>=EXP(2*$K$12*R2)</t>
  </si>
  <si>
    <t>=EXP(2*$K$12*R$2/$J$12)</t>
  </si>
  <si>
    <t>S12</t>
  </si>
  <si>
    <t>=EXP(2*$K$12*S2)</t>
  </si>
  <si>
    <t>=EXP(2*$K$12*S$2/$J$12)</t>
  </si>
  <si>
    <t>T12</t>
  </si>
  <si>
    <t>=EXP(2*$K$12*T2)</t>
  </si>
  <si>
    <t>=EXP(2*$K$12*T$2/$J$12)</t>
  </si>
  <si>
    <t>U12</t>
  </si>
  <si>
    <t>=EXP(2*$K$12*U2)</t>
  </si>
  <si>
    <t>=EXP(2*$K$12*U$2/$J$12)</t>
  </si>
  <si>
    <t>V12</t>
  </si>
  <si>
    <t>=EXP(2*$K$12*V2)</t>
  </si>
  <si>
    <t>=EXP(2*$K$12*V$2/$J$12)</t>
  </si>
  <si>
    <t>W12</t>
  </si>
  <si>
    <t>=EXP(2*$K$12*W2)</t>
  </si>
  <si>
    <t>=EXP(2*$K$12*W$2/$J$12)</t>
  </si>
  <si>
    <t>X12</t>
  </si>
  <si>
    <t>=EXP(2*$K$12*X2)</t>
  </si>
  <si>
    <t>=EXP(2*$K$12*X$2/$J$12)</t>
  </si>
  <si>
    <t>Y12</t>
  </si>
  <si>
    <t>=EXP(2*$K$12*Y2)</t>
  </si>
  <si>
    <t>=EXP(2*$K$12*Y$2/$J$12)</t>
  </si>
  <si>
    <t>M13</t>
  </si>
  <si>
    <t>=EXP(2*$K$13*M2)</t>
  </si>
  <si>
    <t>=EXP(2*$K$13*M$2/$J$13)</t>
  </si>
  <si>
    <t>N13</t>
  </si>
  <si>
    <t>=EXP(2*$K$13*N2)</t>
  </si>
  <si>
    <t>=EXP(2*$K$13*N$2/$J$13)</t>
  </si>
  <si>
    <t>O13</t>
  </si>
  <si>
    <t>=EXP(2*$K$13*O2)</t>
  </si>
  <si>
    <t>=EXP(2*$K$13*O$2/$J$13)</t>
  </si>
  <si>
    <t>P13</t>
  </si>
  <si>
    <t>=EXP(2*$K$13*P2)</t>
  </si>
  <si>
    <t>=EXP(2*$K$13*P$2/$J$13)</t>
  </si>
  <si>
    <t>Q13</t>
  </si>
  <si>
    <t>=EXP(2*$K$13*Q2)</t>
  </si>
  <si>
    <t>=EXP(2*$K$13*Q$2/$J$13)</t>
  </si>
  <si>
    <t>R13</t>
  </si>
  <si>
    <t>=EXP(2*$K$13*R2)</t>
  </si>
  <si>
    <t>=EXP(2*$K$13*R$2/$J$13)</t>
  </si>
  <si>
    <t>S13</t>
  </si>
  <si>
    <t>=EXP(2*$K$13*S2)</t>
  </si>
  <si>
    <t>=EXP(2*$K$13*S$2/$J$13)</t>
  </si>
  <si>
    <t>T13</t>
  </si>
  <si>
    <t>=EXP(2*$K$13*T2)</t>
  </si>
  <si>
    <t>=EXP(2*$K$13*T$2/$J$13)</t>
  </si>
  <si>
    <t>U13</t>
  </si>
  <si>
    <t>=EXP(2*$K$13*U2)</t>
  </si>
  <si>
    <t>=EXP(2*$K$13*U$2/$J$13)</t>
  </si>
  <si>
    <t>V13</t>
  </si>
  <si>
    <t>=EXP(2*$K$13*V2)</t>
  </si>
  <si>
    <t>=EXP(2*$K$13*V$2/$J$13)</t>
  </si>
  <si>
    <t>W13</t>
  </si>
  <si>
    <t>=EXP(2*$K$13*W2)</t>
  </si>
  <si>
    <t>=EXP(2*$K$13*W$2/$J$13)</t>
  </si>
  <si>
    <t>X13</t>
  </si>
  <si>
    <t>=EXP(2*$K$13*X2)</t>
  </si>
  <si>
    <t>=EXP(2*$K$13*X$2/$J$13)</t>
  </si>
  <si>
    <t>Y13</t>
  </si>
  <si>
    <t>=EXP(2*$K$13*Y2)</t>
  </si>
  <si>
    <t>=EXP(2*$K$13*Y$2/$J$13)</t>
  </si>
  <si>
    <t>M14</t>
  </si>
  <si>
    <t>=EXP(2*$K$14*M2)</t>
  </si>
  <si>
    <t>=EXP(2*$K$14*M$2/$J$14)</t>
  </si>
  <si>
    <t>N14</t>
  </si>
  <si>
    <t>=EXP(2*$K$14*N2)</t>
  </si>
  <si>
    <t>=EXP(2*$K$14*N$2/$J$14)</t>
  </si>
  <si>
    <t>O14</t>
  </si>
  <si>
    <t>=EXP(2*$K$14*O2)</t>
  </si>
  <si>
    <t>=EXP(2*$K$14*O$2/$J$14)</t>
  </si>
  <si>
    <t>P14</t>
  </si>
  <si>
    <t>=EXP(2*$K$14*P2)</t>
  </si>
  <si>
    <t>=EXP(2*$K$14*P$2/$J$14)</t>
  </si>
  <si>
    <t>Q14</t>
  </si>
  <si>
    <t>=EXP(2*$K$14*Q2)</t>
  </si>
  <si>
    <t>=EXP(2*$K$14*Q$2/$J$14)</t>
  </si>
  <si>
    <t>R14</t>
  </si>
  <si>
    <t>=EXP(2*$K$14*R2)</t>
  </si>
  <si>
    <t>=EXP(2*$K$14*R$2/$J$14)</t>
  </si>
  <si>
    <t>S14</t>
  </si>
  <si>
    <t>=EXP(2*$K$14*S2)</t>
  </si>
  <si>
    <t>=EXP(2*$K$14*S$2/$J$14)</t>
  </si>
  <si>
    <t>T14</t>
  </si>
  <si>
    <t>=EXP(2*$K$14*T2)</t>
  </si>
  <si>
    <t>=EXP(2*$K$14*T$2/$J$14)</t>
  </si>
  <si>
    <t>U14</t>
  </si>
  <si>
    <t>=EXP(2*$K$14*U2)</t>
  </si>
  <si>
    <t>=EXP(2*$K$14*U$2/$J$14)</t>
  </si>
  <si>
    <t>V14</t>
  </si>
  <si>
    <t>=EXP(2*$K$14*V2)</t>
  </si>
  <si>
    <t>=EXP(2*$K$14*V$2/$J$14)</t>
  </si>
  <si>
    <t>W14</t>
  </si>
  <si>
    <t>=EXP(2*$K$14*W2)</t>
  </si>
  <si>
    <t>=EXP(2*$K$14*W$2/$J$14)</t>
  </si>
  <si>
    <t>X14</t>
  </si>
  <si>
    <t>=EXP(2*$K$14*X2)</t>
  </si>
  <si>
    <t>=EXP(2*$K$14*X$2/$J$14)</t>
  </si>
  <si>
    <t>Y14</t>
  </si>
  <si>
    <t>=EXP(2*$K$14*Y2)</t>
  </si>
  <si>
    <t>=EXP(2*$K$14*Y$2/$J$14)</t>
  </si>
  <si>
    <t>M15</t>
  </si>
  <si>
    <t>=EXP(2*$K$15*M2)</t>
  </si>
  <si>
    <t>=EXP(2*$K$15*M$2/$J$15)</t>
  </si>
  <si>
    <t>N15</t>
  </si>
  <si>
    <t>=EXP(2*$K$15*N2)</t>
  </si>
  <si>
    <t>=EXP(2*$K$15*N$2/$J$15)</t>
  </si>
  <si>
    <t>O15</t>
  </si>
  <si>
    <t>=EXP(2*$K$15*O2)</t>
  </si>
  <si>
    <t>=EXP(2*$K$15*O$2/$J$15)</t>
  </si>
  <si>
    <t>P15</t>
  </si>
  <si>
    <t>=EXP(2*$K$15*P2)</t>
  </si>
  <si>
    <t>=EXP(2*$K$15*P$2/$J$15)</t>
  </si>
  <si>
    <t>Q15</t>
  </si>
  <si>
    <t>=EXP(2*$K$15*Q2)</t>
  </si>
  <si>
    <t>=EXP(2*$K$15*Q$2/$J$15)</t>
  </si>
  <si>
    <t>R15</t>
  </si>
  <si>
    <t>=EXP(2*$K$15*R2)</t>
  </si>
  <si>
    <t>=EXP(2*$K$15*R$2/$J$15)</t>
  </si>
  <si>
    <t>S15</t>
  </si>
  <si>
    <t>=EXP(2*$K$15*S2)</t>
  </si>
  <si>
    <t>=EXP(2*$K$15*S$2/$J$15)</t>
  </si>
  <si>
    <t>T15</t>
  </si>
  <si>
    <t>=EXP(2*$K$15*T2)</t>
  </si>
  <si>
    <t>=EXP(2*$K$15*T$2/$J$15)</t>
  </si>
  <si>
    <t>U15</t>
  </si>
  <si>
    <t>=EXP(2*$K$15*U2)</t>
  </si>
  <si>
    <t>=EXP(2*$K$15*U$2/$J$15)</t>
  </si>
  <si>
    <t>V15</t>
  </si>
  <si>
    <t>=EXP(2*$K$15*V2)</t>
  </si>
  <si>
    <t>=EXP(2*$K$15*V$2/$J$15)</t>
  </si>
  <si>
    <t>W15</t>
  </si>
  <si>
    <t>=EXP(2*$K$15*W2)</t>
  </si>
  <si>
    <t>=EXP(2*$K$15*W$2/$J$15)</t>
  </si>
  <si>
    <t>X15</t>
  </si>
  <si>
    <t>=EXP(2*$K$15*X2)</t>
  </si>
  <si>
    <t>=EXP(2*$K$15*X$2/$J$15)</t>
  </si>
  <si>
    <t>Y15</t>
  </si>
  <si>
    <t>=EXP(2*$K$15*Y2)</t>
  </si>
  <si>
    <t>=EXP(2*$K$15*Y$2/$J$15)</t>
  </si>
  <si>
    <t>M16</t>
  </si>
  <si>
    <t>=EXP(2*$K$16*M2)</t>
  </si>
  <si>
    <t>=EXP(2*$K$16*M$2/$J$16)</t>
  </si>
  <si>
    <t>N16</t>
  </si>
  <si>
    <t>=EXP(2*$K$16*N2)</t>
  </si>
  <si>
    <t>=EXP(2*$K$16*N$2/$J$16)</t>
  </si>
  <si>
    <t>O16</t>
  </si>
  <si>
    <t>=EXP(2*$K$16*O2)</t>
  </si>
  <si>
    <t>=EXP(2*$K$16*O$2/$J$16)</t>
  </si>
  <si>
    <t>P16</t>
  </si>
  <si>
    <t>=EXP(2*$K$16*P2)</t>
  </si>
  <si>
    <t>=EXP(2*$K$16*P$2/$J$16)</t>
  </si>
  <si>
    <t>Q16</t>
  </si>
  <si>
    <t>=EXP(2*$K$16*Q2)</t>
  </si>
  <si>
    <t>=EXP(2*$K$16*Q$2/$J$16)</t>
  </si>
  <si>
    <t>R16</t>
  </si>
  <si>
    <t>=EXP(2*$K$16*R2)</t>
  </si>
  <si>
    <t>=EXP(2*$K$16*R$2/$J$16)</t>
  </si>
  <si>
    <t>S16</t>
  </si>
  <si>
    <t>=EXP(2*$K$16*S2)</t>
  </si>
  <si>
    <t>=EXP(2*$K$16*S$2/$J$16)</t>
  </si>
  <si>
    <t>T16</t>
  </si>
  <si>
    <t>=EXP(2*$K$16*T2)</t>
  </si>
  <si>
    <t>=EXP(2*$K$16*T$2/$J$16)</t>
  </si>
  <si>
    <t>U16</t>
  </si>
  <si>
    <t>=EXP(2*$K$16*U2)</t>
  </si>
  <si>
    <t>=EXP(2*$K$16*U$2/$J$16)</t>
  </si>
  <si>
    <t>V16</t>
  </si>
  <si>
    <t>=EXP(2*$K$16*V2)</t>
  </si>
  <si>
    <t>=EXP(2*$K$16*V$2/$J$16)</t>
  </si>
  <si>
    <t>W16</t>
  </si>
  <si>
    <t>=EXP(2*$K$16*W2)</t>
  </si>
  <si>
    <t>=EXP(2*$K$16*W$2/$J$16)</t>
  </si>
  <si>
    <t>X16</t>
  </si>
  <si>
    <t>=EXP(2*$K$16*X2)</t>
  </si>
  <si>
    <t>=EXP(2*$K$16*X$2/$J$16)</t>
  </si>
  <si>
    <t>Y16</t>
  </si>
  <si>
    <t>=EXP(2*$K$16*Y2)</t>
  </si>
  <si>
    <t>=EXP(2*$K$16*Y$2/$J$16)</t>
  </si>
  <si>
    <t>M17</t>
  </si>
  <si>
    <t>=EXP(2*$K$17*M2)</t>
  </si>
  <si>
    <t>=EXP(2*$K$17*M$2/$J$17)</t>
  </si>
  <si>
    <t>N17</t>
  </si>
  <si>
    <t>=EXP(2*$K$17*N2)</t>
  </si>
  <si>
    <t>=EXP(2*$K$17*N$2/$J$17)</t>
  </si>
  <si>
    <t>O17</t>
  </si>
  <si>
    <t>=EXP(2*$K$17*O2)</t>
  </si>
  <si>
    <t>=EXP(2*$K$17*O$2/$J$17)</t>
  </si>
  <si>
    <t>P17</t>
  </si>
  <si>
    <t>=EXP(2*$K$17*P2)</t>
  </si>
  <si>
    <t>=EXP(2*$K$17*P$2/$J$17)</t>
  </si>
  <si>
    <t>Q17</t>
  </si>
  <si>
    <t>=EXP(2*$K$17*Q2)</t>
  </si>
  <si>
    <t>=EXP(2*$K$17*Q$2/$J$17)</t>
  </si>
  <si>
    <t>R17</t>
  </si>
  <si>
    <t>=EXP(2*$K$17*R2)</t>
  </si>
  <si>
    <t>=EXP(2*$K$17*R$2/$J$17)</t>
  </si>
  <si>
    <t>S17</t>
  </si>
  <si>
    <t>=EXP(2*$K$17*S2)</t>
  </si>
  <si>
    <t>=EXP(2*$K$17*S$2/$J$17)</t>
  </si>
  <si>
    <t>T17</t>
  </si>
  <si>
    <t>=EXP(2*$K$17*T2)</t>
  </si>
  <si>
    <t>=EXP(2*$K$17*T$2/$J$17)</t>
  </si>
  <si>
    <t>U17</t>
  </si>
  <si>
    <t>=EXP(2*$K$17*U2)</t>
  </si>
  <si>
    <t>=EXP(2*$K$17*U$2/$J$17)</t>
  </si>
  <si>
    <t>V17</t>
  </si>
  <si>
    <t>=EXP(2*$K$17*V2)</t>
  </si>
  <si>
    <t>=EXP(2*$K$17*V$2/$J$17)</t>
  </si>
  <si>
    <t>W17</t>
  </si>
  <si>
    <t>=EXP(2*$K$17*W2)</t>
  </si>
  <si>
    <t>=EXP(2*$K$17*W$2/$J$17)</t>
  </si>
  <si>
    <t>X17</t>
  </si>
  <si>
    <t>=EXP(2*$K$17*X2)</t>
  </si>
  <si>
    <t>=EXP(2*$K$17*X$2/$J$17)</t>
  </si>
  <si>
    <t>Y17</t>
  </si>
  <si>
    <t>=EXP(2*$K$17*Y2)</t>
  </si>
  <si>
    <t>=EXP(2*$K$17*Y$2/$J$17)</t>
  </si>
  <si>
    <t>M18</t>
  </si>
  <si>
    <t>=EXP(2*$K$18*M2)</t>
  </si>
  <si>
    <t>=EXP(2*$K$18*M$2/$J$18)</t>
  </si>
  <si>
    <t>N18</t>
  </si>
  <si>
    <t>=EXP(2*$K$18*N2)</t>
  </si>
  <si>
    <t>=EXP(2*$K$18*N$2/$J$18)</t>
  </si>
  <si>
    <t>O18</t>
  </si>
  <si>
    <t>=EXP(2*$K$18*O2)</t>
  </si>
  <si>
    <t>=EXP(2*$K$18*O$2/$J$18)</t>
  </si>
  <si>
    <t>P18</t>
  </si>
  <si>
    <t>=EXP(2*$K$18*P2)</t>
  </si>
  <si>
    <t>=EXP(2*$K$18*P$2/$J$18)</t>
  </si>
  <si>
    <t>Q18</t>
  </si>
  <si>
    <t>=EXP(2*$K$18*Q2)</t>
  </si>
  <si>
    <t>=EXP(2*$K$18*Q$2/$J$18)</t>
  </si>
  <si>
    <t>R18</t>
  </si>
  <si>
    <t>=EXP(2*$K$18*R2)</t>
  </si>
  <si>
    <t>=EXP(2*$K$18*R$2/$J$18)</t>
  </si>
  <si>
    <t>S18</t>
  </si>
  <si>
    <t>=EXP(2*$K$18*S2)</t>
  </si>
  <si>
    <t>=EXP(2*$K$18*S$2/$J$18)</t>
  </si>
  <si>
    <t>T18</t>
  </si>
  <si>
    <t>=EXP(2*$K$18*T2)</t>
  </si>
  <si>
    <t>=EXP(2*$K$18*T$2/$J$18)</t>
  </si>
  <si>
    <t>U18</t>
  </si>
  <si>
    <t>=EXP(2*$K$18*U2)</t>
  </si>
  <si>
    <t>=EXP(2*$K$18*U$2/$J$18)</t>
  </si>
  <si>
    <t>V18</t>
  </si>
  <si>
    <t>=EXP(2*$K$18*V2)</t>
  </si>
  <si>
    <t>=EXP(2*$K$18*V$2/$J$18)</t>
  </si>
  <si>
    <t>W18</t>
  </si>
  <si>
    <t>=EXP(2*$K$18*W2)</t>
  </si>
  <si>
    <t>=EXP(2*$K$18*W$2/$J$18)</t>
  </si>
  <si>
    <t>X18</t>
  </si>
  <si>
    <t>=EXP(2*$K$18*X2)</t>
  </si>
  <si>
    <t>=EXP(2*$K$18*X$2/$J$18)</t>
  </si>
  <si>
    <t>Y18</t>
  </si>
  <si>
    <t>=EXP(2*$K$18*Y2)</t>
  </si>
  <si>
    <t>=EXP(2*$K$18*Y$2/$J$18)</t>
  </si>
  <si>
    <t>M19</t>
  </si>
  <si>
    <t>=EXP(2*$K$19*M2)</t>
  </si>
  <si>
    <t>=EXP(2*$K$19*M$2/$J$19)</t>
  </si>
  <si>
    <t>N19</t>
  </si>
  <si>
    <t>=EXP(2*$K$19*N2)</t>
  </si>
  <si>
    <t>=EXP(2*$K$19*N$2/$J$19)</t>
  </si>
  <si>
    <t>O19</t>
  </si>
  <si>
    <t>=EXP(2*$K$19*O2)</t>
  </si>
  <si>
    <t>=EXP(2*$K$19*O$2/$J$19)</t>
  </si>
  <si>
    <t>P19</t>
  </si>
  <si>
    <t>=EXP(2*$K$19*P2)</t>
  </si>
  <si>
    <t>=EXP(2*$K$19*P$2/$J$19)</t>
  </si>
  <si>
    <t>Q19</t>
  </si>
  <si>
    <t>=EXP(2*$K$19*Q2)</t>
  </si>
  <si>
    <t>=EXP(2*$K$19*Q$2/$J$19)</t>
  </si>
  <si>
    <t>R19</t>
  </si>
  <si>
    <t>=EXP(2*$K$19*R2)</t>
  </si>
  <si>
    <t>=EXP(2*$K$19*R$2/$J$19)</t>
  </si>
  <si>
    <t>S19</t>
  </si>
  <si>
    <t>=EXP(2*$K$19*S2)</t>
  </si>
  <si>
    <t>=EXP(2*$K$19*S$2/$J$19)</t>
  </si>
  <si>
    <t>T19</t>
  </si>
  <si>
    <t>=EXP(2*$K$19*T2)</t>
  </si>
  <si>
    <t>=EXP(2*$K$19*T$2/$J$19)</t>
  </si>
  <si>
    <t>U19</t>
  </si>
  <si>
    <t>=EXP(2*$K$19*U2)</t>
  </si>
  <si>
    <t>=EXP(2*$K$19*U$2/$J$19)</t>
  </si>
  <si>
    <t>V19</t>
  </si>
  <si>
    <t>=EXP(2*$K$19*V2)</t>
  </si>
  <si>
    <t>=EXP(2*$K$19*V$2/$J$19)</t>
  </si>
  <si>
    <t>W19</t>
  </si>
  <si>
    <t>=EXP(2*$K$19*W2)</t>
  </si>
  <si>
    <t>=EXP(2*$K$19*W$2/$J$19)</t>
  </si>
  <si>
    <t>X19</t>
  </si>
  <si>
    <t>=EXP(2*$K$19*X2)</t>
  </si>
  <si>
    <t>=EXP(2*$K$19*X$2/$J$19)</t>
  </si>
  <si>
    <t>Y19</t>
  </si>
  <si>
    <t>=EXP(2*$K$19*Y2)</t>
  </si>
  <si>
    <t>=EXP(2*$K$19*Y$2/$J$19)</t>
  </si>
  <si>
    <t>M20</t>
  </si>
  <si>
    <t>=EXP(2*$K$20*M2)</t>
  </si>
  <si>
    <t>=EXP(2*$K$20*M$2/$J$20)</t>
  </si>
  <si>
    <t>N20</t>
  </si>
  <si>
    <t>=EXP(2*$K$20*N2)</t>
  </si>
  <si>
    <t>=EXP(2*$K$20*N$2/$J$20)</t>
  </si>
  <si>
    <t>O20</t>
  </si>
  <si>
    <t>=EXP(2*$K$20*O2)</t>
  </si>
  <si>
    <t>=EXP(2*$K$20*O$2/$J$20)</t>
  </si>
  <si>
    <t>P20</t>
  </si>
  <si>
    <t>=EXP(2*$K$20*P2)</t>
  </si>
  <si>
    <t>=EXP(2*$K$20*P$2/$J$20)</t>
  </si>
  <si>
    <t>Q20</t>
  </si>
  <si>
    <t>=EXP(2*$K$20*Q2)</t>
  </si>
  <si>
    <t>=EXP(2*$K$20*Q$2/$J$20)</t>
  </si>
  <si>
    <t>R20</t>
  </si>
  <si>
    <t>=EXP(2*$K$20*R2)</t>
  </si>
  <si>
    <t>=EXP(2*$K$20*R$2/$J$20)</t>
  </si>
  <si>
    <t>S20</t>
  </si>
  <si>
    <t>=EXP(2*$K$20*S2)</t>
  </si>
  <si>
    <t>=EXP(2*$K$20*S$2/$J$20)</t>
  </si>
  <si>
    <t>T20</t>
  </si>
  <si>
    <t>=EXP(2*$K$20*T2)</t>
  </si>
  <si>
    <t>=EXP(2*$K$20*T$2/$J$20)</t>
  </si>
  <si>
    <t>U20</t>
  </si>
  <si>
    <t>=EXP(2*$K$20*U2)</t>
  </si>
  <si>
    <t>=EXP(2*$K$20*U$2/$J$20)</t>
  </si>
  <si>
    <t>V20</t>
  </si>
  <si>
    <t>=EXP(2*$K$20*V2)</t>
  </si>
  <si>
    <t>=EXP(2*$K$20*V$2/$J$20)</t>
  </si>
  <si>
    <t>W20</t>
  </si>
  <si>
    <t>=EXP(2*$K$20*W2)</t>
  </si>
  <si>
    <t>=EXP(2*$K$20*W$2/$J$20)</t>
  </si>
  <si>
    <t>X20</t>
  </si>
  <si>
    <t>=EXP(2*$K$20*X2)</t>
  </si>
  <si>
    <t>=EXP(2*$K$20*X$2/$J$20)</t>
  </si>
  <si>
    <t>Y20</t>
  </si>
  <si>
    <t>=EXP(2*$K$20*Y2)</t>
  </si>
  <si>
    <t>=EXP(2*$K$20*Y$2/$J$20)</t>
  </si>
  <si>
    <t>M21</t>
  </si>
  <si>
    <t>=EXP(2*$K$21*M2)</t>
  </si>
  <si>
    <t>=EXP(2*$K$21*M$2/$J$21)</t>
  </si>
  <si>
    <t>N21</t>
  </si>
  <si>
    <t>=EXP(2*$K$21*N2)</t>
  </si>
  <si>
    <t>=EXP(2*$K$21*N$2/$J$21)</t>
  </si>
  <si>
    <t>O21</t>
  </si>
  <si>
    <t>=EXP(2*$K$21*O2)</t>
  </si>
  <si>
    <t>=EXP(2*$K$21*O$2/$J$21)</t>
  </si>
  <si>
    <t>P21</t>
  </si>
  <si>
    <t>=EXP(2*$K$21*P2)</t>
  </si>
  <si>
    <t>=EXP(2*$K$21*P$2/$J$21)</t>
  </si>
  <si>
    <t>Q21</t>
  </si>
  <si>
    <t>=EXP(2*$K$21*Q2)</t>
  </si>
  <si>
    <t>=EXP(2*$K$21*Q$2/$J$21)</t>
  </si>
  <si>
    <t>R21</t>
  </si>
  <si>
    <t>=EXP(2*$K$21*R2)</t>
  </si>
  <si>
    <t>=EXP(2*$K$21*R$2/$J$21)</t>
  </si>
  <si>
    <t>S21</t>
  </si>
  <si>
    <t>=EXP(2*$K$21*S2)</t>
  </si>
  <si>
    <t>=EXP(2*$K$21*S$2/$J$21)</t>
  </si>
  <si>
    <t>T21</t>
  </si>
  <si>
    <t>=EXP(2*$K$21*T2)</t>
  </si>
  <si>
    <t>=EXP(2*$K$21*T$2/$J$21)</t>
  </si>
  <si>
    <t>U21</t>
  </si>
  <si>
    <t>=EXP(2*$K$21*U2)</t>
  </si>
  <si>
    <t>=EXP(2*$K$21*U$2/$J$21)</t>
  </si>
  <si>
    <t>V21</t>
  </si>
  <si>
    <t>=EXP(2*$K$21*V2)</t>
  </si>
  <si>
    <t>=EXP(2*$K$21*V$2/$J$21)</t>
  </si>
  <si>
    <t>W21</t>
  </si>
  <si>
    <t>=EXP(2*$K$21*W2)</t>
  </si>
  <si>
    <t>=EXP(2*$K$21*W$2/$J$21)</t>
  </si>
  <si>
    <t>X21</t>
  </si>
  <si>
    <t>=EXP(2*$K$21*X2)</t>
  </si>
  <si>
    <t>=EXP(2*$K$21*X$2/$J$21)</t>
  </si>
  <si>
    <t>Y21</t>
  </si>
  <si>
    <t>=EXP(2*$K$21*Y2)</t>
  </si>
  <si>
    <t>=EXP(2*$K$21*Y$2/$J$21)</t>
  </si>
  <si>
    <t>M22</t>
  </si>
  <si>
    <t>=EXP(2*$K$22*M2)</t>
  </si>
  <si>
    <t>=EXP(2*$K$22*M$2/$J$22)</t>
  </si>
  <si>
    <t>N22</t>
  </si>
  <si>
    <t>=EXP(2*$K$22*N2)</t>
  </si>
  <si>
    <t>=EXP(2*$K$22*N$2/$J$22)</t>
  </si>
  <si>
    <t>O22</t>
  </si>
  <si>
    <t>=EXP(2*$K$22*O2)</t>
  </si>
  <si>
    <t>=EXP(2*$K$22*O$2/$J$22)</t>
  </si>
  <si>
    <t>P22</t>
  </si>
  <si>
    <t>=EXP(2*$K$22*P2)</t>
  </si>
  <si>
    <t>=EXP(2*$K$22*P$2/$J$22)</t>
  </si>
  <si>
    <t>Q22</t>
  </si>
  <si>
    <t>=EXP(2*$K$22*Q2)</t>
  </si>
  <si>
    <t>=EXP(2*$K$22*Q$2/$J$22)</t>
  </si>
  <si>
    <t>R22</t>
  </si>
  <si>
    <t>=EXP(2*$K$22*R2)</t>
  </si>
  <si>
    <t>=EXP(2*$K$22*R$2/$J$22)</t>
  </si>
  <si>
    <t>S22</t>
  </si>
  <si>
    <t>=EXP(2*$K$22*S2)</t>
  </si>
  <si>
    <t>=EXP(2*$K$22*S$2/$J$22)</t>
  </si>
  <si>
    <t>T22</t>
  </si>
  <si>
    <t>=EXP(2*$K$22*T2)</t>
  </si>
  <si>
    <t>=EXP(2*$K$22*T$2/$J$22)</t>
  </si>
  <si>
    <t>U22</t>
  </si>
  <si>
    <t>=EXP(2*$K$22*U2)</t>
  </si>
  <si>
    <t>=EXP(2*$K$22*U$2/$J$22)</t>
  </si>
  <si>
    <t>V22</t>
  </si>
  <si>
    <t>=EXP(2*$K$22*V2)</t>
  </si>
  <si>
    <t>=EXP(2*$K$22*V$2/$J$22)</t>
  </si>
  <si>
    <t>W22</t>
  </si>
  <si>
    <t>=EXP(2*$K$22*W2)</t>
  </si>
  <si>
    <t>=EXP(2*$K$22*W$2/$J$22)</t>
  </si>
  <si>
    <t>X22</t>
  </si>
  <si>
    <t>=EXP(2*$K$22*X2)</t>
  </si>
  <si>
    <t>=EXP(2*$K$22*X$2/$J$22)</t>
  </si>
  <si>
    <t>Y22</t>
  </si>
  <si>
    <t>=EXP(2*$K$22*Y2)</t>
  </si>
  <si>
    <t>=EXP(2*$K$22*Y$2/$J$22)</t>
  </si>
  <si>
    <t>M23</t>
  </si>
  <si>
    <t>=EXP(2*$K$23*M2)</t>
  </si>
  <si>
    <t>=EXP(2*$K$23*M$2/$J$23)</t>
  </si>
  <si>
    <t>N23</t>
  </si>
  <si>
    <t>=EXP(2*$K$23*N2)</t>
  </si>
  <si>
    <t>=EXP(2*$K$23*N$2/$J$23)</t>
  </si>
  <si>
    <t>O23</t>
  </si>
  <si>
    <t>=EXP(2*$K$23*O2)</t>
  </si>
  <si>
    <t>=EXP(2*$K$23*O$2/$J$23)</t>
  </si>
  <si>
    <t>P23</t>
  </si>
  <si>
    <t>=EXP(2*$K$23*P2)</t>
  </si>
  <si>
    <t>=EXP(2*$K$23*P$2/$J$23)</t>
  </si>
  <si>
    <t>Q23</t>
  </si>
  <si>
    <t>=EXP(2*$K$23*Q2)</t>
  </si>
  <si>
    <t>=EXP(2*$K$23*Q$2/$J$23)</t>
  </si>
  <si>
    <t>R23</t>
  </si>
  <si>
    <t>=EXP(2*$K$23*R2)</t>
  </si>
  <si>
    <t>=EXP(2*$K$23*R$2/$J$23)</t>
  </si>
  <si>
    <t>S23</t>
  </si>
  <si>
    <t>=EXP(2*$K$23*S2)</t>
  </si>
  <si>
    <t>=EXP(2*$K$23*S$2/$J$23)</t>
  </si>
  <si>
    <t>T23</t>
  </si>
  <si>
    <t>=EXP(2*$K$23*T2)</t>
  </si>
  <si>
    <t>=EXP(2*$K$23*T$2/$J$23)</t>
  </si>
  <si>
    <t>U23</t>
  </si>
  <si>
    <t>=EXP(2*$K$23*U2)</t>
  </si>
  <si>
    <t>=EXP(2*$K$23*U$2/$J$23)</t>
  </si>
  <si>
    <t>V23</t>
  </si>
  <si>
    <t>=EXP(2*$K$23*V2)</t>
  </si>
  <si>
    <t>=EXP(2*$K$23*V$2/$J$23)</t>
  </si>
  <si>
    <t>W23</t>
  </si>
  <si>
    <t>=EXP(2*$K$23*W2)</t>
  </si>
  <si>
    <t>=EXP(2*$K$23*W$2/$J$23)</t>
  </si>
  <si>
    <t>X23</t>
  </si>
  <si>
    <t>=EXP(2*$K$23*X2)</t>
  </si>
  <si>
    <t>=EXP(2*$K$23*X$2/$J$23)</t>
  </si>
  <si>
    <t>Y23</t>
  </si>
  <si>
    <t>=EXP(2*$K$23*Y2)</t>
  </si>
  <si>
    <t>=EXP(2*$K$23*Y$2/$J$23)</t>
  </si>
  <si>
    <t>M24</t>
  </si>
  <si>
    <t>=EXP(2*$K$24*M2)</t>
  </si>
  <si>
    <t>=EXP(2*$K$24*M$2/$J$24)</t>
  </si>
  <si>
    <t>N24</t>
  </si>
  <si>
    <t>=EXP(2*$K$24*N2)</t>
  </si>
  <si>
    <t>=EXP(2*$K$24*N$2/$J$24)</t>
  </si>
  <si>
    <t>O24</t>
  </si>
  <si>
    <t>=EXP(2*$K$24*O2)</t>
  </si>
  <si>
    <t>=EXP(2*$K$24*O$2/$J$24)</t>
  </si>
  <si>
    <t>P24</t>
  </si>
  <si>
    <t>=EXP(2*$K$24*P2)</t>
  </si>
  <si>
    <t>=EXP(2*$K$24*P$2/$J$24)</t>
  </si>
  <si>
    <t>Q24</t>
  </si>
  <si>
    <t>=EXP(2*$K$24*Q2)</t>
  </si>
  <si>
    <t>=EXP(2*$K$24*Q$2/$J$24)</t>
  </si>
  <si>
    <t>R24</t>
  </si>
  <si>
    <t>=EXP(2*$K$24*R2)</t>
  </si>
  <si>
    <t>=EXP(2*$K$24*R$2/$J$24)</t>
  </si>
  <si>
    <t>S24</t>
  </si>
  <si>
    <t>=EXP(2*$K$24*S2)</t>
  </si>
  <si>
    <t>=EXP(2*$K$24*S$2/$J$24)</t>
  </si>
  <si>
    <t>T24</t>
  </si>
  <si>
    <t>=EXP(2*$K$24*T2)</t>
  </si>
  <si>
    <t>=EXP(2*$K$24*T$2/$J$24)</t>
  </si>
  <si>
    <t>U24</t>
  </si>
  <si>
    <t>=EXP(2*$K$24*U2)</t>
  </si>
  <si>
    <t>=EXP(2*$K$24*U$2/$J$24)</t>
  </si>
  <si>
    <t>V24</t>
  </si>
  <si>
    <t>=EXP(2*$K$24*V2)</t>
  </si>
  <si>
    <t>=EXP(2*$K$24*V$2/$J$24)</t>
  </si>
  <si>
    <t>W24</t>
  </si>
  <si>
    <t>=EXP(2*$K$24*W2)</t>
  </si>
  <si>
    <t>=EXP(2*$K$24*W$2/$J$24)</t>
  </si>
  <si>
    <t>X24</t>
  </si>
  <si>
    <t>=EXP(2*$K$24*X2)</t>
  </si>
  <si>
    <t>=EXP(2*$K$24*X$2/$J$24)</t>
  </si>
  <si>
    <t>Y24</t>
  </si>
  <si>
    <t>=EXP(2*$K$24*Y2)</t>
  </si>
  <si>
    <t>=EXP(2*$K$24*Y$2/$J$24)</t>
  </si>
  <si>
    <t>M25</t>
  </si>
  <si>
    <t>=EXP(2*$K$25*M2)</t>
  </si>
  <si>
    <t>=EXP(2*$K$25*M$2/$J$25)</t>
  </si>
  <si>
    <t>N25</t>
  </si>
  <si>
    <t>=EXP(2*$K$25*N2)</t>
  </si>
  <si>
    <t>=EXP(2*$K$25*N$2/$J$25)</t>
  </si>
  <si>
    <t>O25</t>
  </si>
  <si>
    <t>=EXP(2*$K$25*O2)</t>
  </si>
  <si>
    <t>=EXP(2*$K$25*O$2/$J$25)</t>
  </si>
  <si>
    <t>P25</t>
  </si>
  <si>
    <t>=EXP(2*$K$25*P2)</t>
  </si>
  <si>
    <t>=EXP(2*$K$25*P$2/$J$25)</t>
  </si>
  <si>
    <t>Q25</t>
  </si>
  <si>
    <t>=EXP(2*$K$25*Q2)</t>
  </si>
  <si>
    <t>=EXP(2*$K$25*Q$2/$J$25)</t>
  </si>
  <si>
    <t>R25</t>
  </si>
  <si>
    <t>=EXP(2*$K$25*R2)</t>
  </si>
  <si>
    <t>=EXP(2*$K$25*R$2/$J$25)</t>
  </si>
  <si>
    <t>S25</t>
  </si>
  <si>
    <t>=EXP(2*$K$25*S2)</t>
  </si>
  <si>
    <t>=EXP(2*$K$25*S$2/$J$25)</t>
  </si>
  <si>
    <t>T25</t>
  </si>
  <si>
    <t>=EXP(2*$K$25*T2)</t>
  </si>
  <si>
    <t>=EXP(2*$K$25*T$2/$J$25)</t>
  </si>
  <si>
    <t>U25</t>
  </si>
  <si>
    <t>=EXP(2*$K$25*U2)</t>
  </si>
  <si>
    <t>=EXP(2*$K$25*U$2/$J$25)</t>
  </si>
  <si>
    <t>V25</t>
  </si>
  <si>
    <t>=EXP(2*$K$25*V2)</t>
  </si>
  <si>
    <t>=EXP(2*$K$25*V$2/$J$25)</t>
  </si>
  <si>
    <t>W25</t>
  </si>
  <si>
    <t>=EXP(2*$K$25*W2)</t>
  </si>
  <si>
    <t>=EXP(2*$K$25*W$2/$J$25)</t>
  </si>
  <si>
    <t>X25</t>
  </si>
  <si>
    <t>=EXP(2*$K$25*X2)</t>
  </si>
  <si>
    <t>=EXP(2*$K$25*X$2/$J$25)</t>
  </si>
  <si>
    <t>Y25</t>
  </si>
  <si>
    <t>=EXP(2*$K$25*Y2)</t>
  </si>
  <si>
    <t>=EXP(2*$K$25*Y$2/$J$25)</t>
  </si>
  <si>
    <t>M26</t>
  </si>
  <si>
    <t>=EXP(2*$K$26*M2)</t>
  </si>
  <si>
    <t>=EXP(2*$K$26*M$2/$J$26)</t>
  </si>
  <si>
    <t>N26</t>
  </si>
  <si>
    <t>=EXP(2*$K$26*N2)</t>
  </si>
  <si>
    <t>=EXP(2*$K$26*N$2/$J$26)</t>
  </si>
  <si>
    <t>O26</t>
  </si>
  <si>
    <t>=EXP(2*$K$26*O2)</t>
  </si>
  <si>
    <t>=EXP(2*$K$26*O$2/$J$26)</t>
  </si>
  <si>
    <t>P26</t>
  </si>
  <si>
    <t>=EXP(2*$K$26*P2)</t>
  </si>
  <si>
    <t>=EXP(2*$K$26*P$2/$J$26)</t>
  </si>
  <si>
    <t>Q26</t>
  </si>
  <si>
    <t>=EXP(2*$K$26*Q2)</t>
  </si>
  <si>
    <t>=EXP(2*$K$26*Q$2/$J$26)</t>
  </si>
  <si>
    <t>R26</t>
  </si>
  <si>
    <t>=EXP(2*$K$26*R2)</t>
  </si>
  <si>
    <t>=EXP(2*$K$26*R$2/$J$26)</t>
  </si>
  <si>
    <t>S26</t>
  </si>
  <si>
    <t>=EXP(2*$K$26*S2)</t>
  </si>
  <si>
    <t>=EXP(2*$K$26*S$2/$J$26)</t>
  </si>
  <si>
    <t>T26</t>
  </si>
  <si>
    <t>=EXP(2*$K$26*T2)</t>
  </si>
  <si>
    <t>=EXP(2*$K$26*T$2/$J$26)</t>
  </si>
  <si>
    <t>U26</t>
  </si>
  <si>
    <t>=EXP(2*$K$26*U2)</t>
  </si>
  <si>
    <t>=EXP(2*$K$26*U$2/$J$26)</t>
  </si>
  <si>
    <t>V26</t>
  </si>
  <si>
    <t>=EXP(2*$K$26*V2)</t>
  </si>
  <si>
    <t>=EXP(2*$K$26*V$2/$J$26)</t>
  </si>
  <si>
    <t>W26</t>
  </si>
  <si>
    <t>=EXP(2*$K$26*W2)</t>
  </si>
  <si>
    <t>=EXP(2*$K$26*W$2/$J$26)</t>
  </si>
  <si>
    <t>X26</t>
  </si>
  <si>
    <t>=EXP(2*$K$26*X2)</t>
  </si>
  <si>
    <t>=EXP(2*$K$26*X$2/$J$26)</t>
  </si>
  <si>
    <t>Y26</t>
  </si>
  <si>
    <t>=EXP(2*$K$26*Y2)</t>
  </si>
  <si>
    <t>=EXP(2*$K$26*Y$2/$J$26)</t>
  </si>
  <si>
    <t>M27</t>
  </si>
  <si>
    <t>=EXP(2*$K$27*M2)</t>
  </si>
  <si>
    <t>=EXP(2*$K$27*M$2/$J$27)</t>
  </si>
  <si>
    <t>N27</t>
  </si>
  <si>
    <t>=EXP(2*$K$27*N2)</t>
  </si>
  <si>
    <t>=EXP(2*$K$27*N$2/$J$27)</t>
  </si>
  <si>
    <t>O27</t>
  </si>
  <si>
    <t>=EXP(2*$K$27*O2)</t>
  </si>
  <si>
    <t>=EXP(2*$K$27*O$2/$J$27)</t>
  </si>
  <si>
    <t>P27</t>
  </si>
  <si>
    <t>=EXP(2*$K$27*P2)</t>
  </si>
  <si>
    <t>=EXP(2*$K$27*P$2/$J$27)</t>
  </si>
  <si>
    <t>Q27</t>
  </si>
  <si>
    <t>=EXP(2*$K$27*Q2)</t>
  </si>
  <si>
    <t>=EXP(2*$K$27*Q$2/$J$27)</t>
  </si>
  <si>
    <t>R27</t>
  </si>
  <si>
    <t>=EXP(2*$K$27*R2)</t>
  </si>
  <si>
    <t>=EXP(2*$K$27*R$2/$J$27)</t>
  </si>
  <si>
    <t>S27</t>
  </si>
  <si>
    <t>=EXP(2*$K$27*S2)</t>
  </si>
  <si>
    <t>=EXP(2*$K$27*S$2/$J$27)</t>
  </si>
  <si>
    <t>T27</t>
  </si>
  <si>
    <t>=EXP(2*$K$27*T2)</t>
  </si>
  <si>
    <t>=EXP(2*$K$27*T$2/$J$27)</t>
  </si>
  <si>
    <t>U27</t>
  </si>
  <si>
    <t>=EXP(2*$K$27*U2)</t>
  </si>
  <si>
    <t>=EXP(2*$K$27*U$2/$J$27)</t>
  </si>
  <si>
    <t>V27</t>
  </si>
  <si>
    <t>=EXP(2*$K$27*V2)</t>
  </si>
  <si>
    <t>=EXP(2*$K$27*V$2/$J$27)</t>
  </si>
  <si>
    <t>W27</t>
  </si>
  <si>
    <t>=EXP(2*$K$27*W2)</t>
  </si>
  <si>
    <t>=EXP(2*$K$27*W$2/$J$27)</t>
  </si>
  <si>
    <t>X27</t>
  </si>
  <si>
    <t>=EXP(2*$K$27*X2)</t>
  </si>
  <si>
    <t>=EXP(2*$K$27*X$2/$J$27)</t>
  </si>
  <si>
    <t>Y27</t>
  </si>
  <si>
    <t>=EXP(2*$K$27*Y2)</t>
  </si>
  <si>
    <t>=EXP(2*$K$27*Y$2/$J$27)</t>
  </si>
  <si>
    <t>M28</t>
  </si>
  <si>
    <t>=EXP(2*$K$28*M2)</t>
  </si>
  <si>
    <t>=EXP(2*$K$28*M$2/$J$28)</t>
  </si>
  <si>
    <t>N28</t>
  </si>
  <si>
    <t>=EXP(2*$K$28*N2)</t>
  </si>
  <si>
    <t>=EXP(2*$K$28*N$2/$J$28)</t>
  </si>
  <si>
    <t>O28</t>
  </si>
  <si>
    <t>=EXP(2*$K$28*O2)</t>
  </si>
  <si>
    <t>=EXP(2*$K$28*O$2/$J$28)</t>
  </si>
  <si>
    <t>P28</t>
  </si>
  <si>
    <t>=EXP(2*$K$28*P2)</t>
  </si>
  <si>
    <t>=EXP(2*$K$28*P$2/$J$28)</t>
  </si>
  <si>
    <t>Q28</t>
  </si>
  <si>
    <t>=EXP(2*$K$28*Q2)</t>
  </si>
  <si>
    <t>=EXP(2*$K$28*Q$2/$J$28)</t>
  </si>
  <si>
    <t>R28</t>
  </si>
  <si>
    <t>=EXP(2*$K$28*R2)</t>
  </si>
  <si>
    <t>=EXP(2*$K$28*R$2/$J$28)</t>
  </si>
  <si>
    <t>S28</t>
  </si>
  <si>
    <t>=EXP(2*$K$28*S2)</t>
  </si>
  <si>
    <t>=EXP(2*$K$28*S$2/$J$28)</t>
  </si>
  <si>
    <t>T28</t>
  </si>
  <si>
    <t>=EXP(2*$K$28*T2)</t>
  </si>
  <si>
    <t>=EXP(2*$K$28*T$2/$J$28)</t>
  </si>
  <si>
    <t>U28</t>
  </si>
  <si>
    <t>=EXP(2*$K$28*U2)</t>
  </si>
  <si>
    <t>=EXP(2*$K$28*U$2/$J$28)</t>
  </si>
  <si>
    <t>V28</t>
  </si>
  <si>
    <t>=EXP(2*$K$28*V2)</t>
  </si>
  <si>
    <t>=EXP(2*$K$28*V$2/$J$28)</t>
  </si>
  <si>
    <t>W28</t>
  </si>
  <si>
    <t>=EXP(2*$K$28*W2)</t>
  </si>
  <si>
    <t>=EXP(2*$K$28*W$2/$J$28)</t>
  </si>
  <si>
    <t>X28</t>
  </si>
  <si>
    <t>=EXP(2*$K$28*X2)</t>
  </si>
  <si>
    <t>=EXP(2*$K$28*X$2/$J$28)</t>
  </si>
  <si>
    <t>Y28</t>
  </si>
  <si>
    <t>=EXP(2*$K$28*Y2)</t>
  </si>
  <si>
    <t>=EXP(2*$K$28*Y$2/$J$28)</t>
  </si>
  <si>
    <t>M29</t>
  </si>
  <si>
    <t>=EXP(2*$K$29*M2)</t>
  </si>
  <si>
    <t>=EXP(2*$K$29*M$2/$J$29)</t>
  </si>
  <si>
    <t>N29</t>
  </si>
  <si>
    <t>=EXP(2*$K$29*N2)</t>
  </si>
  <si>
    <t>=EXP(2*$K$29*N$2/$J$29)</t>
  </si>
  <si>
    <t>O29</t>
  </si>
  <si>
    <t>=EXP(2*$K$29*O2)</t>
  </si>
  <si>
    <t>=EXP(2*$K$29*O$2/$J$29)</t>
  </si>
  <si>
    <t>P29</t>
  </si>
  <si>
    <t>=EXP(2*$K$29*P2)</t>
  </si>
  <si>
    <t>=EXP(2*$K$29*P$2/$J$29)</t>
  </si>
  <si>
    <t>Q29</t>
  </si>
  <si>
    <t>=EXP(2*$K$29*Q2)</t>
  </si>
  <si>
    <t>=EXP(2*$K$29*Q$2/$J$29)</t>
  </si>
  <si>
    <t>R29</t>
  </si>
  <si>
    <t>=EXP(2*$K$29*R2)</t>
  </si>
  <si>
    <t>=EXP(2*$K$29*R$2/$J$29)</t>
  </si>
  <si>
    <t>S29</t>
  </si>
  <si>
    <t>=EXP(2*$K$29*S2)</t>
  </si>
  <si>
    <t>=EXP(2*$K$29*S$2/$J$29)</t>
  </si>
  <si>
    <t>T29</t>
  </si>
  <si>
    <t>=EXP(2*$K$29*T2)</t>
  </si>
  <si>
    <t>=EXP(2*$K$29*T$2/$J$29)</t>
  </si>
  <si>
    <t>U29</t>
  </si>
  <si>
    <t>=EXP(2*$K$29*U2)</t>
  </si>
  <si>
    <t>=EXP(2*$K$29*U$2/$J$29)</t>
  </si>
  <si>
    <t>V29</t>
  </si>
  <si>
    <t>=EXP(2*$K$29*V2)</t>
  </si>
  <si>
    <t>=EXP(2*$K$29*V$2/$J$29)</t>
  </si>
  <si>
    <t>W29</t>
  </si>
  <si>
    <t>=EXP(2*$K$29*W2)</t>
  </si>
  <si>
    <t>=EXP(2*$K$29*W$2/$J$29)</t>
  </si>
  <si>
    <t>X29</t>
  </si>
  <si>
    <t>=EXP(2*$K$29*X2)</t>
  </si>
  <si>
    <t>=EXP(2*$K$29*X$2/$J$29)</t>
  </si>
  <si>
    <t>Y29</t>
  </si>
  <si>
    <t>=EXP(2*$K$29*Y2)</t>
  </si>
  <si>
    <t>=EXP(2*$K$29*Y$2/$J$29)</t>
  </si>
  <si>
    <t>M30</t>
  </si>
  <si>
    <t>=EXP(2*$K$30*M2)</t>
  </si>
  <si>
    <t>=EXP(2*$K$30*M$2/$J$30)</t>
  </si>
  <si>
    <t>N30</t>
  </si>
  <si>
    <t>=EXP(2*$K$30*N2)</t>
  </si>
  <si>
    <t>=EXP(2*$K$30*N$2/$J$30)</t>
  </si>
  <si>
    <t>O30</t>
  </si>
  <si>
    <t>=EXP(2*$K$30*O2)</t>
  </si>
  <si>
    <t>=EXP(2*$K$30*O$2/$J$30)</t>
  </si>
  <si>
    <t>P30</t>
  </si>
  <si>
    <t>=EXP(2*$K$30*P2)</t>
  </si>
  <si>
    <t>=EXP(2*$K$30*P$2/$J$30)</t>
  </si>
  <si>
    <t>Q30</t>
  </si>
  <si>
    <t>=EXP(2*$K$30*Q2)</t>
  </si>
  <si>
    <t>=EXP(2*$K$30*Q$2/$J$30)</t>
  </si>
  <si>
    <t>R30</t>
  </si>
  <si>
    <t>=EXP(2*$K$30*R2)</t>
  </si>
  <si>
    <t>=EXP(2*$K$30*R$2/$J$30)</t>
  </si>
  <si>
    <t>S30</t>
  </si>
  <si>
    <t>=EXP(2*$K$30*S2)</t>
  </si>
  <si>
    <t>=EXP(2*$K$30*S$2/$J$30)</t>
  </si>
  <si>
    <t>T30</t>
  </si>
  <si>
    <t>=EXP(2*$K$30*T2)</t>
  </si>
  <si>
    <t>=EXP(2*$K$30*T$2/$J$30)</t>
  </si>
  <si>
    <t>U30</t>
  </si>
  <si>
    <t>=EXP(2*$K$30*U2)</t>
  </si>
  <si>
    <t>=EXP(2*$K$30*U$2/$J$30)</t>
  </si>
  <si>
    <t>V30</t>
  </si>
  <si>
    <t>=EXP(2*$K$30*V2)</t>
  </si>
  <si>
    <t>=EXP(2*$K$30*V$2/$J$30)</t>
  </si>
  <si>
    <t>W30</t>
  </si>
  <si>
    <t>=EXP(2*$K$30*W2)</t>
  </si>
  <si>
    <t>=EXP(2*$K$30*W$2/$J$30)</t>
  </si>
  <si>
    <t>X30</t>
  </si>
  <si>
    <t>=EXP(2*$K$30*X2)</t>
  </si>
  <si>
    <t>=EXP(2*$K$30*X$2/$J$30)</t>
  </si>
  <si>
    <t>Y30</t>
  </si>
  <si>
    <t>=EXP(2*$K$30*Y2)</t>
  </si>
  <si>
    <t>=EXP(2*$K$30*Y$2/$J$30)</t>
  </si>
  <si>
    <t>M2</t>
  </si>
  <si>
    <t>1e-09</t>
  </si>
  <si>
    <t>concentration grid extended to 1 mM (log-spaced) to show where non-ideality becomes relevant</t>
  </si>
  <si>
    <t>N2</t>
  </si>
  <si>
    <t>2.5e-09</t>
  </si>
  <si>
    <t>3e-09</t>
  </si>
  <si>
    <t>O2</t>
  </si>
  <si>
    <t>5e-09</t>
  </si>
  <si>
    <t>1e-08</t>
  </si>
  <si>
    <t>P2</t>
  </si>
  <si>
    <t>7.5e-09</t>
  </si>
  <si>
    <t>3e-08</t>
  </si>
  <si>
    <t>Q2</t>
  </si>
  <si>
    <t>1e-07</t>
  </si>
  <si>
    <t>R2</t>
  </si>
  <si>
    <t>2.5e-08</t>
  </si>
  <si>
    <t>3e-07</t>
  </si>
  <si>
    <t>S2</t>
  </si>
  <si>
    <t>5e-08</t>
  </si>
  <si>
    <t>1e-06</t>
  </si>
  <si>
    <t>T2</t>
  </si>
  <si>
    <t>7.5e-08</t>
  </si>
  <si>
    <t>3e-06</t>
  </si>
  <si>
    <t>U2</t>
  </si>
  <si>
    <t>1e-05</t>
  </si>
  <si>
    <t>V2</t>
  </si>
  <si>
    <t>2.5e-07</t>
  </si>
  <si>
    <t>3e-05</t>
  </si>
  <si>
    <t>W2</t>
  </si>
  <si>
    <t>5e-07</t>
  </si>
  <si>
    <t>0.0001</t>
  </si>
  <si>
    <t>X2</t>
  </si>
  <si>
    <t>7.5e-07</t>
  </si>
  <si>
    <t>0.0003</t>
  </si>
  <si>
    <t>Y2</t>
  </si>
  <si>
    <t>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</si>
</sst>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E+00"/>
  </numFmts>
  <fonts count="5" x14ac:knownFonts="1">
    <font>
      <sz val="12"/>
      <color theme="1"/>
      <name val="Calibri"/>
      <family val="2"/>
      <charset val="1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vertical="top" wrapText="1"/>
    </xf>
    <xf numFmtId="0" fontId="0" fillId="0" borderId="1" xfId="0" applyBorder="1" applyAlignment="1">
      <alignment horizontal="center" vertical="center"/>
    </xf>
    <xf numFmtId="11" fontId="0" fillId="0" borderId="0" xfId="0" applyNumberFormat="1"/>
    <xf numFmtId="11" fontId="0" fillId="0" borderId="0" xfId="0" applyNumberFormat="1" applyAlignment="1">
      <alignment horizontal="center"/>
    </xf>
    <xf numFmtId="2" fontId="0" fillId="0" borderId="2" xfId="0" applyNumberFormat="1" applyBorder="1"/>
    <xf numFmtId="164" fontId="0" fillId="0" borderId="2" xfId="0" applyNumberFormat="1" applyBorder="1"/>
    <xf numFmtId="11" fontId="0" fillId="0" borderId="2" xfId="0" applyNumberFormat="1" applyBorder="1"/>
    <xf numFmtId="0" fontId="0" fillId="0" borderId="2" xfId="0" applyBorder="1"/>
    <xf numFmtId="165" fontId="0" fillId="0" borderId="2" xfId="0" applyNumberFormat="1" applyBorder="1"/>
    <xf numFmtId="165" fontId="0" fillId="0" borderId="3" xfId="0" applyNumberFormat="1" applyBorder="1"/>
    <xf numFmtId="165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4" xfId="0" applyNumberFormat="1" applyBorder="1"/>
    <xf numFmtId="2" fontId="0" fillId="0" borderId="5" xfId="0" applyNumberFormat="1" applyBorder="1"/>
    <xf numFmtId="164" fontId="0" fillId="0" borderId="5" xfId="0" applyNumberFormat="1" applyBorder="1"/>
    <xf numFmtId="11" fontId="0" fillId="0" borderId="5" xfId="0" applyNumberFormat="1" applyBorder="1"/>
    <xf numFmtId="0" fontId="0" fillId="0" borderId="5" xfId="0" applyBorder="1"/>
    <xf numFmtId="165" fontId="0" fillId="0" borderId="5" xfId="0" applyNumberFormat="1" applyBorder="1"/>
    <xf numFmtId="165" fontId="0" fillId="0" borderId="6" xfId="0" applyNumberFormat="1" applyBorder="1"/>
    <xf numFmtId="166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70AD47"/>
      <rgbColor rgb="FFFFC000"/>
      <rgbColor rgb="FFFF9900"/>
      <rgbColor rgb="FFED7D31"/>
      <rgbColor rgb="FF595959"/>
      <rgbColor rgb="FFA5A5A5"/>
      <rgbColor rgb="FF003366"/>
      <rgbColor rgb="FF00B050"/>
      <rgbColor rgb="FF003300"/>
      <rgbColor rgb="FF333300"/>
      <rgbColor rgb="FF993300"/>
      <rgbColor rgb="FF993366"/>
      <rgbColor rgb="FF2644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lang="en-GB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GB" sz="1400" b="0" strike="noStrike" spc="-1">
                <a:solidFill>
                  <a:srgbClr val="595959"/>
                </a:solidFill>
                <a:latin typeface="Calibri"/>
              </a:rPr>
              <a:t>25mM NaCl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Proteins!$D$3</c:f>
              <c:strCache>
                <c:ptCount val="1"/>
                <c:pt idx="0">
                  <c:v>3.76</c:v>
                </c:pt>
              </c:strCache>
            </c:strRef>
          </c:tx>
          <c:spPr>
            <a:ln w="19080" cap="rnd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Proteins!$M$2:$Y$2</c:f>
              <c:numCache>
                <c:formatCode>0.00E+00</c:formatCode>
                <c:ptCount val="13"/>
                <c:pt idx="0">
                  <c:v>1.0000000000000001E-9</c:v>
                </c:pt>
                <c:pt idx="1">
                  <c:v>3E-9</c:v>
                </c:pt>
                <c:pt idx="2">
                  <c:v>1E-8</c:v>
                </c:pt>
                <c:pt idx="3">
                  <c:v>2.9999999999999997E-8</c:v>
                </c:pt>
                <c:pt idx="4">
                  <c:v>9.9999999999999995E-8</c:v>
                </c:pt>
                <c:pt idx="5">
                  <c:v>2.9999999999999999E-7</c:v>
                </c:pt>
                <c:pt idx="6">
                  <c:v>9.9999999999999995E-7</c:v>
                </c:pt>
                <c:pt idx="7">
                  <c:v>3.0000000000000001E-6</c:v>
                </c:pt>
                <c:pt idx="8">
                  <c:v>1.0000000000000001E-5</c:v>
                </c:pt>
                <c:pt idx="9">
                  <c:v>3.0000000000000001E-5</c:v>
                </c:pt>
                <c:pt idx="10">
                  <c:v>1E-4</c:v>
                </c:pt>
                <c:pt idx="11">
                  <c:v>2.9999999999999997E-4</c:v>
                </c:pt>
                <c:pt idx="12">
                  <c:v>1E-3</c:v>
                </c:pt>
              </c:numCache>
            </c:numRef>
          </c:xVal>
          <c:yVal>
            <c:numRef>
              <c:f>Proteins!$M$3:$Y$3</c:f>
              <c:numCache>
                <c:formatCode>0.0000</c:formatCode>
                <c:ptCount val="13"/>
                <c:pt idx="0">
                  <c:v>1.0000012361802137</c:v>
                </c:pt>
                <c:pt idx="1">
                  <c:v>1.0000037085452256</c:v>
                </c:pt>
                <c:pt idx="2">
                  <c:v>1.0000123618709036</c:v>
                </c:pt>
                <c:pt idx="3">
                  <c:v>1.00003708607116</c:v>
                </c:pt>
                <c:pt idx="4">
                  <c:v>1.0001236255859751</c:v>
                </c:pt>
                <c:pt idx="5">
                  <c:v>1.0003709226096713</c:v>
                </c:pt>
                <c:pt idx="6">
                  <c:v>1.0012369438343767</c:v>
                </c:pt>
                <c:pt idx="7">
                  <c:v>1.0037154234858399</c:v>
                </c:pt>
                <c:pt idx="8">
                  <c:v>1.012438517295678</c:v>
                </c:pt>
                <c:pt idx="9">
                  <c:v>1.0377816264710831</c:v>
                </c:pt>
                <c:pt idx="10">
                  <c:v>1.1315834612401174</c:v>
                </c:pt>
                <c:pt idx="11">
                  <c:v>1.44897126885761</c:v>
                </c:pt>
                <c:pt idx="12">
                  <c:v>3.4424363074558664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E0-8A45-9C87-9E20D2F79F82}"/>
            </c:ext>
          </c:extLst>
        </c:ser>
        <c:ser>
          <c:idx val="1"/>
          <c:order val="1"/>
          <c:tx>
            <c:strRef>
              <c:f>Proteins!$D$4</c:f>
              <c:strCache>
                <c:ptCount val="1"/>
                <c:pt idx="0">
                  <c:v>4.64</c:v>
                </c:pt>
              </c:strCache>
            </c:strRef>
          </c:tx>
          <c:spPr>
            <a:ln w="19080" cap="rnd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Proteins!$M$2:$Y$2</c:f>
              <c:numCache>
                <c:formatCode>0.00E+00</c:formatCode>
                <c:ptCount val="13"/>
                <c:pt idx="0">
                  <c:v>1.0000000000000001E-9</c:v>
                </c:pt>
                <c:pt idx="1">
                  <c:v>3E-9</c:v>
                </c:pt>
                <c:pt idx="2">
                  <c:v>1E-8</c:v>
                </c:pt>
                <c:pt idx="3">
                  <c:v>2.9999999999999997E-8</c:v>
                </c:pt>
                <c:pt idx="4">
                  <c:v>9.9999999999999995E-8</c:v>
                </c:pt>
                <c:pt idx="5">
                  <c:v>2.9999999999999999E-7</c:v>
                </c:pt>
                <c:pt idx="6">
                  <c:v>9.9999999999999995E-7</c:v>
                </c:pt>
                <c:pt idx="7">
                  <c:v>3.0000000000000001E-6</c:v>
                </c:pt>
                <c:pt idx="8">
                  <c:v>1.0000000000000001E-5</c:v>
                </c:pt>
                <c:pt idx="9">
                  <c:v>3.0000000000000001E-5</c:v>
                </c:pt>
                <c:pt idx="10">
                  <c:v>1E-4</c:v>
                </c:pt>
                <c:pt idx="11">
                  <c:v>2.9999999999999997E-4</c:v>
                </c:pt>
                <c:pt idx="12">
                  <c:v>1E-3</c:v>
                </c:pt>
              </c:numCache>
            </c:numRef>
          </c:xVal>
          <c:yVal>
            <c:numRef>
              <c:f>Proteins!$M$4:$Y$4</c:f>
              <c:numCache>
                <c:formatCode>0.0000</c:formatCode>
                <c:ptCount val="13"/>
                <c:pt idx="0">
                  <c:v>1.0000000016895785</c:v>
                </c:pt>
                <c:pt idx="1">
                  <c:v>1.0000000050687357</c:v>
                </c:pt>
                <c:pt idx="2">
                  <c:v>1.0000000168957857</c:v>
                </c:pt>
                <c:pt idx="3">
                  <c:v>1.0000000506873576</c:v>
                </c:pt>
                <c:pt idx="4">
                  <c:v>1.000000168957869</c:v>
                </c:pt>
                <c:pt idx="5">
                  <c:v>1.0000005068736928</c:v>
                </c:pt>
                <c:pt idx="6">
                  <c:v>1.0000016895799755</c:v>
                </c:pt>
                <c:pt idx="7">
                  <c:v>1.0000050687484905</c:v>
                </c:pt>
                <c:pt idx="8">
                  <c:v>1.0000168959282161</c:v>
                </c:pt>
                <c:pt idx="9">
                  <c:v>1.0000506886410703</c:v>
                </c:pt>
                <c:pt idx="10">
                  <c:v>1.0001689721289972</c:v>
                </c:pt>
                <c:pt idx="11">
                  <c:v>1.0005070020465574</c:v>
                </c:pt>
                <c:pt idx="12">
                  <c:v>1.0016910066901914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E0-8A45-9C87-9E20D2F79F82}"/>
            </c:ext>
          </c:extLst>
        </c:ser>
        <c:ser>
          <c:idx val="2"/>
          <c:order val="2"/>
          <c:tx>
            <c:strRef>
              <c:f>Proteins!$D$5</c:f>
              <c:strCache>
                <c:ptCount val="1"/>
                <c:pt idx="0">
                  <c:v>4.89</c:v>
                </c:pt>
              </c:strCache>
            </c:strRef>
          </c:tx>
          <c:spPr>
            <a:ln w="19080" cap="rnd">
              <a:solidFill>
                <a:srgbClr val="A5A5A5"/>
              </a:solidFill>
              <a:round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Proteins!$M$2:$Y$2</c:f>
              <c:numCache>
                <c:formatCode>0.00E+00</c:formatCode>
                <c:ptCount val="13"/>
                <c:pt idx="0">
                  <c:v>1.0000000000000001E-9</c:v>
                </c:pt>
                <c:pt idx="1">
                  <c:v>3E-9</c:v>
                </c:pt>
                <c:pt idx="2">
                  <c:v>1E-8</c:v>
                </c:pt>
                <c:pt idx="3">
                  <c:v>2.9999999999999997E-8</c:v>
                </c:pt>
                <c:pt idx="4">
                  <c:v>9.9999999999999995E-8</c:v>
                </c:pt>
                <c:pt idx="5">
                  <c:v>2.9999999999999999E-7</c:v>
                </c:pt>
                <c:pt idx="6">
                  <c:v>9.9999999999999995E-7</c:v>
                </c:pt>
                <c:pt idx="7">
                  <c:v>3.0000000000000001E-6</c:v>
                </c:pt>
                <c:pt idx="8">
                  <c:v>1.0000000000000001E-5</c:v>
                </c:pt>
                <c:pt idx="9">
                  <c:v>3.0000000000000001E-5</c:v>
                </c:pt>
                <c:pt idx="10">
                  <c:v>1E-4</c:v>
                </c:pt>
                <c:pt idx="11">
                  <c:v>2.9999999999999997E-4</c:v>
                </c:pt>
                <c:pt idx="12">
                  <c:v>1E-3</c:v>
                </c:pt>
              </c:numCache>
            </c:numRef>
          </c:xVal>
          <c:yVal>
            <c:numRef>
              <c:f>Proteins!$M$5:$Y$5</c:f>
              <c:numCache>
                <c:formatCode>0.0000</c:formatCode>
                <c:ptCount val="13"/>
                <c:pt idx="0">
                  <c:v>1.0000000705143515</c:v>
                </c:pt>
                <c:pt idx="1">
                  <c:v>1.0000002115430695</c:v>
                </c:pt>
                <c:pt idx="2">
                  <c:v>1.0000007051437392</c:v>
                </c:pt>
                <c:pt idx="3">
                  <c:v>1.0000021154327092</c:v>
                </c:pt>
                <c:pt idx="4">
                  <c:v>1.0000070514597674</c:v>
                </c:pt>
                <c:pt idx="5">
                  <c:v>1.0000211545284718</c:v>
                </c:pt>
                <c:pt idx="6">
                  <c:v>1.0000705168352548</c:v>
                </c:pt>
                <c:pt idx="7">
                  <c:v>1.0002115654239871</c:v>
                </c:pt>
                <c:pt idx="8">
                  <c:v>1.0007053921627138</c:v>
                </c:pt>
                <c:pt idx="9">
                  <c:v>1.0021176695734391</c:v>
                </c:pt>
                <c:pt idx="10">
                  <c:v>1.0070763548123436</c:v>
                </c:pt>
                <c:pt idx="11">
                  <c:v>1.0213796431763549</c:v>
                </c:pt>
                <c:pt idx="12">
                  <c:v>1.0730599667216936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E0-8A45-9C87-9E20D2F79F82}"/>
            </c:ext>
          </c:extLst>
        </c:ser>
        <c:ser>
          <c:idx val="3"/>
          <c:order val="3"/>
          <c:tx>
            <c:strRef>
              <c:f>Proteins!$D$6</c:f>
              <c:strCache>
                <c:ptCount val="1"/>
                <c:pt idx="0">
                  <c:v>5.11</c:v>
                </c:pt>
              </c:strCache>
            </c:strRef>
          </c:tx>
          <c:spPr>
            <a:ln w="19080" cap="rnd">
              <a:solidFill>
                <a:srgbClr val="FFC000"/>
              </a:solidFill>
              <a:round/>
            </a:ln>
          </c:spPr>
          <c:marker>
            <c:symbol val="circle"/>
            <c:size val="5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Proteins!$M$2:$Y$2</c:f>
              <c:numCache>
                <c:formatCode>0.00E+00</c:formatCode>
                <c:ptCount val="13"/>
                <c:pt idx="0">
                  <c:v>1.0000000000000001E-9</c:v>
                </c:pt>
                <c:pt idx="1">
                  <c:v>3E-9</c:v>
                </c:pt>
                <c:pt idx="2">
                  <c:v>1E-8</c:v>
                </c:pt>
                <c:pt idx="3">
                  <c:v>2.9999999999999997E-8</c:v>
                </c:pt>
                <c:pt idx="4">
                  <c:v>9.9999999999999995E-8</c:v>
                </c:pt>
                <c:pt idx="5">
                  <c:v>2.9999999999999999E-7</c:v>
                </c:pt>
                <c:pt idx="6">
                  <c:v>9.9999999999999995E-7</c:v>
                </c:pt>
                <c:pt idx="7">
                  <c:v>3.0000000000000001E-6</c:v>
                </c:pt>
                <c:pt idx="8">
                  <c:v>1.0000000000000001E-5</c:v>
                </c:pt>
                <c:pt idx="9">
                  <c:v>3.0000000000000001E-5</c:v>
                </c:pt>
                <c:pt idx="10">
                  <c:v>1E-4</c:v>
                </c:pt>
                <c:pt idx="11">
                  <c:v>2.9999999999999997E-4</c:v>
                </c:pt>
                <c:pt idx="12">
                  <c:v>1E-3</c:v>
                </c:pt>
              </c:numCache>
            </c:numRef>
          </c:xVal>
          <c:yVal>
            <c:numRef>
              <c:f>Proteins!$M$6:$Y$6</c:f>
              <c:numCache>
                <c:formatCode>0.0000</c:formatCode>
                <c:ptCount val="13"/>
                <c:pt idx="0">
                  <c:v>1.0000001802855183</c:v>
                </c:pt>
                <c:pt idx="1">
                  <c:v>1.0000005408566524</c:v>
                </c:pt>
                <c:pt idx="2">
                  <c:v>1.0000018028566455</c:v>
                </c:pt>
                <c:pt idx="3">
                  <c:v>1.0000054085796872</c:v>
                </c:pt>
                <c:pt idx="4">
                  <c:v>1.0000180287127181</c:v>
                </c:pt>
                <c:pt idx="5">
                  <c:v>1.0000540871132633</c:v>
                </c:pt>
                <c:pt idx="6">
                  <c:v>1.0001803017544351</c:v>
                </c:pt>
                <c:pt idx="7">
                  <c:v>1.0005410027953348</c:v>
                </c:pt>
                <c:pt idx="8">
                  <c:v>1.0018044811404578</c:v>
                </c:pt>
                <c:pt idx="9">
                  <c:v>1.0054232177535978</c:v>
                </c:pt>
                <c:pt idx="10">
                  <c:v>1.018192045564146</c:v>
                </c:pt>
                <c:pt idx="11">
                  <c:v>1.0555750089248341</c:v>
                </c:pt>
                <c:pt idx="12">
                  <c:v>1.1975592199041885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E0-8A45-9C87-9E20D2F79F82}"/>
            </c:ext>
          </c:extLst>
        </c:ser>
        <c:ser>
          <c:idx val="4"/>
          <c:order val="4"/>
          <c:tx>
            <c:strRef>
              <c:f>Proteins!$D$7</c:f>
              <c:strCache>
                <c:ptCount val="1"/>
                <c:pt idx="0">
                  <c:v>5.47</c:v>
                </c:pt>
              </c:strCache>
            </c:strRef>
          </c:tx>
          <c:spPr>
            <a:ln w="19080" cap="rnd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Proteins!$M$2:$Y$2</c:f>
              <c:numCache>
                <c:formatCode>0.00E+00</c:formatCode>
                <c:ptCount val="13"/>
                <c:pt idx="0">
                  <c:v>1.0000000000000001E-9</c:v>
                </c:pt>
                <c:pt idx="1">
                  <c:v>3E-9</c:v>
                </c:pt>
                <c:pt idx="2">
                  <c:v>1E-8</c:v>
                </c:pt>
                <c:pt idx="3">
                  <c:v>2.9999999999999997E-8</c:v>
                </c:pt>
                <c:pt idx="4">
                  <c:v>9.9999999999999995E-8</c:v>
                </c:pt>
                <c:pt idx="5">
                  <c:v>2.9999999999999999E-7</c:v>
                </c:pt>
                <c:pt idx="6">
                  <c:v>9.9999999999999995E-7</c:v>
                </c:pt>
                <c:pt idx="7">
                  <c:v>3.0000000000000001E-6</c:v>
                </c:pt>
                <c:pt idx="8">
                  <c:v>1.0000000000000001E-5</c:v>
                </c:pt>
                <c:pt idx="9">
                  <c:v>3.0000000000000001E-5</c:v>
                </c:pt>
                <c:pt idx="10">
                  <c:v>1E-4</c:v>
                </c:pt>
                <c:pt idx="11">
                  <c:v>2.9999999999999997E-4</c:v>
                </c:pt>
                <c:pt idx="12">
                  <c:v>1E-3</c:v>
                </c:pt>
              </c:numCache>
            </c:numRef>
          </c:xVal>
          <c:yVal>
            <c:numRef>
              <c:f>Proteins!$M$7:$Y$7</c:f>
              <c:numCache>
                <c:formatCode>0.0000</c:formatCode>
                <c:ptCount val="13"/>
                <c:pt idx="0">
                  <c:v>1.000000194224715</c:v>
                </c:pt>
                <c:pt idx="1">
                  <c:v>1.000000582674258</c:v>
                </c:pt>
                <c:pt idx="2">
                  <c:v>1.0000019422488466</c:v>
                </c:pt>
                <c:pt idx="3">
                  <c:v>1.0000058267578571</c:v>
                </c:pt>
                <c:pt idx="4">
                  <c:v>1.0000194226582229</c:v>
                </c:pt>
                <c:pt idx="5">
                  <c:v>1.0000582691063948</c:v>
                </c:pt>
                <c:pt idx="6">
                  <c:v>1.0001942435588924</c:v>
                </c:pt>
                <c:pt idx="7">
                  <c:v>1.0005828438756867</c:v>
                </c:pt>
                <c:pt idx="8">
                  <c:v>1.0019441343439011</c:v>
                </c:pt>
                <c:pt idx="9">
                  <c:v>1.0058437493549084</c:v>
                </c:pt>
                <c:pt idx="10">
                  <c:v>1.0196123128512959</c:v>
                </c:pt>
                <c:pt idx="11">
                  <c:v>1.0599984107352507</c:v>
                </c:pt>
                <c:pt idx="12">
                  <c:v>1.2143691162524757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E0-8A45-9C87-9E20D2F79F82}"/>
            </c:ext>
          </c:extLst>
        </c:ser>
        <c:ser>
          <c:idx val="5"/>
          <c:order val="5"/>
          <c:tx>
            <c:strRef>
              <c:f>Proteins!$D$8</c:f>
              <c:strCache>
                <c:ptCount val="1"/>
                <c:pt idx="0">
                  <c:v>6.39</c:v>
                </c:pt>
              </c:strCache>
            </c:strRef>
          </c:tx>
          <c:spPr>
            <a:ln w="19080" cap="rnd">
              <a:solidFill>
                <a:srgbClr val="70AD47"/>
              </a:solidFill>
              <a:round/>
            </a:ln>
          </c:spPr>
          <c:marker>
            <c:symbol val="circle"/>
            <c:size val="5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Proteins!$M$2:$Y$2</c:f>
              <c:numCache>
                <c:formatCode>0.00E+00</c:formatCode>
                <c:ptCount val="13"/>
                <c:pt idx="0">
                  <c:v>1.0000000000000001E-9</c:v>
                </c:pt>
                <c:pt idx="1">
                  <c:v>3E-9</c:v>
                </c:pt>
                <c:pt idx="2">
                  <c:v>1E-8</c:v>
                </c:pt>
                <c:pt idx="3">
                  <c:v>2.9999999999999997E-8</c:v>
                </c:pt>
                <c:pt idx="4">
                  <c:v>9.9999999999999995E-8</c:v>
                </c:pt>
                <c:pt idx="5">
                  <c:v>2.9999999999999999E-7</c:v>
                </c:pt>
                <c:pt idx="6">
                  <c:v>9.9999999999999995E-7</c:v>
                </c:pt>
                <c:pt idx="7">
                  <c:v>3.0000000000000001E-6</c:v>
                </c:pt>
                <c:pt idx="8">
                  <c:v>1.0000000000000001E-5</c:v>
                </c:pt>
                <c:pt idx="9">
                  <c:v>3.0000000000000001E-5</c:v>
                </c:pt>
                <c:pt idx="10">
                  <c:v>1E-4</c:v>
                </c:pt>
                <c:pt idx="11">
                  <c:v>2.9999999999999997E-4</c:v>
                </c:pt>
                <c:pt idx="12">
                  <c:v>1E-3</c:v>
                </c:pt>
              </c:numCache>
            </c:numRef>
          </c:xVal>
          <c:yVal>
            <c:numRef>
              <c:f>Proteins!$M$8:$Y$8</c:f>
              <c:numCache>
                <c:formatCode>0.0000</c:formatCode>
                <c:ptCount val="13"/>
                <c:pt idx="0">
                  <c:v>1.0000004520998877</c:v>
                </c:pt>
                <c:pt idx="1">
                  <c:v>1.0000013563002765</c:v>
                </c:pt>
                <c:pt idx="2">
                  <c:v>1.0000045210080755</c:v>
                </c:pt>
                <c:pt idx="3">
                  <c:v>1.0000135630855449</c:v>
                </c:pt>
                <c:pt idx="4">
                  <c:v>1.0000452110005431</c:v>
                </c:pt>
                <c:pt idx="5">
                  <c:v>1.0001356391338254</c:v>
                </c:pt>
                <c:pt idx="6">
                  <c:v>1.0004522019980773</c:v>
                </c:pt>
                <c:pt idx="7">
                  <c:v>1.001357219546642</c:v>
                </c:pt>
                <c:pt idx="8">
                  <c:v>1.0045312329849883</c:v>
                </c:pt>
                <c:pt idx="9">
                  <c:v>1.0136553882076613</c:v>
                </c:pt>
                <c:pt idx="10">
                  <c:v>1.0462475263907554</c:v>
                </c:pt>
                <c:pt idx="11">
                  <c:v>1.1452579960319165</c:v>
                </c:pt>
                <c:pt idx="12">
                  <c:v>1.5716087646241352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E0-8A45-9C87-9E20D2F79F82}"/>
            </c:ext>
          </c:extLst>
        </c:ser>
        <c:ser>
          <c:idx val="6"/>
          <c:order val="6"/>
          <c:tx>
            <c:strRef>
              <c:f>Proteins!$D$9</c:f>
              <c:strCache>
                <c:ptCount val="1"/>
                <c:pt idx="0">
                  <c:v>7.37</c:v>
                </c:pt>
              </c:strCache>
            </c:strRef>
          </c:tx>
          <c:spPr>
            <a:ln w="19080" cap="rnd">
              <a:solidFill>
                <a:srgbClr val="264478"/>
              </a:solidFill>
              <a:round/>
            </a:ln>
          </c:spPr>
          <c:marker>
            <c:symbol val="circle"/>
            <c:size val="5"/>
            <c:spPr>
              <a:solidFill>
                <a:srgbClr val="26447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Proteins!$M$2:$Y$2</c:f>
              <c:numCache>
                <c:formatCode>0.00E+00</c:formatCode>
                <c:ptCount val="13"/>
                <c:pt idx="0">
                  <c:v>1.0000000000000001E-9</c:v>
                </c:pt>
                <c:pt idx="1">
                  <c:v>3E-9</c:v>
                </c:pt>
                <c:pt idx="2">
                  <c:v>1E-8</c:v>
                </c:pt>
                <c:pt idx="3">
                  <c:v>2.9999999999999997E-8</c:v>
                </c:pt>
                <c:pt idx="4">
                  <c:v>9.9999999999999995E-8</c:v>
                </c:pt>
                <c:pt idx="5">
                  <c:v>2.9999999999999999E-7</c:v>
                </c:pt>
                <c:pt idx="6">
                  <c:v>9.9999999999999995E-7</c:v>
                </c:pt>
                <c:pt idx="7">
                  <c:v>3.0000000000000001E-6</c:v>
                </c:pt>
                <c:pt idx="8">
                  <c:v>1.0000000000000001E-5</c:v>
                </c:pt>
                <c:pt idx="9">
                  <c:v>3.0000000000000001E-5</c:v>
                </c:pt>
                <c:pt idx="10">
                  <c:v>1E-4</c:v>
                </c:pt>
                <c:pt idx="11">
                  <c:v>2.9999999999999997E-4</c:v>
                </c:pt>
                <c:pt idx="12">
                  <c:v>1E-3</c:v>
                </c:pt>
              </c:numCache>
            </c:numRef>
          </c:xVal>
          <c:yVal>
            <c:numRef>
              <c:f>Proteins!$M$9:$Y$9</c:f>
              <c:numCache>
                <c:formatCode>0.0000</c:formatCode>
                <c:ptCount val="13"/>
                <c:pt idx="0">
                  <c:v>1.0000006524759126</c:v>
                </c:pt>
                <c:pt idx="1">
                  <c:v>1.0000019574290149</c:v>
                </c:pt>
                <c:pt idx="2">
                  <c:v>1.0000065247782834</c:v>
                </c:pt>
                <c:pt idx="3">
                  <c:v>1.0000195744625686</c:v>
                </c:pt>
                <c:pt idx="4">
                  <c:v>1.0000652496986404</c:v>
                </c:pt>
                <c:pt idx="5">
                  <c:v>1.0001957618687685</c:v>
                </c:pt>
                <c:pt idx="6">
                  <c:v>1.0006526886082865</c:v>
                </c:pt>
                <c:pt idx="7">
                  <c:v>1.0019593441101642</c:v>
                </c:pt>
                <c:pt idx="8">
                  <c:v>1.0065460895955078</c:v>
                </c:pt>
                <c:pt idx="9">
                  <c:v>1.0197671031618776</c:v>
                </c:pt>
                <c:pt idx="10">
                  <c:v>1.0674232536195651</c:v>
                </c:pt>
                <c:pt idx="11">
                  <c:v>1.2162139452848271</c:v>
                </c:pt>
                <c:pt idx="12">
                  <c:v>1.9202890080033101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E0-8A45-9C87-9E20D2F79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410692"/>
        <c:axId val="76609583"/>
      </c:scatterChart>
      <c:valAx>
        <c:axId val="88410692"/>
        <c:scaling>
          <c:logBase val="10"/>
          <c:orientation val="minMax"/>
          <c:max val="1E-3"/>
          <c:min val="1.0000000000000001E-9"/>
        </c:scaling>
        <c:delete val="0"/>
        <c:axPos val="b"/>
        <c:title>
          <c:tx>
            <c:rich>
              <a:bodyPr rot="0"/>
              <a:lstStyle/>
              <a:p>
                <a:pPr>
                  <a:defRPr lang="en-GB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GB" sz="1000" b="0" strike="noStrike" spc="-1">
                    <a:solidFill>
                      <a:srgbClr val="595959"/>
                    </a:solidFill>
                    <a:latin typeface="Calibri"/>
                  </a:rPr>
                  <a:t>Protein Concentration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E+00" sourceLinked="0"/>
        <c:majorTickMark val="out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DE"/>
          </a:p>
        </c:txPr>
        <c:crossAx val="76609583"/>
        <c:crosses val="autoZero"/>
        <c:crossBetween val="midCat"/>
      </c:valAx>
      <c:valAx>
        <c:axId val="76609583"/>
        <c:scaling>
          <c:orientation val="minMax"/>
          <c:min val="0.99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GB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GB" sz="1000" b="0" strike="noStrike" spc="-1">
                    <a:solidFill>
                      <a:srgbClr val="595959"/>
                    </a:solidFill>
                    <a:latin typeface="Calibri"/>
                  </a:rPr>
                  <a:t>𝜸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DE"/>
          </a:p>
        </c:txPr>
        <c:crossAx val="88410692"/>
        <c:crossesAt val="1.0000000000000001E-9"/>
        <c:crossBetween val="midCat"/>
        <c:maj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DE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lang="en-GB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GB" sz="1400" b="0" strike="noStrike" spc="-1">
                <a:solidFill>
                  <a:srgbClr val="595959"/>
                </a:solidFill>
                <a:latin typeface="Calibri"/>
              </a:rPr>
              <a:t>50mM NaCl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Proteins!$D$10</c:f>
              <c:strCache>
                <c:ptCount val="1"/>
                <c:pt idx="0">
                  <c:v>3.73</c:v>
                </c:pt>
              </c:strCache>
            </c:strRef>
          </c:tx>
          <c:spPr>
            <a:ln w="19080" cap="rnd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Proteins!$M$2:$Y$2</c:f>
              <c:numCache>
                <c:formatCode>0.00E+00</c:formatCode>
                <c:ptCount val="13"/>
                <c:pt idx="0">
                  <c:v>1.0000000000000001E-9</c:v>
                </c:pt>
                <c:pt idx="1">
                  <c:v>3E-9</c:v>
                </c:pt>
                <c:pt idx="2">
                  <c:v>1E-8</c:v>
                </c:pt>
                <c:pt idx="3">
                  <c:v>2.9999999999999997E-8</c:v>
                </c:pt>
                <c:pt idx="4">
                  <c:v>9.9999999999999995E-8</c:v>
                </c:pt>
                <c:pt idx="5">
                  <c:v>2.9999999999999999E-7</c:v>
                </c:pt>
                <c:pt idx="6">
                  <c:v>9.9999999999999995E-7</c:v>
                </c:pt>
                <c:pt idx="7">
                  <c:v>3.0000000000000001E-6</c:v>
                </c:pt>
                <c:pt idx="8">
                  <c:v>1.0000000000000001E-5</c:v>
                </c:pt>
                <c:pt idx="9">
                  <c:v>3.0000000000000001E-5</c:v>
                </c:pt>
                <c:pt idx="10">
                  <c:v>1E-4</c:v>
                </c:pt>
                <c:pt idx="11">
                  <c:v>2.9999999999999997E-4</c:v>
                </c:pt>
                <c:pt idx="12">
                  <c:v>1E-3</c:v>
                </c:pt>
              </c:numCache>
            </c:numRef>
          </c:xVal>
          <c:yVal>
            <c:numRef>
              <c:f>Proteins!$M$10:$Y$10</c:f>
              <c:numCache>
                <c:formatCode>0.0000</c:formatCode>
                <c:ptCount val="13"/>
                <c:pt idx="0">
                  <c:v>1.0000008441399739</c:v>
                </c:pt>
                <c:pt idx="1">
                  <c:v>1.0000025324220594</c:v>
                </c:pt>
                <c:pt idx="2">
                  <c:v>1.0000084414318047</c:v>
                </c:pt>
                <c:pt idx="3">
                  <c:v>1.0000253245091877</c:v>
                </c:pt>
                <c:pt idx="4">
                  <c:v>1.0000844175247181</c:v>
                </c:pt>
                <c:pt idx="5">
                  <c:v>1.0002532739537113</c:v>
                </c:pt>
                <c:pt idx="6">
                  <c:v>1.0008444960037135</c:v>
                </c:pt>
                <c:pt idx="7">
                  <c:v>1.0025356281339137</c:v>
                </c:pt>
                <c:pt idx="8">
                  <c:v>1.0084771252242268</c:v>
                </c:pt>
                <c:pt idx="9">
                  <c:v>1.0256475698091054</c:v>
                </c:pt>
                <c:pt idx="10">
                  <c:v>1.0880792237825159</c:v>
                </c:pt>
                <c:pt idx="11">
                  <c:v>1.288194834518323</c:v>
                </c:pt>
                <c:pt idx="12">
                  <c:v>2.3259757248213027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CA-0945-97DC-D6D75C144524}"/>
            </c:ext>
          </c:extLst>
        </c:ser>
        <c:ser>
          <c:idx val="1"/>
          <c:order val="1"/>
          <c:tx>
            <c:strRef>
              <c:f>Proteins!$D$11</c:f>
              <c:strCache>
                <c:ptCount val="1"/>
                <c:pt idx="0">
                  <c:v>4.61</c:v>
                </c:pt>
              </c:strCache>
            </c:strRef>
          </c:tx>
          <c:spPr>
            <a:ln w="19080" cap="rnd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Proteins!$M$2:$Y$2</c:f>
              <c:numCache>
                <c:formatCode>0.00E+00</c:formatCode>
                <c:ptCount val="13"/>
                <c:pt idx="0">
                  <c:v>1.0000000000000001E-9</c:v>
                </c:pt>
                <c:pt idx="1">
                  <c:v>3E-9</c:v>
                </c:pt>
                <c:pt idx="2">
                  <c:v>1E-8</c:v>
                </c:pt>
                <c:pt idx="3">
                  <c:v>2.9999999999999997E-8</c:v>
                </c:pt>
                <c:pt idx="4">
                  <c:v>9.9999999999999995E-8</c:v>
                </c:pt>
                <c:pt idx="5">
                  <c:v>2.9999999999999999E-7</c:v>
                </c:pt>
                <c:pt idx="6">
                  <c:v>9.9999999999999995E-7</c:v>
                </c:pt>
                <c:pt idx="7">
                  <c:v>3.0000000000000001E-6</c:v>
                </c:pt>
                <c:pt idx="8">
                  <c:v>1.0000000000000001E-5</c:v>
                </c:pt>
                <c:pt idx="9">
                  <c:v>3.0000000000000001E-5</c:v>
                </c:pt>
                <c:pt idx="10">
                  <c:v>1E-4</c:v>
                </c:pt>
                <c:pt idx="11">
                  <c:v>2.9999999999999997E-4</c:v>
                </c:pt>
                <c:pt idx="12">
                  <c:v>1E-3</c:v>
                </c:pt>
              </c:numCache>
            </c:numRef>
          </c:xVal>
          <c:yVal>
            <c:numRef>
              <c:f>Proteins!$M$11:$Y$11</c:f>
              <c:numCache>
                <c:formatCode>0.0000</c:formatCode>
                <c:ptCount val="13"/>
                <c:pt idx="0">
                  <c:v>1.0000000443783612</c:v>
                </c:pt>
                <c:pt idx="1">
                  <c:v>1.0000001331350896</c:v>
                </c:pt>
                <c:pt idx="2">
                  <c:v>1.0000004437837011</c:v>
                </c:pt>
                <c:pt idx="3">
                  <c:v>1.000001331351694</c:v>
                </c:pt>
                <c:pt idx="4">
                  <c:v>1.000004437845873</c:v>
                </c:pt>
                <c:pt idx="5">
                  <c:v>1.0000133135967024</c:v>
                </c:pt>
                <c:pt idx="6">
                  <c:v>1.0000443793449918</c:v>
                </c:pt>
                <c:pt idx="7">
                  <c:v>1.0001331439436416</c:v>
                </c:pt>
                <c:pt idx="8">
                  <c:v>1.0004438820890893</c:v>
                </c:pt>
                <c:pt idx="9">
                  <c:v>1.0013322374486537</c:v>
                </c:pt>
                <c:pt idx="10">
                  <c:v>1.0044476978029961</c:v>
                </c:pt>
                <c:pt idx="11">
                  <c:v>1.0134025274406568</c:v>
                </c:pt>
                <c:pt idx="12">
                  <c:v>1.0453778094890729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CA-0945-97DC-D6D75C144524}"/>
            </c:ext>
          </c:extLst>
        </c:ser>
        <c:ser>
          <c:idx val="2"/>
          <c:order val="2"/>
          <c:tx>
            <c:strRef>
              <c:f>Proteins!$D$12</c:f>
              <c:strCache>
                <c:ptCount val="1"/>
                <c:pt idx="0">
                  <c:v>4.86</c:v>
                </c:pt>
              </c:strCache>
            </c:strRef>
          </c:tx>
          <c:spPr>
            <a:ln w="19080" cap="rnd">
              <a:solidFill>
                <a:srgbClr val="A5A5A5"/>
              </a:solidFill>
              <a:round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Proteins!$M$2:$Y$2</c:f>
              <c:numCache>
                <c:formatCode>0.00E+00</c:formatCode>
                <c:ptCount val="13"/>
                <c:pt idx="0">
                  <c:v>1.0000000000000001E-9</c:v>
                </c:pt>
                <c:pt idx="1">
                  <c:v>3E-9</c:v>
                </c:pt>
                <c:pt idx="2">
                  <c:v>1E-8</c:v>
                </c:pt>
                <c:pt idx="3">
                  <c:v>2.9999999999999997E-8</c:v>
                </c:pt>
                <c:pt idx="4">
                  <c:v>9.9999999999999995E-8</c:v>
                </c:pt>
                <c:pt idx="5">
                  <c:v>2.9999999999999999E-7</c:v>
                </c:pt>
                <c:pt idx="6">
                  <c:v>9.9999999999999995E-7</c:v>
                </c:pt>
                <c:pt idx="7">
                  <c:v>3.0000000000000001E-6</c:v>
                </c:pt>
                <c:pt idx="8">
                  <c:v>1.0000000000000001E-5</c:v>
                </c:pt>
                <c:pt idx="9">
                  <c:v>3.0000000000000001E-5</c:v>
                </c:pt>
                <c:pt idx="10">
                  <c:v>1E-4</c:v>
                </c:pt>
                <c:pt idx="11">
                  <c:v>2.9999999999999997E-4</c:v>
                </c:pt>
                <c:pt idx="12">
                  <c:v>1E-3</c:v>
                </c:pt>
              </c:numCache>
            </c:numRef>
          </c:xVal>
          <c:yVal>
            <c:numRef>
              <c:f>Proteins!$M$12:$Y$12</c:f>
              <c:numCache>
                <c:formatCode>0.0000</c:formatCode>
                <c:ptCount val="13"/>
                <c:pt idx="0">
                  <c:v>1.0000000914231444</c:v>
                </c:pt>
                <c:pt idx="1">
                  <c:v>1.0000002742694578</c:v>
                </c:pt>
                <c:pt idx="2">
                  <c:v>1.0000009142318189</c:v>
                </c:pt>
                <c:pt idx="3">
                  <c:v>1.0000027426979643</c:v>
                </c:pt>
                <c:pt idx="4">
                  <c:v>1.0000091423558013</c:v>
                </c:pt>
                <c:pt idx="5">
                  <c:v>1.0000274273181524</c:v>
                </c:pt>
                <c:pt idx="6">
                  <c:v>1.0000914273193238</c:v>
                </c:pt>
                <c:pt idx="7">
                  <c:v>1.0002743070355995</c:v>
                </c:pt>
                <c:pt idx="8">
                  <c:v>1.0009146494379226</c:v>
                </c:pt>
                <c:pt idx="9">
                  <c:v>1.0027464588297317</c:v>
                </c:pt>
                <c:pt idx="10">
                  <c:v>1.0091842326097902</c:v>
                </c:pt>
                <c:pt idx="11">
                  <c:v>1.0278065229064648</c:v>
                </c:pt>
                <c:pt idx="12">
                  <c:v>1.0957325555625186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CA-0945-97DC-D6D75C144524}"/>
            </c:ext>
          </c:extLst>
        </c:ser>
        <c:ser>
          <c:idx val="3"/>
          <c:order val="3"/>
          <c:tx>
            <c:strRef>
              <c:f>Proteins!$D$13</c:f>
              <c:strCache>
                <c:ptCount val="1"/>
                <c:pt idx="0">
                  <c:v>5.08</c:v>
                </c:pt>
              </c:strCache>
            </c:strRef>
          </c:tx>
          <c:spPr>
            <a:ln w="19080" cap="rnd">
              <a:solidFill>
                <a:srgbClr val="FFC000"/>
              </a:solidFill>
              <a:round/>
            </a:ln>
          </c:spPr>
          <c:marker>
            <c:symbol val="circle"/>
            <c:size val="5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Proteins!$M$2:$Y$2</c:f>
              <c:numCache>
                <c:formatCode>0.00E+00</c:formatCode>
                <c:ptCount val="13"/>
                <c:pt idx="0">
                  <c:v>1.0000000000000001E-9</c:v>
                </c:pt>
                <c:pt idx="1">
                  <c:v>3E-9</c:v>
                </c:pt>
                <c:pt idx="2">
                  <c:v>1E-8</c:v>
                </c:pt>
                <c:pt idx="3">
                  <c:v>2.9999999999999997E-8</c:v>
                </c:pt>
                <c:pt idx="4">
                  <c:v>9.9999999999999995E-8</c:v>
                </c:pt>
                <c:pt idx="5">
                  <c:v>2.9999999999999999E-7</c:v>
                </c:pt>
                <c:pt idx="6">
                  <c:v>9.9999999999999995E-7</c:v>
                </c:pt>
                <c:pt idx="7">
                  <c:v>3.0000000000000001E-6</c:v>
                </c:pt>
                <c:pt idx="8">
                  <c:v>1.0000000000000001E-5</c:v>
                </c:pt>
                <c:pt idx="9">
                  <c:v>3.0000000000000001E-5</c:v>
                </c:pt>
                <c:pt idx="10">
                  <c:v>1E-4</c:v>
                </c:pt>
                <c:pt idx="11">
                  <c:v>2.9999999999999997E-4</c:v>
                </c:pt>
                <c:pt idx="12">
                  <c:v>1E-3</c:v>
                </c:pt>
              </c:numCache>
            </c:numRef>
          </c:xVal>
          <c:yVal>
            <c:numRef>
              <c:f>Proteins!$M$13:$Y$13</c:f>
              <c:numCache>
                <c:formatCode>0.0000</c:formatCode>
                <c:ptCount val="13"/>
                <c:pt idx="0">
                  <c:v>1.0000002186183095</c:v>
                </c:pt>
                <c:pt idx="1">
                  <c:v>1.0000006558550718</c:v>
                </c:pt>
                <c:pt idx="2">
                  <c:v>1.0000021861852457</c:v>
                </c:pt>
                <c:pt idx="3">
                  <c:v>1.0000065585700755</c:v>
                </c:pt>
                <c:pt idx="4">
                  <c:v>1.0000218620675319</c:v>
                </c:pt>
                <c:pt idx="5">
                  <c:v>1.0000655876364559</c:v>
                </c:pt>
                <c:pt idx="6">
                  <c:v>1.0002186421843222</c:v>
                </c:pt>
                <c:pt idx="7">
                  <c:v>1.0006560699766331</c:v>
                </c:pt>
                <c:pt idx="8">
                  <c:v>1.0021885742961643</c:v>
                </c:pt>
                <c:pt idx="9">
                  <c:v>1.0065801029438008</c:v>
                </c:pt>
                <c:pt idx="10">
                  <c:v>1.0221025493326024</c:v>
                </c:pt>
                <c:pt idx="11">
                  <c:v>1.0677840136555967</c:v>
                </c:pt>
                <c:pt idx="12">
                  <c:v>1.2443561973458639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ECA-0945-97DC-D6D75C144524}"/>
            </c:ext>
          </c:extLst>
        </c:ser>
        <c:ser>
          <c:idx val="4"/>
          <c:order val="4"/>
          <c:tx>
            <c:strRef>
              <c:f>Proteins!$D$14</c:f>
              <c:strCache>
                <c:ptCount val="1"/>
                <c:pt idx="0">
                  <c:v>5.44</c:v>
                </c:pt>
              </c:strCache>
            </c:strRef>
          </c:tx>
          <c:spPr>
            <a:ln w="19080" cap="rnd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Proteins!$M$2:$Y$2</c:f>
              <c:numCache>
                <c:formatCode>0.00E+00</c:formatCode>
                <c:ptCount val="13"/>
                <c:pt idx="0">
                  <c:v>1.0000000000000001E-9</c:v>
                </c:pt>
                <c:pt idx="1">
                  <c:v>3E-9</c:v>
                </c:pt>
                <c:pt idx="2">
                  <c:v>1E-8</c:v>
                </c:pt>
                <c:pt idx="3">
                  <c:v>2.9999999999999997E-8</c:v>
                </c:pt>
                <c:pt idx="4">
                  <c:v>9.9999999999999995E-8</c:v>
                </c:pt>
                <c:pt idx="5">
                  <c:v>2.9999999999999999E-7</c:v>
                </c:pt>
                <c:pt idx="6">
                  <c:v>9.9999999999999995E-7</c:v>
                </c:pt>
                <c:pt idx="7">
                  <c:v>3.0000000000000001E-6</c:v>
                </c:pt>
                <c:pt idx="8">
                  <c:v>1.0000000000000001E-5</c:v>
                </c:pt>
                <c:pt idx="9">
                  <c:v>3.0000000000000001E-5</c:v>
                </c:pt>
                <c:pt idx="10">
                  <c:v>1E-4</c:v>
                </c:pt>
                <c:pt idx="11">
                  <c:v>2.9999999999999997E-4</c:v>
                </c:pt>
                <c:pt idx="12">
                  <c:v>1E-3</c:v>
                </c:pt>
              </c:numCache>
            </c:numRef>
          </c:xVal>
          <c:yVal>
            <c:numRef>
              <c:f>Proteins!$M$14:$Y$14</c:f>
              <c:numCache>
                <c:formatCode>0.0000</c:formatCode>
                <c:ptCount val="13"/>
                <c:pt idx="0">
                  <c:v>1.0000002735038995</c:v>
                </c:pt>
                <c:pt idx="1">
                  <c:v>1.0000008205119228</c:v>
                </c:pt>
                <c:pt idx="2">
                  <c:v>1.000002735042361</c:v>
                </c:pt>
                <c:pt idx="3">
                  <c:v>1.0000082051495247</c:v>
                </c:pt>
                <c:pt idx="4">
                  <c:v>1.000027350760234</c:v>
                </c:pt>
                <c:pt idx="5">
                  <c:v>1.0000820545249145</c:v>
                </c:pt>
                <c:pt idx="6">
                  <c:v>1.0002735412676786</c:v>
                </c:pt>
                <c:pt idx="7">
                  <c:v>1.0008208482979788</c:v>
                </c:pt>
                <c:pt idx="8">
                  <c:v>1.0027387822512135</c:v>
                </c:pt>
                <c:pt idx="9">
                  <c:v>1.0082388700817084</c:v>
                </c:pt>
                <c:pt idx="10">
                  <c:v>1.0277278413454498</c:v>
                </c:pt>
                <c:pt idx="11">
                  <c:v>1.0855113416779785</c:v>
                </c:pt>
                <c:pt idx="12">
                  <c:v>1.3145624361569597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ECA-0945-97DC-D6D75C144524}"/>
            </c:ext>
          </c:extLst>
        </c:ser>
        <c:ser>
          <c:idx val="5"/>
          <c:order val="5"/>
          <c:tx>
            <c:strRef>
              <c:f>Proteins!$D$15</c:f>
              <c:strCache>
                <c:ptCount val="1"/>
                <c:pt idx="0">
                  <c:v>6.26</c:v>
                </c:pt>
              </c:strCache>
            </c:strRef>
          </c:tx>
          <c:spPr>
            <a:ln w="19080" cap="rnd">
              <a:solidFill>
                <a:srgbClr val="70AD47"/>
              </a:solidFill>
              <a:round/>
            </a:ln>
          </c:spPr>
          <c:marker>
            <c:symbol val="circle"/>
            <c:size val="5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Proteins!$M$2:$Y$2</c:f>
              <c:numCache>
                <c:formatCode>0.00E+00</c:formatCode>
                <c:ptCount val="13"/>
                <c:pt idx="0">
                  <c:v>1.0000000000000001E-9</c:v>
                </c:pt>
                <c:pt idx="1">
                  <c:v>3E-9</c:v>
                </c:pt>
                <c:pt idx="2">
                  <c:v>1E-8</c:v>
                </c:pt>
                <c:pt idx="3">
                  <c:v>2.9999999999999997E-8</c:v>
                </c:pt>
                <c:pt idx="4">
                  <c:v>9.9999999999999995E-8</c:v>
                </c:pt>
                <c:pt idx="5">
                  <c:v>2.9999999999999999E-7</c:v>
                </c:pt>
                <c:pt idx="6">
                  <c:v>9.9999999999999995E-7</c:v>
                </c:pt>
                <c:pt idx="7">
                  <c:v>3.0000000000000001E-6</c:v>
                </c:pt>
                <c:pt idx="8">
                  <c:v>1.0000000000000001E-5</c:v>
                </c:pt>
                <c:pt idx="9">
                  <c:v>3.0000000000000001E-5</c:v>
                </c:pt>
                <c:pt idx="10">
                  <c:v>1E-4</c:v>
                </c:pt>
                <c:pt idx="11">
                  <c:v>2.9999999999999997E-4</c:v>
                </c:pt>
                <c:pt idx="12">
                  <c:v>1E-3</c:v>
                </c:pt>
              </c:numCache>
            </c:numRef>
          </c:xVal>
          <c:yVal>
            <c:numRef>
              <c:f>Proteins!$M$15:$Y$15</c:f>
              <c:numCache>
                <c:formatCode>0.0000</c:formatCode>
                <c:ptCount val="13"/>
                <c:pt idx="0">
                  <c:v>1.0000003553966901</c:v>
                </c:pt>
                <c:pt idx="1">
                  <c:v>1.0000010661904495</c:v>
                </c:pt>
                <c:pt idx="2">
                  <c:v>1.0000035539725853</c:v>
                </c:pt>
                <c:pt idx="3">
                  <c:v>1.0000106619556481</c:v>
                </c:pt>
                <c:pt idx="4">
                  <c:v>1.0000355402942414</c:v>
                </c:pt>
                <c:pt idx="5">
                  <c:v>1.0001066246721062</c:v>
                </c:pt>
                <c:pt idx="6">
                  <c:v>1.000355459787863</c:v>
                </c:pt>
                <c:pt idx="7">
                  <c:v>1.0010667584634843</c:v>
                </c:pt>
                <c:pt idx="8">
                  <c:v>1.0035602890962712</c:v>
                </c:pt>
                <c:pt idx="9">
                  <c:v>1.0107189393931693</c:v>
                </c:pt>
                <c:pt idx="10">
                  <c:v>1.0361787449597151</c:v>
                </c:pt>
                <c:pt idx="11">
                  <c:v>1.1125102940564142</c:v>
                </c:pt>
                <c:pt idx="12">
                  <c:v>1.4267464282284033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ECA-0945-97DC-D6D75C144524}"/>
            </c:ext>
          </c:extLst>
        </c:ser>
        <c:ser>
          <c:idx val="6"/>
          <c:order val="6"/>
          <c:tx>
            <c:strRef>
              <c:f>Proteins!$D$16</c:f>
              <c:strCache>
                <c:ptCount val="1"/>
                <c:pt idx="0">
                  <c:v>7.34</c:v>
                </c:pt>
              </c:strCache>
            </c:strRef>
          </c:tx>
          <c:spPr>
            <a:ln w="19080" cap="rnd">
              <a:solidFill>
                <a:srgbClr val="264478"/>
              </a:solidFill>
              <a:round/>
            </a:ln>
          </c:spPr>
          <c:marker>
            <c:symbol val="circle"/>
            <c:size val="5"/>
            <c:spPr>
              <a:solidFill>
                <a:srgbClr val="26447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Proteins!$M$2:$Y$2</c:f>
              <c:numCache>
                <c:formatCode>0.00E+00</c:formatCode>
                <c:ptCount val="13"/>
                <c:pt idx="0">
                  <c:v>1.0000000000000001E-9</c:v>
                </c:pt>
                <c:pt idx="1">
                  <c:v>3E-9</c:v>
                </c:pt>
                <c:pt idx="2">
                  <c:v>1E-8</c:v>
                </c:pt>
                <c:pt idx="3">
                  <c:v>2.9999999999999997E-8</c:v>
                </c:pt>
                <c:pt idx="4">
                  <c:v>9.9999999999999995E-8</c:v>
                </c:pt>
                <c:pt idx="5">
                  <c:v>2.9999999999999999E-7</c:v>
                </c:pt>
                <c:pt idx="6">
                  <c:v>9.9999999999999995E-7</c:v>
                </c:pt>
                <c:pt idx="7">
                  <c:v>3.0000000000000001E-6</c:v>
                </c:pt>
                <c:pt idx="8">
                  <c:v>1.0000000000000001E-5</c:v>
                </c:pt>
                <c:pt idx="9">
                  <c:v>3.0000000000000001E-5</c:v>
                </c:pt>
                <c:pt idx="10">
                  <c:v>1E-4</c:v>
                </c:pt>
                <c:pt idx="11">
                  <c:v>2.9999999999999997E-4</c:v>
                </c:pt>
                <c:pt idx="12">
                  <c:v>1E-3</c:v>
                </c:pt>
              </c:numCache>
            </c:numRef>
          </c:xVal>
          <c:yVal>
            <c:numRef>
              <c:f>Proteins!$M$16:$Y$16</c:f>
              <c:numCache>
                <c:formatCode>0.0000</c:formatCode>
                <c:ptCount val="13"/>
                <c:pt idx="0">
                  <c:v>1.0000005069854905</c:v>
                </c:pt>
                <c:pt idx="1">
                  <c:v>1.0000015209572428</c:v>
                </c:pt>
                <c:pt idx="2">
                  <c:v>1.0000050698664722</c:v>
                </c:pt>
                <c:pt idx="3">
                  <c:v>1.0000152096765276</c:v>
                </c:pt>
                <c:pt idx="4">
                  <c:v>1.0000506998213976</c:v>
                </c:pt>
                <c:pt idx="5">
                  <c:v>1.0001521071757387</c:v>
                </c:pt>
                <c:pt idx="6">
                  <c:v>1.0005071139008503</c:v>
                </c:pt>
                <c:pt idx="7">
                  <c:v>1.001522113326488</c:v>
                </c:pt>
                <c:pt idx="8">
                  <c:v>1.0050827270746832</c:v>
                </c:pt>
                <c:pt idx="9">
                  <c:v>1.0153258148753497</c:v>
                </c:pt>
                <c:pt idx="10">
                  <c:v>1.052005703843214</c:v>
                </c:pt>
                <c:pt idx="11">
                  <c:v>1.1642715455009778</c:v>
                </c:pt>
                <c:pt idx="12">
                  <c:v>1.6602785044318809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ECA-0945-97DC-D6D75C144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92656"/>
        <c:axId val="48334094"/>
      </c:scatterChart>
      <c:valAx>
        <c:axId val="37492656"/>
        <c:scaling>
          <c:logBase val="10"/>
          <c:orientation val="minMax"/>
          <c:max val="1E-3"/>
          <c:min val="1.0000000000000001E-9"/>
        </c:scaling>
        <c:delete val="0"/>
        <c:axPos val="b"/>
        <c:title>
          <c:tx>
            <c:rich>
              <a:bodyPr rot="0"/>
              <a:lstStyle/>
              <a:p>
                <a:pPr>
                  <a:defRPr lang="en-GB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GB" sz="1000" b="0" strike="noStrike" spc="-1">
                    <a:solidFill>
                      <a:srgbClr val="595959"/>
                    </a:solidFill>
                    <a:latin typeface="Calibri"/>
                  </a:rPr>
                  <a:t>Protein Concentration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E+00" sourceLinked="0"/>
        <c:majorTickMark val="out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DE"/>
          </a:p>
        </c:txPr>
        <c:crossAx val="48334094"/>
        <c:crosses val="autoZero"/>
        <c:crossBetween val="midCat"/>
      </c:valAx>
      <c:valAx>
        <c:axId val="48334094"/>
        <c:scaling>
          <c:orientation val="minMax"/>
          <c:min val="0.99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GB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GB" sz="1000" b="0" strike="noStrike" spc="-1">
                    <a:solidFill>
                      <a:srgbClr val="595959"/>
                    </a:solidFill>
                    <a:latin typeface="Calibri"/>
                  </a:rPr>
                  <a:t>𝜸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DE"/>
          </a:p>
        </c:txPr>
        <c:crossAx val="37492656"/>
        <c:crossesAt val="1.0000000000000001E-9"/>
        <c:crossBetween val="midCat"/>
        <c:maj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DE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lang="en-GB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GB" sz="1400" b="0" strike="noStrike" spc="-1">
                <a:solidFill>
                  <a:srgbClr val="595959"/>
                </a:solidFill>
                <a:latin typeface="Calibri"/>
              </a:rPr>
              <a:t>75mM NaCl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Proteins!$D$17</c:f>
              <c:strCache>
                <c:ptCount val="1"/>
                <c:pt idx="0">
                  <c:v>3.70</c:v>
                </c:pt>
              </c:strCache>
            </c:strRef>
          </c:tx>
          <c:spPr>
            <a:ln w="19080" cap="rnd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Proteins!$M$2:$Y$2</c:f>
              <c:numCache>
                <c:formatCode>0.00E+00</c:formatCode>
                <c:ptCount val="13"/>
                <c:pt idx="0">
                  <c:v>1.0000000000000001E-9</c:v>
                </c:pt>
                <c:pt idx="1">
                  <c:v>3E-9</c:v>
                </c:pt>
                <c:pt idx="2">
                  <c:v>1E-8</c:v>
                </c:pt>
                <c:pt idx="3">
                  <c:v>2.9999999999999997E-8</c:v>
                </c:pt>
                <c:pt idx="4">
                  <c:v>9.9999999999999995E-8</c:v>
                </c:pt>
                <c:pt idx="5">
                  <c:v>2.9999999999999999E-7</c:v>
                </c:pt>
                <c:pt idx="6">
                  <c:v>9.9999999999999995E-7</c:v>
                </c:pt>
                <c:pt idx="7">
                  <c:v>3.0000000000000001E-6</c:v>
                </c:pt>
                <c:pt idx="8">
                  <c:v>1.0000000000000001E-5</c:v>
                </c:pt>
                <c:pt idx="9">
                  <c:v>3.0000000000000001E-5</c:v>
                </c:pt>
                <c:pt idx="10">
                  <c:v>1E-4</c:v>
                </c:pt>
                <c:pt idx="11">
                  <c:v>2.9999999999999997E-4</c:v>
                </c:pt>
                <c:pt idx="12">
                  <c:v>1E-3</c:v>
                </c:pt>
              </c:numCache>
            </c:numRef>
          </c:xVal>
          <c:yVal>
            <c:numRef>
              <c:f>Proteins!$M$17:$Y$17</c:f>
              <c:numCache>
                <c:formatCode>0.0000</c:formatCode>
                <c:ptCount val="13"/>
                <c:pt idx="0">
                  <c:v>1.0000007692167456</c:v>
                </c:pt>
                <c:pt idx="1">
                  <c:v>1.0000023076520117</c:v>
                </c:pt>
                <c:pt idx="2">
                  <c:v>1.0000076921940817</c:v>
                </c:pt>
                <c:pt idx="3">
                  <c:v>1.0000230767597551</c:v>
                </c:pt>
                <c:pt idx="4">
                  <c:v>1.000076924603515</c:v>
                </c:pt>
                <c:pt idx="5">
                  <c:v>1.0002307915631843</c:v>
                </c:pt>
                <c:pt idx="6">
                  <c:v>1.0007695123725397</c:v>
                </c:pt>
                <c:pt idx="7">
                  <c:v>1.00231031402116</c:v>
                </c:pt>
                <c:pt idx="8">
                  <c:v>1.0077218251971622</c:v>
                </c:pt>
                <c:pt idx="9">
                  <c:v>1.023344815770675</c:v>
                </c:pt>
                <c:pt idx="10">
                  <c:v>1.079957452978159</c:v>
                </c:pt>
                <c:pt idx="11">
                  <c:v>1.259563125326304</c:v>
                </c:pt>
                <c:pt idx="12">
                  <c:v>2.1580746311006624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28-1A42-9756-D9425710D2F8}"/>
            </c:ext>
          </c:extLst>
        </c:ser>
        <c:ser>
          <c:idx val="1"/>
          <c:order val="1"/>
          <c:tx>
            <c:strRef>
              <c:f>Proteins!$D$18</c:f>
              <c:strCache>
                <c:ptCount val="1"/>
                <c:pt idx="0">
                  <c:v>4.58</c:v>
                </c:pt>
              </c:strCache>
            </c:strRef>
          </c:tx>
          <c:spPr>
            <a:ln w="19080" cap="rnd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Proteins!$M$2:$Y$2</c:f>
              <c:numCache>
                <c:formatCode>0.00E+00</c:formatCode>
                <c:ptCount val="13"/>
                <c:pt idx="0">
                  <c:v>1.0000000000000001E-9</c:v>
                </c:pt>
                <c:pt idx="1">
                  <c:v>3E-9</c:v>
                </c:pt>
                <c:pt idx="2">
                  <c:v>1E-8</c:v>
                </c:pt>
                <c:pt idx="3">
                  <c:v>2.9999999999999997E-8</c:v>
                </c:pt>
                <c:pt idx="4">
                  <c:v>9.9999999999999995E-8</c:v>
                </c:pt>
                <c:pt idx="5">
                  <c:v>2.9999999999999999E-7</c:v>
                </c:pt>
                <c:pt idx="6">
                  <c:v>9.9999999999999995E-7</c:v>
                </c:pt>
                <c:pt idx="7">
                  <c:v>3.0000000000000001E-6</c:v>
                </c:pt>
                <c:pt idx="8">
                  <c:v>1.0000000000000001E-5</c:v>
                </c:pt>
                <c:pt idx="9">
                  <c:v>3.0000000000000001E-5</c:v>
                </c:pt>
                <c:pt idx="10">
                  <c:v>1E-4</c:v>
                </c:pt>
                <c:pt idx="11">
                  <c:v>2.9999999999999997E-4</c:v>
                </c:pt>
                <c:pt idx="12">
                  <c:v>1E-3</c:v>
                </c:pt>
              </c:numCache>
            </c:numRef>
          </c:xVal>
          <c:yVal>
            <c:numRef>
              <c:f>Proteins!$M$18:$Y$18</c:f>
              <c:numCache>
                <c:formatCode>0.0000</c:formatCode>
                <c:ptCount val="13"/>
                <c:pt idx="0">
                  <c:v>1.000000045249561</c:v>
                </c:pt>
                <c:pt idx="1">
                  <c:v>1.000000135748689</c:v>
                </c:pt>
                <c:pt idx="2">
                  <c:v>1.0000004524957011</c:v>
                </c:pt>
                <c:pt idx="3">
                  <c:v>1.000001357487718</c:v>
                </c:pt>
                <c:pt idx="4">
                  <c:v>1.0000045249662262</c:v>
                </c:pt>
                <c:pt idx="5">
                  <c:v>1.0000135749601042</c:v>
                </c:pt>
                <c:pt idx="6">
                  <c:v>1.0000452505836612</c:v>
                </c:pt>
                <c:pt idx="7">
                  <c:v>1.0001357578939225</c:v>
                </c:pt>
                <c:pt idx="8">
                  <c:v>1.0004525979904222</c:v>
                </c:pt>
                <c:pt idx="9">
                  <c:v>1.0013584085988017</c:v>
                </c:pt>
                <c:pt idx="10">
                  <c:v>1.004535209060869</c:v>
                </c:pt>
                <c:pt idx="11">
                  <c:v>1.0136674248270139</c:v>
                </c:pt>
                <c:pt idx="12">
                  <c:v>1.0462889390767394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28-1A42-9756-D9425710D2F8}"/>
            </c:ext>
          </c:extLst>
        </c:ser>
        <c:ser>
          <c:idx val="2"/>
          <c:order val="2"/>
          <c:tx>
            <c:strRef>
              <c:f>Proteins!$D$19</c:f>
              <c:strCache>
                <c:ptCount val="1"/>
                <c:pt idx="0">
                  <c:v>4.83</c:v>
                </c:pt>
              </c:strCache>
            </c:strRef>
          </c:tx>
          <c:spPr>
            <a:ln w="19080" cap="rnd">
              <a:solidFill>
                <a:srgbClr val="A5A5A5"/>
              </a:solidFill>
              <a:round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Proteins!$M$2:$Y$2</c:f>
              <c:numCache>
                <c:formatCode>0.00E+00</c:formatCode>
                <c:ptCount val="13"/>
                <c:pt idx="0">
                  <c:v>1.0000000000000001E-9</c:v>
                </c:pt>
                <c:pt idx="1">
                  <c:v>3E-9</c:v>
                </c:pt>
                <c:pt idx="2">
                  <c:v>1E-8</c:v>
                </c:pt>
                <c:pt idx="3">
                  <c:v>2.9999999999999997E-8</c:v>
                </c:pt>
                <c:pt idx="4">
                  <c:v>9.9999999999999995E-8</c:v>
                </c:pt>
                <c:pt idx="5">
                  <c:v>2.9999999999999999E-7</c:v>
                </c:pt>
                <c:pt idx="6">
                  <c:v>9.9999999999999995E-7</c:v>
                </c:pt>
                <c:pt idx="7">
                  <c:v>3.0000000000000001E-6</c:v>
                </c:pt>
                <c:pt idx="8">
                  <c:v>1.0000000000000001E-5</c:v>
                </c:pt>
                <c:pt idx="9">
                  <c:v>3.0000000000000001E-5</c:v>
                </c:pt>
                <c:pt idx="10">
                  <c:v>1E-4</c:v>
                </c:pt>
                <c:pt idx="11">
                  <c:v>2.9999999999999997E-4</c:v>
                </c:pt>
                <c:pt idx="12">
                  <c:v>1E-3</c:v>
                </c:pt>
              </c:numCache>
            </c:numRef>
          </c:xVal>
          <c:yVal>
            <c:numRef>
              <c:f>Proteins!$M$19:$Y$19</c:f>
              <c:numCache>
                <c:formatCode>0.0000</c:formatCode>
                <c:ptCount val="13"/>
                <c:pt idx="0">
                  <c:v>1.0000001741871198</c:v>
                </c:pt>
                <c:pt idx="1">
                  <c:v>1.0000005225614506</c:v>
                </c:pt>
                <c:pt idx="2">
                  <c:v>1.0000017418725635</c:v>
                </c:pt>
                <c:pt idx="3">
                  <c:v>1.0000052256267928</c:v>
                </c:pt>
                <c:pt idx="4">
                  <c:v>1.0000174188621707</c:v>
                </c:pt>
                <c:pt idx="5">
                  <c:v>1.0000522574967674</c:v>
                </c:pt>
                <c:pt idx="6">
                  <c:v>1.0001742022760949</c:v>
                </c:pt>
                <c:pt idx="7">
                  <c:v>1.0005226978728698</c:v>
                </c:pt>
                <c:pt idx="8">
                  <c:v>1.0017433889849965</c:v>
                </c:pt>
                <c:pt idx="9">
                  <c:v>1.0052392904693137</c:v>
                </c:pt>
                <c:pt idx="10">
                  <c:v>1.0175713008897465</c:v>
                </c:pt>
                <c:pt idx="11">
                  <c:v>1.0536455796640687</c:v>
                </c:pt>
                <c:pt idx="12">
                  <c:v>1.1902782515709589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F28-1A42-9756-D9425710D2F8}"/>
            </c:ext>
          </c:extLst>
        </c:ser>
        <c:ser>
          <c:idx val="3"/>
          <c:order val="3"/>
          <c:tx>
            <c:strRef>
              <c:f>Proteins!$D$20</c:f>
              <c:strCache>
                <c:ptCount val="1"/>
                <c:pt idx="0">
                  <c:v>5.05</c:v>
                </c:pt>
              </c:strCache>
            </c:strRef>
          </c:tx>
          <c:spPr>
            <a:ln w="19080" cap="rnd">
              <a:solidFill>
                <a:srgbClr val="FFC000"/>
              </a:solidFill>
              <a:round/>
            </a:ln>
          </c:spPr>
          <c:marker>
            <c:symbol val="circle"/>
            <c:size val="5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Proteins!$M$2:$Y$2</c:f>
              <c:numCache>
                <c:formatCode>0.00E+00</c:formatCode>
                <c:ptCount val="13"/>
                <c:pt idx="0">
                  <c:v>1.0000000000000001E-9</c:v>
                </c:pt>
                <c:pt idx="1">
                  <c:v>3E-9</c:v>
                </c:pt>
                <c:pt idx="2">
                  <c:v>1E-8</c:v>
                </c:pt>
                <c:pt idx="3">
                  <c:v>2.9999999999999997E-8</c:v>
                </c:pt>
                <c:pt idx="4">
                  <c:v>9.9999999999999995E-8</c:v>
                </c:pt>
                <c:pt idx="5">
                  <c:v>2.9999999999999999E-7</c:v>
                </c:pt>
                <c:pt idx="6">
                  <c:v>9.9999999999999995E-7</c:v>
                </c:pt>
                <c:pt idx="7">
                  <c:v>3.0000000000000001E-6</c:v>
                </c:pt>
                <c:pt idx="8">
                  <c:v>1.0000000000000001E-5</c:v>
                </c:pt>
                <c:pt idx="9">
                  <c:v>3.0000000000000001E-5</c:v>
                </c:pt>
                <c:pt idx="10">
                  <c:v>1E-4</c:v>
                </c:pt>
                <c:pt idx="11">
                  <c:v>2.9999999999999997E-4</c:v>
                </c:pt>
                <c:pt idx="12">
                  <c:v>1E-3</c:v>
                </c:pt>
              </c:numCache>
            </c:numRef>
          </c:xVal>
          <c:yVal>
            <c:numRef>
              <c:f>Proteins!$M$20:$Y$20</c:f>
              <c:numCache>
                <c:formatCode>0.0000</c:formatCode>
                <c:ptCount val="13"/>
                <c:pt idx="0">
                  <c:v>1.0000001663463218</c:v>
                </c:pt>
                <c:pt idx="1">
                  <c:v>1.0000004990390485</c:v>
                </c:pt>
                <c:pt idx="2">
                  <c:v>1.0000016634644635</c:v>
                </c:pt>
                <c:pt idx="3">
                  <c:v>1.0000049904016921</c:v>
                </c:pt>
                <c:pt idx="4">
                  <c:v>1.0000166347691561</c:v>
                </c:pt>
                <c:pt idx="5">
                  <c:v>1.0000499051376199</c:v>
                </c:pt>
                <c:pt idx="6">
                  <c:v>1.000166360144314</c:v>
                </c:pt>
                <c:pt idx="7">
                  <c:v>1.0004991634646387</c:v>
                </c:pt>
                <c:pt idx="8">
                  <c:v>1.0016648474021892</c:v>
                </c:pt>
                <c:pt idx="9">
                  <c:v>1.0050028619716707</c:v>
                </c:pt>
                <c:pt idx="10">
                  <c:v>1.0167737566359678</c:v>
                </c:pt>
                <c:pt idx="11">
                  <c:v>1.0511700660888634</c:v>
                </c:pt>
                <c:pt idx="12">
                  <c:v>1.1809820144333771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F28-1A42-9756-D9425710D2F8}"/>
            </c:ext>
          </c:extLst>
        </c:ser>
        <c:ser>
          <c:idx val="4"/>
          <c:order val="4"/>
          <c:tx>
            <c:strRef>
              <c:f>Proteins!$D$21</c:f>
              <c:strCache>
                <c:ptCount val="1"/>
                <c:pt idx="0">
                  <c:v>5.41</c:v>
                </c:pt>
              </c:strCache>
            </c:strRef>
          </c:tx>
          <c:spPr>
            <a:ln w="19080" cap="rnd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Proteins!$M$2:$Y$2</c:f>
              <c:numCache>
                <c:formatCode>0.00E+00</c:formatCode>
                <c:ptCount val="13"/>
                <c:pt idx="0">
                  <c:v>1.0000000000000001E-9</c:v>
                </c:pt>
                <c:pt idx="1">
                  <c:v>3E-9</c:v>
                </c:pt>
                <c:pt idx="2">
                  <c:v>1E-8</c:v>
                </c:pt>
                <c:pt idx="3">
                  <c:v>2.9999999999999997E-8</c:v>
                </c:pt>
                <c:pt idx="4">
                  <c:v>9.9999999999999995E-8</c:v>
                </c:pt>
                <c:pt idx="5">
                  <c:v>2.9999999999999999E-7</c:v>
                </c:pt>
                <c:pt idx="6">
                  <c:v>9.9999999999999995E-7</c:v>
                </c:pt>
                <c:pt idx="7">
                  <c:v>3.0000000000000001E-6</c:v>
                </c:pt>
                <c:pt idx="8">
                  <c:v>1.0000000000000001E-5</c:v>
                </c:pt>
                <c:pt idx="9">
                  <c:v>3.0000000000000001E-5</c:v>
                </c:pt>
                <c:pt idx="10">
                  <c:v>1E-4</c:v>
                </c:pt>
                <c:pt idx="11">
                  <c:v>2.9999999999999997E-4</c:v>
                </c:pt>
                <c:pt idx="12">
                  <c:v>1E-3</c:v>
                </c:pt>
              </c:numCache>
            </c:numRef>
          </c:xVal>
          <c:yVal>
            <c:numRef>
              <c:f>Proteins!$M$21:$Y$21</c:f>
              <c:numCache>
                <c:formatCode>0.0000</c:formatCode>
                <c:ptCount val="13"/>
                <c:pt idx="0">
                  <c:v>1.0000002168759099</c:v>
                </c:pt>
                <c:pt idx="1">
                  <c:v>1.0000006506278707</c:v>
                </c:pt>
                <c:pt idx="2">
                  <c:v>1.0000021687612153</c:v>
                </c:pt>
                <c:pt idx="3">
                  <c:v>1.0000065062977563</c:v>
                </c:pt>
                <c:pt idx="4">
                  <c:v>1.0000216878238124</c:v>
                </c:pt>
                <c:pt idx="5">
                  <c:v>1.0000650648825327</c:v>
                </c:pt>
                <c:pt idx="6">
                  <c:v>1.0002168994056251</c:v>
                </c:pt>
                <c:pt idx="7">
                  <c:v>1.0006508393631359</c:v>
                </c:pt>
                <c:pt idx="8">
                  <c:v>1.0021711123220565</c:v>
                </c:pt>
                <c:pt idx="9">
                  <c:v>1.0065274883863489</c:v>
                </c:pt>
                <c:pt idx="10">
                  <c:v>1.0219244737750974</c:v>
                </c:pt>
                <c:pt idx="11">
                  <c:v>1.0672260076882059</c:v>
                </c:pt>
                <c:pt idx="12">
                  <c:v>1.2421899198447865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F28-1A42-9756-D9425710D2F8}"/>
            </c:ext>
          </c:extLst>
        </c:ser>
        <c:ser>
          <c:idx val="5"/>
          <c:order val="5"/>
          <c:tx>
            <c:strRef>
              <c:f>Proteins!$D$22</c:f>
              <c:strCache>
                <c:ptCount val="1"/>
                <c:pt idx="0">
                  <c:v>6.33</c:v>
                </c:pt>
              </c:strCache>
            </c:strRef>
          </c:tx>
          <c:spPr>
            <a:ln w="19080" cap="rnd">
              <a:solidFill>
                <a:srgbClr val="70AD47"/>
              </a:solidFill>
              <a:round/>
            </a:ln>
          </c:spPr>
          <c:marker>
            <c:symbol val="circle"/>
            <c:size val="5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Proteins!$M$2:$Y$2</c:f>
              <c:numCache>
                <c:formatCode>0.00E+00</c:formatCode>
                <c:ptCount val="13"/>
                <c:pt idx="0">
                  <c:v>1.0000000000000001E-9</c:v>
                </c:pt>
                <c:pt idx="1">
                  <c:v>3E-9</c:v>
                </c:pt>
                <c:pt idx="2">
                  <c:v>1E-8</c:v>
                </c:pt>
                <c:pt idx="3">
                  <c:v>2.9999999999999997E-8</c:v>
                </c:pt>
                <c:pt idx="4">
                  <c:v>9.9999999999999995E-8</c:v>
                </c:pt>
                <c:pt idx="5">
                  <c:v>2.9999999999999999E-7</c:v>
                </c:pt>
                <c:pt idx="6">
                  <c:v>9.9999999999999995E-7</c:v>
                </c:pt>
                <c:pt idx="7">
                  <c:v>3.0000000000000001E-6</c:v>
                </c:pt>
                <c:pt idx="8">
                  <c:v>1.0000000000000001E-5</c:v>
                </c:pt>
                <c:pt idx="9">
                  <c:v>3.0000000000000001E-5</c:v>
                </c:pt>
                <c:pt idx="10">
                  <c:v>1E-4</c:v>
                </c:pt>
                <c:pt idx="11">
                  <c:v>2.9999999999999997E-4</c:v>
                </c:pt>
                <c:pt idx="12">
                  <c:v>1E-3</c:v>
                </c:pt>
              </c:numCache>
            </c:numRef>
          </c:xVal>
          <c:yVal>
            <c:numRef>
              <c:f>Proteins!$M$22:$Y$22</c:f>
              <c:numCache>
                <c:formatCode>0.0000</c:formatCode>
                <c:ptCount val="13"/>
                <c:pt idx="0">
                  <c:v>1.0000003196774934</c:v>
                </c:pt>
                <c:pt idx="1">
                  <c:v>1.0000009590327867</c:v>
                </c:pt>
                <c:pt idx="2">
                  <c:v>1.0000031967795326</c:v>
                </c:pt>
                <c:pt idx="3">
                  <c:v>1.0000095903692565</c:v>
                </c:pt>
                <c:pt idx="4">
                  <c:v>1.0000319682552041</c:v>
                </c:pt>
                <c:pt idx="5">
                  <c:v>1.0000959078315532</c:v>
                </c:pt>
                <c:pt idx="6">
                  <c:v>1.0003197285445826</c:v>
                </c:pt>
                <c:pt idx="7">
                  <c:v>1.000959492345459</c:v>
                </c:pt>
                <c:pt idx="8">
                  <c:v>1.0032018895555823</c:v>
                </c:pt>
                <c:pt idx="9">
                  <c:v>1.009636457783007</c:v>
                </c:pt>
                <c:pt idx="10">
                  <c:v>1.0324842011954583</c:v>
                </c:pt>
                <c:pt idx="11">
                  <c:v>1.1006525516551664</c:v>
                </c:pt>
                <c:pt idx="12">
                  <c:v>1.3766836328096841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F28-1A42-9756-D9425710D2F8}"/>
            </c:ext>
          </c:extLst>
        </c:ser>
        <c:ser>
          <c:idx val="6"/>
          <c:order val="6"/>
          <c:tx>
            <c:strRef>
              <c:f>Proteins!$D$23</c:f>
              <c:strCache>
                <c:ptCount val="1"/>
                <c:pt idx="0">
                  <c:v>7.31</c:v>
                </c:pt>
              </c:strCache>
            </c:strRef>
          </c:tx>
          <c:spPr>
            <a:ln w="19080" cap="rnd">
              <a:solidFill>
                <a:srgbClr val="264478"/>
              </a:solidFill>
              <a:round/>
            </a:ln>
          </c:spPr>
          <c:marker>
            <c:symbol val="circle"/>
            <c:size val="5"/>
            <c:spPr>
              <a:solidFill>
                <a:srgbClr val="26447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Proteins!$M$2:$Y$2</c:f>
              <c:numCache>
                <c:formatCode>0.00E+00</c:formatCode>
                <c:ptCount val="13"/>
                <c:pt idx="0">
                  <c:v>1.0000000000000001E-9</c:v>
                </c:pt>
                <c:pt idx="1">
                  <c:v>3E-9</c:v>
                </c:pt>
                <c:pt idx="2">
                  <c:v>1E-8</c:v>
                </c:pt>
                <c:pt idx="3">
                  <c:v>2.9999999999999997E-8</c:v>
                </c:pt>
                <c:pt idx="4">
                  <c:v>9.9999999999999995E-8</c:v>
                </c:pt>
                <c:pt idx="5">
                  <c:v>2.9999999999999999E-7</c:v>
                </c:pt>
                <c:pt idx="6">
                  <c:v>9.9999999999999995E-7</c:v>
                </c:pt>
                <c:pt idx="7">
                  <c:v>3.0000000000000001E-6</c:v>
                </c:pt>
                <c:pt idx="8">
                  <c:v>1.0000000000000001E-5</c:v>
                </c:pt>
                <c:pt idx="9">
                  <c:v>3.0000000000000001E-5</c:v>
                </c:pt>
                <c:pt idx="10">
                  <c:v>1E-4</c:v>
                </c:pt>
                <c:pt idx="11">
                  <c:v>2.9999999999999997E-4</c:v>
                </c:pt>
                <c:pt idx="12">
                  <c:v>1E-3</c:v>
                </c:pt>
              </c:numCache>
            </c:numRef>
          </c:xVal>
          <c:yVal>
            <c:numRef>
              <c:f>Proteins!$M$23:$Y$23</c:f>
              <c:numCache>
                <c:formatCode>0.0000</c:formatCode>
                <c:ptCount val="13"/>
                <c:pt idx="0">
                  <c:v>1.00000050088709</c:v>
                </c:pt>
                <c:pt idx="1">
                  <c:v>1.000001502662023</c:v>
                </c:pt>
                <c:pt idx="2">
                  <c:v>1.000005008882191</c:v>
                </c:pt>
                <c:pt idx="3">
                  <c:v>1.00001502672184</c:v>
                </c:pt>
                <c:pt idx="4">
                  <c:v>1.0000500899509259</c:v>
                </c:pt>
                <c:pt idx="5">
                  <c:v>1.0001502773799134</c:v>
                </c:pt>
                <c:pt idx="6">
                  <c:v>1.0005010124294857</c:v>
                </c:pt>
                <c:pt idx="7">
                  <c:v>1.0015037904545816</c:v>
                </c:pt>
                <c:pt idx="8">
                  <c:v>1.005021435004853</c:v>
                </c:pt>
                <c:pt idx="9">
                  <c:v>1.0151400760576101</c:v>
                </c:pt>
                <c:pt idx="10">
                  <c:v>1.0513643445427328</c:v>
                </c:pt>
                <c:pt idx="11">
                  <c:v>1.162143435638227</c:v>
                </c:pt>
                <c:pt idx="12">
                  <c:v>1.6501842769279769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F28-1A42-9756-D9425710D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74938"/>
        <c:axId val="41184730"/>
      </c:scatterChart>
      <c:valAx>
        <c:axId val="50774938"/>
        <c:scaling>
          <c:logBase val="10"/>
          <c:orientation val="minMax"/>
          <c:max val="1E-3"/>
          <c:min val="1.0000000000000001E-9"/>
        </c:scaling>
        <c:delete val="0"/>
        <c:axPos val="b"/>
        <c:title>
          <c:tx>
            <c:rich>
              <a:bodyPr rot="0"/>
              <a:lstStyle/>
              <a:p>
                <a:pPr>
                  <a:defRPr lang="en-GB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GB" sz="1000" b="0" strike="noStrike" spc="-1">
                    <a:solidFill>
                      <a:srgbClr val="595959"/>
                    </a:solidFill>
                    <a:latin typeface="Calibri"/>
                  </a:rPr>
                  <a:t>Protein Concentration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E+00" sourceLinked="0"/>
        <c:majorTickMark val="out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DE"/>
          </a:p>
        </c:txPr>
        <c:crossAx val="41184730"/>
        <c:crosses val="autoZero"/>
        <c:crossBetween val="midCat"/>
      </c:valAx>
      <c:valAx>
        <c:axId val="41184730"/>
        <c:scaling>
          <c:orientation val="minMax"/>
          <c:min val="0.99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GB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GB" sz="1000" b="0" strike="noStrike" spc="-1">
                    <a:solidFill>
                      <a:srgbClr val="595959"/>
                    </a:solidFill>
                    <a:latin typeface="Calibri"/>
                  </a:rPr>
                  <a:t>𝜸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DE"/>
          </a:p>
        </c:txPr>
        <c:crossAx val="50774938"/>
        <c:crossesAt val="1.0000000000000001E-9"/>
        <c:crossBetween val="midCat"/>
        <c:maj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DE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lang="en-GB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GB" sz="1400" b="0" strike="noStrike" spc="-1">
                <a:solidFill>
                  <a:srgbClr val="595959"/>
                </a:solidFill>
                <a:latin typeface="Calibri"/>
              </a:rPr>
              <a:t>150mM NaCl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Proteins!$D$24</c:f>
              <c:strCache>
                <c:ptCount val="1"/>
                <c:pt idx="0">
                  <c:v>3.62</c:v>
                </c:pt>
              </c:strCache>
            </c:strRef>
          </c:tx>
          <c:spPr>
            <a:ln w="19080" cap="rnd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Proteins!$M$2:$Y$2</c:f>
              <c:numCache>
                <c:formatCode>0.00E+00</c:formatCode>
                <c:ptCount val="13"/>
                <c:pt idx="0">
                  <c:v>1.0000000000000001E-9</c:v>
                </c:pt>
                <c:pt idx="1">
                  <c:v>3E-9</c:v>
                </c:pt>
                <c:pt idx="2">
                  <c:v>1E-8</c:v>
                </c:pt>
                <c:pt idx="3">
                  <c:v>2.9999999999999997E-8</c:v>
                </c:pt>
                <c:pt idx="4">
                  <c:v>9.9999999999999995E-8</c:v>
                </c:pt>
                <c:pt idx="5">
                  <c:v>2.9999999999999999E-7</c:v>
                </c:pt>
                <c:pt idx="6">
                  <c:v>9.9999999999999995E-7</c:v>
                </c:pt>
                <c:pt idx="7">
                  <c:v>3.0000000000000001E-6</c:v>
                </c:pt>
                <c:pt idx="8">
                  <c:v>1.0000000000000001E-5</c:v>
                </c:pt>
                <c:pt idx="9">
                  <c:v>3.0000000000000001E-5</c:v>
                </c:pt>
                <c:pt idx="10">
                  <c:v>1E-4</c:v>
                </c:pt>
                <c:pt idx="11">
                  <c:v>2.9999999999999997E-4</c:v>
                </c:pt>
                <c:pt idx="12">
                  <c:v>1E-3</c:v>
                </c:pt>
              </c:numCache>
            </c:numRef>
          </c:xVal>
          <c:yVal>
            <c:numRef>
              <c:f>Proteins!$M$24:$Y$24</c:f>
              <c:numCache>
                <c:formatCode>0.0000</c:formatCode>
                <c:ptCount val="13"/>
                <c:pt idx="0">
                  <c:v>1.0000005104702909</c:v>
                </c:pt>
                <c:pt idx="1">
                  <c:v>1.0000015314116544</c:v>
                </c:pt>
                <c:pt idx="2">
                  <c:v>1.0000051047146346</c:v>
                </c:pt>
                <c:pt idx="3">
                  <c:v>1.0000153142220782</c:v>
                </c:pt>
                <c:pt idx="4">
                  <c:v>1.0000510483189768</c:v>
                </c:pt>
                <c:pt idx="5">
                  <c:v>1.0001531527748559</c:v>
                </c:pt>
                <c:pt idx="6">
                  <c:v>1.0005106004726221</c:v>
                </c:pt>
                <c:pt idx="7">
                  <c:v>1.0015325836895141</c:v>
                </c:pt>
                <c:pt idx="8">
                  <c:v>1.0051177527928337</c:v>
                </c:pt>
                <c:pt idx="9">
                  <c:v>1.0154319666005247</c:v>
                </c:pt>
                <c:pt idx="10">
                  <c:v>1.0523723705180787</c:v>
                </c:pt>
                <c:pt idx="11">
                  <c:v>1.1654893574874901</c:v>
                </c:pt>
                <c:pt idx="12">
                  <c:v>1.6660743332677264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96-A942-8BFB-2DEDA80BBF4D}"/>
            </c:ext>
          </c:extLst>
        </c:ser>
        <c:ser>
          <c:idx val="1"/>
          <c:order val="1"/>
          <c:tx>
            <c:strRef>
              <c:f>Proteins!$D$25</c:f>
              <c:strCache>
                <c:ptCount val="1"/>
                <c:pt idx="0">
                  <c:v>4.50</c:v>
                </c:pt>
              </c:strCache>
            </c:strRef>
          </c:tx>
          <c:spPr>
            <a:ln w="19080" cap="rnd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Proteins!$M$2:$Y$2</c:f>
              <c:numCache>
                <c:formatCode>0.00E+00</c:formatCode>
                <c:ptCount val="13"/>
                <c:pt idx="0">
                  <c:v>1.0000000000000001E-9</c:v>
                </c:pt>
                <c:pt idx="1">
                  <c:v>3E-9</c:v>
                </c:pt>
                <c:pt idx="2">
                  <c:v>1E-8</c:v>
                </c:pt>
                <c:pt idx="3">
                  <c:v>2.9999999999999997E-8</c:v>
                </c:pt>
                <c:pt idx="4">
                  <c:v>9.9999999999999995E-8</c:v>
                </c:pt>
                <c:pt idx="5">
                  <c:v>2.9999999999999999E-7</c:v>
                </c:pt>
                <c:pt idx="6">
                  <c:v>9.9999999999999995E-7</c:v>
                </c:pt>
                <c:pt idx="7">
                  <c:v>3.0000000000000001E-6</c:v>
                </c:pt>
                <c:pt idx="8">
                  <c:v>1.0000000000000001E-5</c:v>
                </c:pt>
                <c:pt idx="9">
                  <c:v>3.0000000000000001E-5</c:v>
                </c:pt>
                <c:pt idx="10">
                  <c:v>1E-4</c:v>
                </c:pt>
                <c:pt idx="11">
                  <c:v>2.9999999999999997E-4</c:v>
                </c:pt>
                <c:pt idx="12">
                  <c:v>1E-3</c:v>
                </c:pt>
              </c:numCache>
            </c:numRef>
          </c:xVal>
          <c:yVal>
            <c:numRef>
              <c:f>Proteins!$M$25:$Y$25</c:f>
              <c:numCache>
                <c:formatCode>0.0000</c:formatCode>
                <c:ptCount val="13"/>
                <c:pt idx="0">
                  <c:v>1.0000001785431187</c:v>
                </c:pt>
                <c:pt idx="1">
                  <c:v>1.0000005356294517</c:v>
                </c:pt>
                <c:pt idx="2">
                  <c:v>1.0000017854326215</c:v>
                </c:pt>
                <c:pt idx="3">
                  <c:v>1.0000053563074283</c:v>
                </c:pt>
                <c:pt idx="4">
                  <c:v>1.0000178544696665</c:v>
                </c:pt>
                <c:pt idx="5">
                  <c:v>1.0000535643653516</c:v>
                </c:pt>
                <c:pt idx="6">
                  <c:v>1.0001785590425423</c:v>
                </c:pt>
                <c:pt idx="7">
                  <c:v>1.0005357727833148</c:v>
                </c:pt>
                <c:pt idx="8">
                  <c:v>1.0017870258587283</c:v>
                </c:pt>
                <c:pt idx="9">
                  <c:v>1.0053706636672421</c:v>
                </c:pt>
                <c:pt idx="10">
                  <c:v>1.0180146513131689</c:v>
                </c:pt>
                <c:pt idx="11">
                  <c:v>1.0550233831779829</c:v>
                </c:pt>
                <c:pt idx="12">
                  <c:v>1.1954744104261472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96-A942-8BFB-2DEDA80BBF4D}"/>
            </c:ext>
          </c:extLst>
        </c:ser>
        <c:ser>
          <c:idx val="2"/>
          <c:order val="2"/>
          <c:tx>
            <c:strRef>
              <c:f>Proteins!$D$26</c:f>
              <c:strCache>
                <c:ptCount val="1"/>
                <c:pt idx="0">
                  <c:v>4.75</c:v>
                </c:pt>
              </c:strCache>
            </c:strRef>
          </c:tx>
          <c:spPr>
            <a:ln w="19080" cap="rnd">
              <a:solidFill>
                <a:srgbClr val="A5A5A5"/>
              </a:solidFill>
              <a:round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Proteins!$M$2:$Y$2</c:f>
              <c:numCache>
                <c:formatCode>0.00E+00</c:formatCode>
                <c:ptCount val="13"/>
                <c:pt idx="0">
                  <c:v>1.0000000000000001E-9</c:v>
                </c:pt>
                <c:pt idx="1">
                  <c:v>3E-9</c:v>
                </c:pt>
                <c:pt idx="2">
                  <c:v>1E-8</c:v>
                </c:pt>
                <c:pt idx="3">
                  <c:v>2.9999999999999997E-8</c:v>
                </c:pt>
                <c:pt idx="4">
                  <c:v>9.9999999999999995E-8</c:v>
                </c:pt>
                <c:pt idx="5">
                  <c:v>2.9999999999999999E-7</c:v>
                </c:pt>
                <c:pt idx="6">
                  <c:v>9.9999999999999995E-7</c:v>
                </c:pt>
                <c:pt idx="7">
                  <c:v>3.0000000000000001E-6</c:v>
                </c:pt>
                <c:pt idx="8">
                  <c:v>1.0000000000000001E-5</c:v>
                </c:pt>
                <c:pt idx="9">
                  <c:v>3.0000000000000001E-5</c:v>
                </c:pt>
                <c:pt idx="10">
                  <c:v>1E-4</c:v>
                </c:pt>
                <c:pt idx="11">
                  <c:v>2.9999999999999997E-4</c:v>
                </c:pt>
                <c:pt idx="12">
                  <c:v>1E-3</c:v>
                </c:pt>
              </c:numCache>
            </c:numRef>
          </c:xVal>
          <c:yVal>
            <c:numRef>
              <c:f>Proteins!$M$26:$Y$26</c:f>
              <c:numCache>
                <c:formatCode>0.0000</c:formatCode>
                <c:ptCount val="13"/>
                <c:pt idx="0">
                  <c:v>1.0000001881263163</c:v>
                </c:pt>
                <c:pt idx="1">
                  <c:v>1.0000005643790553</c:v>
                </c:pt>
                <c:pt idx="2">
                  <c:v>1.0000018812647562</c:v>
                </c:pt>
                <c:pt idx="3">
                  <c:v>1.0000056438048863</c:v>
                </c:pt>
                <c:pt idx="4">
                  <c:v>1.0000188128068255</c:v>
                </c:pt>
                <c:pt idx="5">
                  <c:v>1.000056439482248</c:v>
                </c:pt>
                <c:pt idx="6">
                  <c:v>1.0001881439955298</c:v>
                </c:pt>
                <c:pt idx="7">
                  <c:v>1.0005645381877382</c:v>
                </c:pt>
                <c:pt idx="8">
                  <c:v>1.0018830336720919</c:v>
                </c:pt>
                <c:pt idx="9">
                  <c:v>1.0056597451405971</c:v>
                </c:pt>
                <c:pt idx="10">
                  <c:v>1.0189907023055134</c:v>
                </c:pt>
                <c:pt idx="11">
                  <c:v>1.0580608961742337</c:v>
                </c:pt>
                <c:pt idx="12">
                  <c:v>1.2069859464406363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96-A942-8BFB-2DEDA80BBF4D}"/>
            </c:ext>
          </c:extLst>
        </c:ser>
        <c:ser>
          <c:idx val="3"/>
          <c:order val="3"/>
          <c:tx>
            <c:strRef>
              <c:f>Proteins!$D$27</c:f>
              <c:strCache>
                <c:ptCount val="1"/>
                <c:pt idx="0">
                  <c:v>4.97</c:v>
                </c:pt>
              </c:strCache>
            </c:strRef>
          </c:tx>
          <c:spPr>
            <a:ln w="19080" cap="rnd">
              <a:solidFill>
                <a:srgbClr val="FFC000"/>
              </a:solidFill>
              <a:round/>
            </a:ln>
          </c:spPr>
          <c:marker>
            <c:symbol val="circle"/>
            <c:size val="5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Proteins!$M$2:$Y$2</c:f>
              <c:numCache>
                <c:formatCode>0.00E+00</c:formatCode>
                <c:ptCount val="13"/>
                <c:pt idx="0">
                  <c:v>1.0000000000000001E-9</c:v>
                </c:pt>
                <c:pt idx="1">
                  <c:v>3E-9</c:v>
                </c:pt>
                <c:pt idx="2">
                  <c:v>1E-8</c:v>
                </c:pt>
                <c:pt idx="3">
                  <c:v>2.9999999999999997E-8</c:v>
                </c:pt>
                <c:pt idx="4">
                  <c:v>9.9999999999999995E-8</c:v>
                </c:pt>
                <c:pt idx="5">
                  <c:v>2.9999999999999999E-7</c:v>
                </c:pt>
                <c:pt idx="6">
                  <c:v>9.9999999999999995E-7</c:v>
                </c:pt>
                <c:pt idx="7">
                  <c:v>3.0000000000000001E-6</c:v>
                </c:pt>
                <c:pt idx="8">
                  <c:v>1.0000000000000001E-5</c:v>
                </c:pt>
                <c:pt idx="9">
                  <c:v>3.0000000000000001E-5</c:v>
                </c:pt>
                <c:pt idx="10">
                  <c:v>1E-4</c:v>
                </c:pt>
                <c:pt idx="11">
                  <c:v>2.9999999999999997E-4</c:v>
                </c:pt>
                <c:pt idx="12">
                  <c:v>1E-3</c:v>
                </c:pt>
              </c:numCache>
            </c:numRef>
          </c:xVal>
          <c:yVal>
            <c:numRef>
              <c:f>Proteins!$M$27:$Y$27</c:f>
              <c:numCache>
                <c:formatCode>0.0000</c:formatCode>
                <c:ptCount val="13"/>
                <c:pt idx="0">
                  <c:v>1.0000002055503123</c:v>
                </c:pt>
                <c:pt idx="1">
                  <c:v>1.0000006166510638</c:v>
                </c:pt>
                <c:pt idx="2">
                  <c:v>1.0000020555050246</c:v>
                </c:pt>
                <c:pt idx="3">
                  <c:v>1.0000061665277491</c:v>
                </c:pt>
                <c:pt idx="4">
                  <c:v>1.0000205552403763</c:v>
                </c:pt>
                <c:pt idx="5">
                  <c:v>1.0000616669886913</c:v>
                </c:pt>
                <c:pt idx="6">
                  <c:v>1.0002055714181111</c:v>
                </c:pt>
                <c:pt idx="7">
                  <c:v>1.0006168410418443</c:v>
                </c:pt>
                <c:pt idx="8">
                  <c:v>1.0020576169063271</c:v>
                </c:pt>
                <c:pt idx="9">
                  <c:v>1.0061855607924932</c:v>
                </c:pt>
                <c:pt idx="10">
                  <c:v>1.0207677386483034</c:v>
                </c:pt>
                <c:pt idx="11">
                  <c:v>1.0636060699548611</c:v>
                </c:pt>
                <c:pt idx="12">
                  <c:v>1.2282007471010783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96-A942-8BFB-2DEDA80BBF4D}"/>
            </c:ext>
          </c:extLst>
        </c:ser>
        <c:ser>
          <c:idx val="4"/>
          <c:order val="4"/>
          <c:tx>
            <c:strRef>
              <c:f>Proteins!$D$28</c:f>
              <c:strCache>
                <c:ptCount val="1"/>
                <c:pt idx="0">
                  <c:v>5.33</c:v>
                </c:pt>
              </c:strCache>
            </c:strRef>
          </c:tx>
          <c:spPr>
            <a:ln w="19080" cap="rnd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Proteins!$M$2:$Y$2</c:f>
              <c:numCache>
                <c:formatCode>0.00E+00</c:formatCode>
                <c:ptCount val="13"/>
                <c:pt idx="0">
                  <c:v>1.0000000000000001E-9</c:v>
                </c:pt>
                <c:pt idx="1">
                  <c:v>3E-9</c:v>
                </c:pt>
                <c:pt idx="2">
                  <c:v>1E-8</c:v>
                </c:pt>
                <c:pt idx="3">
                  <c:v>2.9999999999999997E-8</c:v>
                </c:pt>
                <c:pt idx="4">
                  <c:v>9.9999999999999995E-8</c:v>
                </c:pt>
                <c:pt idx="5">
                  <c:v>2.9999999999999999E-7</c:v>
                </c:pt>
                <c:pt idx="6">
                  <c:v>9.9999999999999995E-7</c:v>
                </c:pt>
                <c:pt idx="7">
                  <c:v>3.0000000000000001E-6</c:v>
                </c:pt>
                <c:pt idx="8">
                  <c:v>1.0000000000000001E-5</c:v>
                </c:pt>
                <c:pt idx="9">
                  <c:v>3.0000000000000001E-5</c:v>
                </c:pt>
                <c:pt idx="10">
                  <c:v>1E-4</c:v>
                </c:pt>
                <c:pt idx="11">
                  <c:v>2.9999999999999997E-4</c:v>
                </c:pt>
                <c:pt idx="12">
                  <c:v>1E-3</c:v>
                </c:pt>
              </c:numCache>
            </c:numRef>
          </c:xVal>
          <c:yVal>
            <c:numRef>
              <c:f>Proteins!$M$28:$Y$28</c:f>
              <c:numCache>
                <c:formatCode>0.0000</c:formatCode>
                <c:ptCount val="13"/>
                <c:pt idx="0">
                  <c:v>1.0000001985807139</c:v>
                </c:pt>
                <c:pt idx="1">
                  <c:v>1.00000059574226</c:v>
                </c:pt>
                <c:pt idx="2">
                  <c:v>1.0000019858089135</c:v>
                </c:pt>
                <c:pt idx="3">
                  <c:v>1.0000059574385711</c:v>
                </c:pt>
                <c:pt idx="4">
                  <c:v>1.0000198582665916</c:v>
                </c:pt>
                <c:pt idx="5">
                  <c:v>1.000059575982835</c:v>
                </c:pt>
                <c:pt idx="6">
                  <c:v>1.0001986004126397</c:v>
                </c:pt>
                <c:pt idx="7">
                  <c:v>1.0005959195721246</c:v>
                </c:pt>
                <c:pt idx="8">
                  <c:v>1.0019877799622874</c:v>
                </c:pt>
                <c:pt idx="9">
                  <c:v>1.0059752015486516</c:v>
                </c:pt>
                <c:pt idx="10">
                  <c:v>1.0200565525328142</c:v>
                </c:pt>
                <c:pt idx="11">
                  <c:v>1.061384521552059</c:v>
                </c:pt>
                <c:pt idx="12">
                  <c:v>1.219670443760186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196-A942-8BFB-2DEDA80BBF4D}"/>
            </c:ext>
          </c:extLst>
        </c:ser>
        <c:ser>
          <c:idx val="5"/>
          <c:order val="5"/>
          <c:tx>
            <c:strRef>
              <c:f>Proteins!$D$29</c:f>
              <c:strCache>
                <c:ptCount val="1"/>
                <c:pt idx="0">
                  <c:v>6.25</c:v>
                </c:pt>
              </c:strCache>
            </c:strRef>
          </c:tx>
          <c:spPr>
            <a:ln w="19080" cap="rnd">
              <a:solidFill>
                <a:srgbClr val="70AD47"/>
              </a:solidFill>
              <a:round/>
            </a:ln>
          </c:spPr>
          <c:marker>
            <c:symbol val="circle"/>
            <c:size val="5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Proteins!$M$2:$Y$2</c:f>
              <c:numCache>
                <c:formatCode>0.00E+00</c:formatCode>
                <c:ptCount val="13"/>
                <c:pt idx="0">
                  <c:v>1.0000000000000001E-9</c:v>
                </c:pt>
                <c:pt idx="1">
                  <c:v>3E-9</c:v>
                </c:pt>
                <c:pt idx="2">
                  <c:v>1E-8</c:v>
                </c:pt>
                <c:pt idx="3">
                  <c:v>2.9999999999999997E-8</c:v>
                </c:pt>
                <c:pt idx="4">
                  <c:v>9.9999999999999995E-8</c:v>
                </c:pt>
                <c:pt idx="5">
                  <c:v>2.9999999999999999E-7</c:v>
                </c:pt>
                <c:pt idx="6">
                  <c:v>9.9999999999999995E-7</c:v>
                </c:pt>
                <c:pt idx="7">
                  <c:v>3.0000000000000001E-6</c:v>
                </c:pt>
                <c:pt idx="8">
                  <c:v>1.0000000000000001E-5</c:v>
                </c:pt>
                <c:pt idx="9">
                  <c:v>3.0000000000000001E-5</c:v>
                </c:pt>
                <c:pt idx="10">
                  <c:v>1E-4</c:v>
                </c:pt>
                <c:pt idx="11">
                  <c:v>2.9999999999999997E-4</c:v>
                </c:pt>
                <c:pt idx="12">
                  <c:v>1E-3</c:v>
                </c:pt>
              </c:numCache>
            </c:numRef>
          </c:xVal>
          <c:yVal>
            <c:numRef>
              <c:f>Proteins!$M$29:$Y$29</c:f>
              <c:numCache>
                <c:formatCode>0.0000</c:formatCode>
                <c:ptCount val="13"/>
                <c:pt idx="0">
                  <c:v>1.0000004399030875</c:v>
                </c:pt>
                <c:pt idx="1">
                  <c:v>1.0000013197098432</c:v>
                </c:pt>
                <c:pt idx="2">
                  <c:v>1.0000043990395837</c:v>
                </c:pt>
                <c:pt idx="3">
                  <c:v>1.0000131971768058</c:v>
                </c:pt>
                <c:pt idx="4">
                  <c:v>1.0000439912666665</c:v>
                </c:pt>
                <c:pt idx="5">
                  <c:v>1.0001319796057795</c:v>
                </c:pt>
                <c:pt idx="6">
                  <c:v>1.0004399997623024</c:v>
                </c:pt>
                <c:pt idx="7">
                  <c:v>1.0013205801714633</c:v>
                </c:pt>
                <c:pt idx="8">
                  <c:v>1.0044087198435487</c:v>
                </c:pt>
                <c:pt idx="9">
                  <c:v>1.0132845556540755</c:v>
                </c:pt>
                <c:pt idx="10">
                  <c:v>1.0449722176465654</c:v>
                </c:pt>
                <c:pt idx="11">
                  <c:v>1.1410751103462293</c:v>
                </c:pt>
                <c:pt idx="12">
                  <c:v>1.552556598919876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196-A942-8BFB-2DEDA80BBF4D}"/>
            </c:ext>
          </c:extLst>
        </c:ser>
        <c:ser>
          <c:idx val="6"/>
          <c:order val="6"/>
          <c:tx>
            <c:strRef>
              <c:f>Proteins!$D$30</c:f>
              <c:strCache>
                <c:ptCount val="1"/>
                <c:pt idx="0">
                  <c:v>7.23</c:v>
                </c:pt>
              </c:strCache>
            </c:strRef>
          </c:tx>
          <c:spPr>
            <a:ln w="19080" cap="rnd">
              <a:solidFill>
                <a:srgbClr val="264478"/>
              </a:solidFill>
              <a:round/>
            </a:ln>
          </c:spPr>
          <c:marker>
            <c:symbol val="circle"/>
            <c:size val="5"/>
            <c:spPr>
              <a:solidFill>
                <a:srgbClr val="26447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Proteins!$M$2:$Y$2</c:f>
              <c:numCache>
                <c:formatCode>0.00E+00</c:formatCode>
                <c:ptCount val="13"/>
                <c:pt idx="0">
                  <c:v>1.0000000000000001E-9</c:v>
                </c:pt>
                <c:pt idx="1">
                  <c:v>3E-9</c:v>
                </c:pt>
                <c:pt idx="2">
                  <c:v>1E-8</c:v>
                </c:pt>
                <c:pt idx="3">
                  <c:v>2.9999999999999997E-8</c:v>
                </c:pt>
                <c:pt idx="4">
                  <c:v>9.9999999999999995E-8</c:v>
                </c:pt>
                <c:pt idx="5">
                  <c:v>2.9999999999999999E-7</c:v>
                </c:pt>
                <c:pt idx="6">
                  <c:v>9.9999999999999995E-7</c:v>
                </c:pt>
                <c:pt idx="7">
                  <c:v>3.0000000000000001E-6</c:v>
                </c:pt>
                <c:pt idx="8">
                  <c:v>1.0000000000000001E-5</c:v>
                </c:pt>
                <c:pt idx="9">
                  <c:v>3.0000000000000001E-5</c:v>
                </c:pt>
                <c:pt idx="10">
                  <c:v>1E-4</c:v>
                </c:pt>
                <c:pt idx="11">
                  <c:v>2.9999999999999997E-4</c:v>
                </c:pt>
                <c:pt idx="12">
                  <c:v>1E-3</c:v>
                </c:pt>
              </c:numCache>
            </c:numRef>
          </c:xVal>
          <c:yVal>
            <c:numRef>
              <c:f>Proteins!$M$30:$Y$30</c:f>
              <c:numCache>
                <c:formatCode>0.0000</c:formatCode>
                <c:ptCount val="13"/>
                <c:pt idx="0">
                  <c:v>1.0000004817206889</c:v>
                </c:pt>
                <c:pt idx="1">
                  <c:v>1.0000014451627628</c:v>
                </c:pt>
                <c:pt idx="2">
                  <c:v>1.0000048172173315</c:v>
                </c:pt>
                <c:pt idx="3">
                  <c:v>1.0000144517216114</c:v>
                </c:pt>
                <c:pt idx="4">
                  <c:v>1.0000481732175797</c:v>
                </c:pt>
                <c:pt idx="5">
                  <c:v>1.0001445266148274</c:v>
                </c:pt>
                <c:pt idx="6">
                  <c:v>1.0004818366188635</c:v>
                </c:pt>
                <c:pt idx="7">
                  <c:v>1.0014462064680383</c:v>
                </c:pt>
                <c:pt idx="8">
                  <c:v>1.0048288271176473</c:v>
                </c:pt>
                <c:pt idx="9">
                  <c:v>1.0145565466634592</c:v>
                </c:pt>
                <c:pt idx="10">
                  <c:v>1.0493511883121187</c:v>
                </c:pt>
                <c:pt idx="11">
                  <c:v>1.1554803810825209</c:v>
                </c:pt>
                <c:pt idx="12">
                  <c:v>1.6188573694358002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196-A942-8BFB-2DEDA80BB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12240"/>
        <c:axId val="26163791"/>
      </c:scatterChart>
      <c:valAx>
        <c:axId val="73812240"/>
        <c:scaling>
          <c:logBase val="10"/>
          <c:orientation val="minMax"/>
          <c:max val="1E-3"/>
          <c:min val="1.0000000000000001E-9"/>
        </c:scaling>
        <c:delete val="0"/>
        <c:axPos val="b"/>
        <c:title>
          <c:tx>
            <c:rich>
              <a:bodyPr rot="0"/>
              <a:lstStyle/>
              <a:p>
                <a:pPr>
                  <a:defRPr lang="en-GB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GB" sz="1000" b="0" strike="noStrike" spc="-1">
                    <a:solidFill>
                      <a:srgbClr val="595959"/>
                    </a:solidFill>
                    <a:latin typeface="Calibri"/>
                  </a:rPr>
                  <a:t>Protein Concentration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E+00" sourceLinked="0"/>
        <c:majorTickMark val="out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DE"/>
          </a:p>
        </c:txPr>
        <c:crossAx val="26163791"/>
        <c:crosses val="autoZero"/>
        <c:crossBetween val="midCat"/>
      </c:valAx>
      <c:valAx>
        <c:axId val="26163791"/>
        <c:scaling>
          <c:orientation val="minMax"/>
          <c:min val="0.99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GB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GB" sz="1000" b="0" strike="noStrike" spc="-1">
                    <a:solidFill>
                      <a:srgbClr val="595959"/>
                    </a:solidFill>
                    <a:latin typeface="Calibri"/>
                  </a:rPr>
                  <a:t>𝜸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DE"/>
          </a:p>
        </c:txPr>
        <c:crossAx val="73812240"/>
        <c:crossesAt val="1.0000000000000001E-9"/>
        <c:crossBetween val="midCat"/>
        <c:maj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DE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9.5639719923615502E-2"/>
          <c:y val="5.0953714819261003E-2"/>
          <c:w val="0.85908656906429004"/>
          <c:h val="0.80352140856342502"/>
        </c:manualLayout>
      </c:layout>
      <c:scatterChart>
        <c:scatterStyle val="lineMarker"/>
        <c:varyColors val="0"/>
        <c:ser>
          <c:idx val="0"/>
          <c:order val="0"/>
          <c:tx>
            <c:v>25 mM</c:v>
          </c:tx>
          <c:spPr>
            <a:ln w="19080" cap="rnd">
              <a:solidFill>
                <a:srgbClr val="0070C0"/>
              </a:solidFill>
              <a:round/>
            </a:ln>
          </c:spPr>
          <c:marker>
            <c:symbol val="circle"/>
            <c:size val="5"/>
            <c:spPr>
              <a:solidFill>
                <a:srgbClr val="0070C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Proteins!$M$1:$Y$1</c:f>
              <c:numCache>
                <c:formatCode>0.00E+00</c:formatCode>
                <c:ptCount val="13"/>
                <c:pt idx="0">
                  <c:v>1E-3</c:v>
                </c:pt>
                <c:pt idx="1">
                  <c:v>3.0000000000000001E-3</c:v>
                </c:pt>
                <c:pt idx="2">
                  <c:v>0.01</c:v>
                </c:pt>
                <c:pt idx="3">
                  <c:v>0.03</c:v>
                </c:pt>
                <c:pt idx="4">
                  <c:v>9.9999999999999992E-2</c:v>
                </c:pt>
                <c:pt idx="5">
                  <c:v>0.3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30</c:v>
                </c:pt>
                <c:pt idx="10">
                  <c:v>100</c:v>
                </c:pt>
                <c:pt idx="11">
                  <c:v>300</c:v>
                </c:pt>
                <c:pt idx="12">
                  <c:v>1000</c:v>
                </c:pt>
              </c:numCache>
            </c:numRef>
          </c:xVal>
          <c:yVal>
            <c:numRef>
              <c:f>Proteins!$M$9:$Y$9</c:f>
              <c:numCache>
                <c:formatCode>0.0000</c:formatCode>
                <c:ptCount val="13"/>
                <c:pt idx="0">
                  <c:v>1.0000006524759126</c:v>
                </c:pt>
                <c:pt idx="1">
                  <c:v>1.0000019574290149</c:v>
                </c:pt>
                <c:pt idx="2">
                  <c:v>1.0000065247782834</c:v>
                </c:pt>
                <c:pt idx="3">
                  <c:v>1.0000195744625686</c:v>
                </c:pt>
                <c:pt idx="4">
                  <c:v>1.0000652496986404</c:v>
                </c:pt>
                <c:pt idx="5">
                  <c:v>1.0001957618687685</c:v>
                </c:pt>
                <c:pt idx="6">
                  <c:v>1.0006526886082865</c:v>
                </c:pt>
                <c:pt idx="7">
                  <c:v>1.0019593441101642</c:v>
                </c:pt>
                <c:pt idx="8">
                  <c:v>1.0065460895955078</c:v>
                </c:pt>
                <c:pt idx="9">
                  <c:v>1.0197671031618776</c:v>
                </c:pt>
                <c:pt idx="10">
                  <c:v>1.0674232536195651</c:v>
                </c:pt>
                <c:pt idx="11">
                  <c:v>1.2162139452848271</c:v>
                </c:pt>
                <c:pt idx="12">
                  <c:v>1.9202890080033101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20-014B-B96D-954D3CE6F639}"/>
            </c:ext>
          </c:extLst>
        </c:ser>
        <c:ser>
          <c:idx val="1"/>
          <c:order val="1"/>
          <c:tx>
            <c:v>50 mM</c:v>
          </c:tx>
          <c:spPr>
            <a:ln w="19080" cap="rnd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Proteins!$M$1:$Y$1</c:f>
              <c:numCache>
                <c:formatCode>0.00E+00</c:formatCode>
                <c:ptCount val="13"/>
                <c:pt idx="0">
                  <c:v>1E-3</c:v>
                </c:pt>
                <c:pt idx="1">
                  <c:v>3.0000000000000001E-3</c:v>
                </c:pt>
                <c:pt idx="2">
                  <c:v>0.01</c:v>
                </c:pt>
                <c:pt idx="3">
                  <c:v>0.03</c:v>
                </c:pt>
                <c:pt idx="4">
                  <c:v>9.9999999999999992E-2</c:v>
                </c:pt>
                <c:pt idx="5">
                  <c:v>0.3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30</c:v>
                </c:pt>
                <c:pt idx="10">
                  <c:v>100</c:v>
                </c:pt>
                <c:pt idx="11">
                  <c:v>300</c:v>
                </c:pt>
                <c:pt idx="12">
                  <c:v>1000</c:v>
                </c:pt>
              </c:numCache>
            </c:numRef>
          </c:xVal>
          <c:yVal>
            <c:numRef>
              <c:f>Proteins!$M$16:$Y$16</c:f>
              <c:numCache>
                <c:formatCode>0.0000</c:formatCode>
                <c:ptCount val="13"/>
                <c:pt idx="0">
                  <c:v>1.0000005069854905</c:v>
                </c:pt>
                <c:pt idx="1">
                  <c:v>1.0000015209572428</c:v>
                </c:pt>
                <c:pt idx="2">
                  <c:v>1.0000050698664722</c:v>
                </c:pt>
                <c:pt idx="3">
                  <c:v>1.0000152096765276</c:v>
                </c:pt>
                <c:pt idx="4">
                  <c:v>1.0000506998213976</c:v>
                </c:pt>
                <c:pt idx="5">
                  <c:v>1.0001521071757387</c:v>
                </c:pt>
                <c:pt idx="6">
                  <c:v>1.0005071139008503</c:v>
                </c:pt>
                <c:pt idx="7">
                  <c:v>1.001522113326488</c:v>
                </c:pt>
                <c:pt idx="8">
                  <c:v>1.0050827270746832</c:v>
                </c:pt>
                <c:pt idx="9">
                  <c:v>1.0153258148753497</c:v>
                </c:pt>
                <c:pt idx="10">
                  <c:v>1.052005703843214</c:v>
                </c:pt>
                <c:pt idx="11">
                  <c:v>1.1642715455009778</c:v>
                </c:pt>
                <c:pt idx="12">
                  <c:v>1.6602785044318809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20-014B-B96D-954D3CE6F639}"/>
            </c:ext>
          </c:extLst>
        </c:ser>
        <c:ser>
          <c:idx val="2"/>
          <c:order val="2"/>
          <c:tx>
            <c:v>75 mM</c:v>
          </c:tx>
          <c:spPr>
            <a:ln w="19080" cap="rnd">
              <a:solidFill>
                <a:srgbClr val="00B050"/>
              </a:solidFill>
              <a:round/>
            </a:ln>
          </c:spPr>
          <c:marker>
            <c:symbol val="circle"/>
            <c:size val="5"/>
            <c:spPr>
              <a:solidFill>
                <a:srgbClr val="00B0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Proteins!$M$1:$Y$1</c:f>
              <c:numCache>
                <c:formatCode>0.00E+00</c:formatCode>
                <c:ptCount val="13"/>
                <c:pt idx="0">
                  <c:v>1E-3</c:v>
                </c:pt>
                <c:pt idx="1">
                  <c:v>3.0000000000000001E-3</c:v>
                </c:pt>
                <c:pt idx="2">
                  <c:v>0.01</c:v>
                </c:pt>
                <c:pt idx="3">
                  <c:v>0.03</c:v>
                </c:pt>
                <c:pt idx="4">
                  <c:v>9.9999999999999992E-2</c:v>
                </c:pt>
                <c:pt idx="5">
                  <c:v>0.3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30</c:v>
                </c:pt>
                <c:pt idx="10">
                  <c:v>100</c:v>
                </c:pt>
                <c:pt idx="11">
                  <c:v>300</c:v>
                </c:pt>
                <c:pt idx="12">
                  <c:v>1000</c:v>
                </c:pt>
              </c:numCache>
            </c:numRef>
          </c:xVal>
          <c:yVal>
            <c:numRef>
              <c:f>Proteins!$M$23:$Y$23</c:f>
              <c:numCache>
                <c:formatCode>0.0000</c:formatCode>
                <c:ptCount val="13"/>
                <c:pt idx="0">
                  <c:v>1.00000050088709</c:v>
                </c:pt>
                <c:pt idx="1">
                  <c:v>1.000001502662023</c:v>
                </c:pt>
                <c:pt idx="2">
                  <c:v>1.000005008882191</c:v>
                </c:pt>
                <c:pt idx="3">
                  <c:v>1.00001502672184</c:v>
                </c:pt>
                <c:pt idx="4">
                  <c:v>1.0000500899509259</c:v>
                </c:pt>
                <c:pt idx="5">
                  <c:v>1.0001502773799134</c:v>
                </c:pt>
                <c:pt idx="6">
                  <c:v>1.0005010124294857</c:v>
                </c:pt>
                <c:pt idx="7">
                  <c:v>1.0015037904545816</c:v>
                </c:pt>
                <c:pt idx="8">
                  <c:v>1.005021435004853</c:v>
                </c:pt>
                <c:pt idx="9">
                  <c:v>1.0151400760576101</c:v>
                </c:pt>
                <c:pt idx="10">
                  <c:v>1.0513643445427328</c:v>
                </c:pt>
                <c:pt idx="11">
                  <c:v>1.162143435638227</c:v>
                </c:pt>
                <c:pt idx="12">
                  <c:v>1.6501842769279769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D20-014B-B96D-954D3CE6F639}"/>
            </c:ext>
          </c:extLst>
        </c:ser>
        <c:ser>
          <c:idx val="3"/>
          <c:order val="3"/>
          <c:tx>
            <c:v>150 mM</c:v>
          </c:tx>
          <c:spPr>
            <a:ln w="19080" cap="rnd">
              <a:solidFill>
                <a:srgbClr val="FFC000"/>
              </a:solidFill>
              <a:round/>
            </a:ln>
          </c:spPr>
          <c:marker>
            <c:symbol val="circle"/>
            <c:size val="5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Proteins!$M$1:$Y$1</c:f>
              <c:numCache>
                <c:formatCode>0.00E+00</c:formatCode>
                <c:ptCount val="13"/>
                <c:pt idx="0">
                  <c:v>1E-3</c:v>
                </c:pt>
                <c:pt idx="1">
                  <c:v>3.0000000000000001E-3</c:v>
                </c:pt>
                <c:pt idx="2">
                  <c:v>0.01</c:v>
                </c:pt>
                <c:pt idx="3">
                  <c:v>0.03</c:v>
                </c:pt>
                <c:pt idx="4">
                  <c:v>9.9999999999999992E-2</c:v>
                </c:pt>
                <c:pt idx="5">
                  <c:v>0.3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30</c:v>
                </c:pt>
                <c:pt idx="10">
                  <c:v>100</c:v>
                </c:pt>
                <c:pt idx="11">
                  <c:v>300</c:v>
                </c:pt>
                <c:pt idx="12">
                  <c:v>1000</c:v>
                </c:pt>
              </c:numCache>
            </c:numRef>
          </c:xVal>
          <c:yVal>
            <c:numRef>
              <c:f>Proteins!$M$30:$Y$30</c:f>
              <c:numCache>
                <c:formatCode>0.0000</c:formatCode>
                <c:ptCount val="13"/>
                <c:pt idx="0">
                  <c:v>1.0000004817206889</c:v>
                </c:pt>
                <c:pt idx="1">
                  <c:v>1.0000014451627628</c:v>
                </c:pt>
                <c:pt idx="2">
                  <c:v>1.0000048172173315</c:v>
                </c:pt>
                <c:pt idx="3">
                  <c:v>1.0000144517216114</c:v>
                </c:pt>
                <c:pt idx="4">
                  <c:v>1.0000481732175797</c:v>
                </c:pt>
                <c:pt idx="5">
                  <c:v>1.0001445266148274</c:v>
                </c:pt>
                <c:pt idx="6">
                  <c:v>1.0004818366188635</c:v>
                </c:pt>
                <c:pt idx="7">
                  <c:v>1.0014462064680383</c:v>
                </c:pt>
                <c:pt idx="8">
                  <c:v>1.0048288271176473</c:v>
                </c:pt>
                <c:pt idx="9">
                  <c:v>1.0145565466634592</c:v>
                </c:pt>
                <c:pt idx="10">
                  <c:v>1.0493511883121187</c:v>
                </c:pt>
                <c:pt idx="11">
                  <c:v>1.1554803810825209</c:v>
                </c:pt>
                <c:pt idx="12">
                  <c:v>1.6188573694358002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D20-014B-B96D-954D3CE6F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68713"/>
        <c:axId val="91580750"/>
      </c:scatterChart>
      <c:valAx>
        <c:axId val="30768713"/>
        <c:scaling>
          <c:logBase val="10"/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GB" sz="10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lang="en-GB" sz="1000" b="0" strike="noStrike" spc="-1">
                    <a:solidFill>
                      <a:srgbClr val="000000"/>
                    </a:solidFill>
                    <a:latin typeface="Times New Roman"/>
                  </a:rPr>
                  <a:t>[P] (𝝁M)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0" sourceLinked="0"/>
        <c:majorTickMark val="out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Times New Roman"/>
              </a:defRPr>
            </a:pPr>
            <a:endParaRPr lang="en-DE"/>
          </a:p>
        </c:txPr>
        <c:crossAx val="91580750"/>
        <c:crosses val="autoZero"/>
        <c:crossBetween val="midCat"/>
      </c:valAx>
      <c:valAx>
        <c:axId val="91580750"/>
        <c:scaling>
          <c:orientation val="minMax"/>
          <c:min val="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GB" sz="10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lang="en-GB" sz="1000" b="0" strike="noStrike" spc="-1">
                    <a:solidFill>
                      <a:srgbClr val="000000"/>
                    </a:solidFill>
                    <a:latin typeface="Times New Roman"/>
                  </a:rPr>
                  <a:t>𝜸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Times New Roman"/>
              </a:defRPr>
            </a:pPr>
            <a:endParaRPr lang="en-DE"/>
          </a:p>
        </c:txPr>
        <c:crossAx val="30768713"/>
        <c:crossesAt val="1E-10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9.8331829925657893E-2"/>
          <c:y val="5.2087570126706E-2"/>
          <c:w val="0.16875605336674401"/>
          <c:h val="0.293473459907023"/>
        </c:manualLayout>
      </c:layout>
      <c:overlay val="0"/>
      <c:spPr>
        <a:solidFill>
          <a:srgbClr val="FFFFFF"/>
        </a:solidFill>
        <a:ln w="6480">
          <a:solidFill>
            <a:srgbClr val="000000"/>
          </a:solidFill>
          <a:round/>
        </a:ln>
      </c:spPr>
      <c:txPr>
        <a:bodyPr/>
        <a:lstStyle/>
        <a:p>
          <a:pPr>
            <a:defRPr sz="900" b="0" strike="noStrike" spc="-1">
              <a:solidFill>
                <a:srgbClr val="000000"/>
              </a:solidFill>
              <a:latin typeface="Times New Roman"/>
            </a:defRPr>
          </a:pPr>
          <a:endParaRPr lang="en-DE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127080</xdr:colOff>
      <xdr:row>30</xdr:row>
      <xdr:rowOff>38160</xdr:rowOff>
    </xdr:from>
    <xdr:to>
      <xdr:col>7</xdr:col>
      <xdr:colOff>815760</xdr:colOff>
      <xdr:row>48</xdr:row>
      <xdr:rowOff>25200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12600</xdr:colOff>
      <xdr:row>30</xdr:row>
      <xdr:rowOff>38160</xdr:rowOff>
    </xdr:from>
    <xdr:to>
      <xdr:col>15</xdr:col>
      <xdr:colOff>634680</xdr:colOff>
      <xdr:row>48</xdr:row>
      <xdr:rowOff>25200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660240</xdr:colOff>
      <xdr:row>30</xdr:row>
      <xdr:rowOff>63360</xdr:rowOff>
    </xdr:from>
    <xdr:to>
      <xdr:col>23</xdr:col>
      <xdr:colOff>393120</xdr:colOff>
      <xdr:row>48</xdr:row>
      <xdr:rowOff>50400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23</xdr:col>
      <xdr:colOff>419040</xdr:colOff>
      <xdr:row>30</xdr:row>
      <xdr:rowOff>101520</xdr:rowOff>
    </xdr:from>
    <xdr:to>
      <xdr:col>31</xdr:col>
      <xdr:colOff>151920</xdr:colOff>
      <xdr:row>48</xdr:row>
      <xdr:rowOff>88560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368280</xdr:colOff>
      <xdr:row>14</xdr:row>
      <xdr:rowOff>139680</xdr:rowOff>
    </xdr:from>
    <xdr:to>
      <xdr:col>19</xdr:col>
      <xdr:colOff>812520</xdr:colOff>
      <xdr:row>28</xdr:row>
      <xdr:rowOff>37800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N65"/>
  <sheetViews>
    <sheetView tabSelected="1" topLeftCell="Q15" zoomScaleNormal="100" workbookViewId="0">
      <selection activeCell="AB18" sqref="AB18"/>
    </sheetView>
  </sheetViews>
  <sheetFormatPr baseColWidth="10" defaultColWidth="10.6640625" defaultRowHeight="16" x14ac:dyDescent="0.2"/>
  <cols>
    <col min="2" max="2" width="8.33203125" customWidth="1"/>
    <col min="3" max="3" width="13.5" customWidth="1"/>
    <col min="4" max="4" width="4.6640625" customWidth="1"/>
    <col min="5" max="5" width="9.5" customWidth="1"/>
    <col min="6" max="6" width="13.5" customWidth="1"/>
    <col min="7" max="7" width="13.6640625" customWidth="1"/>
    <col min="9" max="9" width="12" customWidth="1"/>
    <col min="10" max="11" width="13.6640625" customWidth="1"/>
    <col min="12" max="12" width="3.1640625" customWidth="1"/>
  </cols>
  <sheetData>
    <row r="1" spans="2:40" x14ac:dyDescent="0.2">
      <c r="M1" s="3">
        <f t="shared" ref="M1:Y1" si="0">M2*1000000</f>
        <v>1E-3</v>
      </c>
      <c r="N1" s="3">
        <f t="shared" si="0"/>
        <v>3.0000000000000001E-3</v>
      </c>
      <c r="O1" s="3">
        <f t="shared" si="0"/>
        <v>0.01</v>
      </c>
      <c r="P1" s="3">
        <f t="shared" si="0"/>
        <v>0.03</v>
      </c>
      <c r="Q1" s="3">
        <f t="shared" si="0"/>
        <v>9.9999999999999992E-2</v>
      </c>
      <c r="R1" s="3">
        <f t="shared" si="0"/>
        <v>0.3</v>
      </c>
      <c r="S1" s="3">
        <f t="shared" si="0"/>
        <v>1</v>
      </c>
      <c r="T1" s="3">
        <f t="shared" si="0"/>
        <v>3</v>
      </c>
      <c r="U1" s="3">
        <f t="shared" si="0"/>
        <v>10</v>
      </c>
      <c r="V1" s="3">
        <f t="shared" si="0"/>
        <v>30</v>
      </c>
      <c r="W1" s="3">
        <f t="shared" si="0"/>
        <v>100</v>
      </c>
      <c r="X1" s="3">
        <f t="shared" si="0"/>
        <v>300</v>
      </c>
      <c r="Y1" s="3">
        <f t="shared" si="0"/>
        <v>1000</v>
      </c>
    </row>
    <row r="2" spans="2:40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s="3">
        <v>1.0000000000000001E-9</v>
      </c>
      <c r="N2" s="3">
        <v>3E-9</v>
      </c>
      <c r="O2" s="3">
        <v>1E-8</v>
      </c>
      <c r="P2" s="3">
        <v>2.9999999999999997E-8</v>
      </c>
      <c r="Q2" s="3">
        <v>9.9999999999999995E-8</v>
      </c>
      <c r="R2" s="3">
        <v>2.9999999999999999E-7</v>
      </c>
      <c r="S2" s="3">
        <v>9.9999999999999995E-7</v>
      </c>
      <c r="T2" s="3">
        <v>3.0000000000000001E-6</v>
      </c>
      <c r="U2" s="3">
        <v>1.0000000000000001E-5</v>
      </c>
      <c r="V2" s="3">
        <v>3.0000000000000001E-5</v>
      </c>
      <c r="W2" s="4">
        <v>1E-4</v>
      </c>
      <c r="X2" s="3">
        <v>2.9999999999999997E-4</v>
      </c>
      <c r="Y2" s="3">
        <v>1E-3</v>
      </c>
      <c r="Z2" s="3"/>
      <c r="AA2" s="4"/>
      <c r="AB2" s="3"/>
      <c r="AC2" s="3"/>
      <c r="AD2" s="3"/>
      <c r="AE2" s="4"/>
      <c r="AF2" s="3"/>
      <c r="AG2" s="3"/>
      <c r="AH2" s="3"/>
      <c r="AI2" s="4"/>
      <c r="AJ2" s="3"/>
      <c r="AK2" s="3"/>
      <c r="AL2" s="3"/>
      <c r="AM2" s="4"/>
      <c r="AN2" s="3"/>
    </row>
    <row r="3" spans="2:40" x14ac:dyDescent="0.2">
      <c r="B3" t="s">
        <v>11</v>
      </c>
      <c r="C3" s="2" t="s">
        <v>12</v>
      </c>
      <c r="D3" s="5">
        <v>3.76</v>
      </c>
      <c r="E3" s="6">
        <v>66</v>
      </c>
      <c r="F3" s="5">
        <f t="shared" ref="F3:F30" si="1">E3*1.660538921E-21*6.02214E+23</f>
        <v>65999.985860892193</v>
      </c>
      <c r="G3" s="7">
        <v>1.5300000000000001E-4</v>
      </c>
      <c r="H3" s="7">
        <f t="shared" ref="H3:H30" si="2">G3*F3*F3</f>
        <v>666467.71444660926</v>
      </c>
      <c r="I3" s="8">
        <v>0.73299999999999998</v>
      </c>
      <c r="J3" s="8">
        <v>997</v>
      </c>
      <c r="K3" s="7">
        <f t="shared" ref="K3:K30" si="3">J3*(H3-F3*I3)/1000</f>
        <v>616235.45563614357</v>
      </c>
      <c r="L3" s="8"/>
      <c r="M3" s="9">
        <f t="shared" ref="M3:Y3" si="4">EXP(2*$K$3*M$2/$J$3)</f>
        <v>1.0000012361802137</v>
      </c>
      <c r="N3" s="9">
        <f t="shared" si="4"/>
        <v>1.0000037085452256</v>
      </c>
      <c r="O3" s="9">
        <f t="shared" si="4"/>
        <v>1.0000123618709036</v>
      </c>
      <c r="P3" s="9">
        <f t="shared" si="4"/>
        <v>1.00003708607116</v>
      </c>
      <c r="Q3" s="9">
        <f t="shared" si="4"/>
        <v>1.0001236255859751</v>
      </c>
      <c r="R3" s="9">
        <f t="shared" si="4"/>
        <v>1.0003709226096713</v>
      </c>
      <c r="S3" s="9">
        <f t="shared" si="4"/>
        <v>1.0012369438343767</v>
      </c>
      <c r="T3" s="9">
        <f t="shared" si="4"/>
        <v>1.0037154234858399</v>
      </c>
      <c r="U3" s="9">
        <f t="shared" si="4"/>
        <v>1.012438517295678</v>
      </c>
      <c r="V3" s="9">
        <f t="shared" si="4"/>
        <v>1.0377816264710831</v>
      </c>
      <c r="W3" s="9">
        <f t="shared" si="4"/>
        <v>1.1315834612401174</v>
      </c>
      <c r="X3" s="9">
        <f t="shared" si="4"/>
        <v>1.44897126885761</v>
      </c>
      <c r="Y3" s="10">
        <f t="shared" si="4"/>
        <v>3.4424363074558664</v>
      </c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</row>
    <row r="4" spans="2:40" x14ac:dyDescent="0.2">
      <c r="B4" t="s">
        <v>11</v>
      </c>
      <c r="C4" s="2"/>
      <c r="D4" s="12">
        <v>4.6399999999999997</v>
      </c>
      <c r="E4" s="13">
        <v>66</v>
      </c>
      <c r="F4" s="12">
        <f t="shared" si="1"/>
        <v>65999.985860892193</v>
      </c>
      <c r="G4" s="3">
        <v>1.13E-5</v>
      </c>
      <c r="H4" s="3">
        <f t="shared" si="2"/>
        <v>49222.778910109053</v>
      </c>
      <c r="I4">
        <v>0.73299999999999998</v>
      </c>
      <c r="J4">
        <v>997</v>
      </c>
      <c r="K4" s="3">
        <f t="shared" si="3"/>
        <v>842.25490625285056</v>
      </c>
      <c r="M4" s="11">
        <f t="shared" ref="M4:Y4" si="5">EXP(2*$K$4*M$2/$J$4)</f>
        <v>1.0000000016895785</v>
      </c>
      <c r="N4" s="11">
        <f t="shared" si="5"/>
        <v>1.0000000050687357</v>
      </c>
      <c r="O4" s="11">
        <f t="shared" si="5"/>
        <v>1.0000000168957857</v>
      </c>
      <c r="P4" s="11">
        <f t="shared" si="5"/>
        <v>1.0000000506873576</v>
      </c>
      <c r="Q4" s="11">
        <f t="shared" si="5"/>
        <v>1.000000168957869</v>
      </c>
      <c r="R4" s="11">
        <f t="shared" si="5"/>
        <v>1.0000005068736928</v>
      </c>
      <c r="S4" s="11">
        <f t="shared" si="5"/>
        <v>1.0000016895799755</v>
      </c>
      <c r="T4" s="11">
        <f t="shared" si="5"/>
        <v>1.0000050687484905</v>
      </c>
      <c r="U4" s="11">
        <f t="shared" si="5"/>
        <v>1.0000168959282161</v>
      </c>
      <c r="V4" s="11">
        <f t="shared" si="5"/>
        <v>1.0000506886410703</v>
      </c>
      <c r="W4" s="11">
        <f t="shared" si="5"/>
        <v>1.0001689721289972</v>
      </c>
      <c r="X4" s="11">
        <f t="shared" si="5"/>
        <v>1.0005070020465574</v>
      </c>
      <c r="Y4" s="14">
        <f t="shared" si="5"/>
        <v>1.0016910066901914</v>
      </c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2:40" x14ac:dyDescent="0.2">
      <c r="B5" t="s">
        <v>11</v>
      </c>
      <c r="C5" s="2"/>
      <c r="D5" s="12">
        <v>4.8899999999999997</v>
      </c>
      <c r="E5" s="13">
        <v>66</v>
      </c>
      <c r="F5" s="12">
        <f t="shared" si="1"/>
        <v>65999.985860892193</v>
      </c>
      <c r="G5" s="3">
        <v>1.9199999999999999E-5</v>
      </c>
      <c r="H5" s="3">
        <f t="shared" si="2"/>
        <v>83635.164165849012</v>
      </c>
      <c r="I5">
        <v>0.73299999999999998</v>
      </c>
      <c r="J5">
        <v>997</v>
      </c>
      <c r="K5" s="3">
        <f t="shared" si="3"/>
        <v>35151.403006225584</v>
      </c>
      <c r="M5" s="11">
        <f t="shared" ref="M5:Y5" si="6">EXP(2*$K$5*M$2/$J$5)</f>
        <v>1.0000000705143515</v>
      </c>
      <c r="N5" s="11">
        <f t="shared" si="6"/>
        <v>1.0000002115430695</v>
      </c>
      <c r="O5" s="11">
        <f t="shared" si="6"/>
        <v>1.0000007051437392</v>
      </c>
      <c r="P5" s="11">
        <f t="shared" si="6"/>
        <v>1.0000021154327092</v>
      </c>
      <c r="Q5" s="11">
        <f t="shared" si="6"/>
        <v>1.0000070514597674</v>
      </c>
      <c r="R5" s="11">
        <f t="shared" si="6"/>
        <v>1.0000211545284718</v>
      </c>
      <c r="S5" s="11">
        <f t="shared" si="6"/>
        <v>1.0000705168352548</v>
      </c>
      <c r="T5" s="11">
        <f t="shared" si="6"/>
        <v>1.0002115654239871</v>
      </c>
      <c r="U5" s="11">
        <f t="shared" si="6"/>
        <v>1.0007053921627138</v>
      </c>
      <c r="V5" s="11">
        <f t="shared" si="6"/>
        <v>1.0021176695734391</v>
      </c>
      <c r="W5" s="11">
        <f t="shared" si="6"/>
        <v>1.0070763548123436</v>
      </c>
      <c r="X5" s="11">
        <f t="shared" si="6"/>
        <v>1.0213796431763549</v>
      </c>
      <c r="Y5" s="14">
        <f t="shared" si="6"/>
        <v>1.0730599667216936</v>
      </c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2:40" x14ac:dyDescent="0.2">
      <c r="B6" t="s">
        <v>11</v>
      </c>
      <c r="C6" s="2"/>
      <c r="D6" s="12">
        <v>5.1100000000000003</v>
      </c>
      <c r="E6" s="13">
        <v>66</v>
      </c>
      <c r="F6" s="12">
        <f t="shared" si="1"/>
        <v>65999.985860892193</v>
      </c>
      <c r="G6" s="3">
        <v>3.18E-5</v>
      </c>
      <c r="H6" s="3">
        <f t="shared" si="2"/>
        <v>138520.74064968742</v>
      </c>
      <c r="I6">
        <v>0.73299999999999998</v>
      </c>
      <c r="J6">
        <v>997</v>
      </c>
      <c r="K6" s="3">
        <f t="shared" si="3"/>
        <v>89872.322760612471</v>
      </c>
      <c r="M6" s="11">
        <f t="shared" ref="M6:Y6" si="7">EXP(2*$K$6*M$2/$J$6)</f>
        <v>1.0000001802855183</v>
      </c>
      <c r="N6" s="11">
        <f t="shared" si="7"/>
        <v>1.0000005408566524</v>
      </c>
      <c r="O6" s="11">
        <f t="shared" si="7"/>
        <v>1.0000018028566455</v>
      </c>
      <c r="P6" s="11">
        <f t="shared" si="7"/>
        <v>1.0000054085796872</v>
      </c>
      <c r="Q6" s="11">
        <f t="shared" si="7"/>
        <v>1.0000180287127181</v>
      </c>
      <c r="R6" s="11">
        <f t="shared" si="7"/>
        <v>1.0000540871132633</v>
      </c>
      <c r="S6" s="11">
        <f t="shared" si="7"/>
        <v>1.0001803017544351</v>
      </c>
      <c r="T6" s="11">
        <f t="shared" si="7"/>
        <v>1.0005410027953348</v>
      </c>
      <c r="U6" s="11">
        <f t="shared" si="7"/>
        <v>1.0018044811404578</v>
      </c>
      <c r="V6" s="11">
        <f t="shared" si="7"/>
        <v>1.0054232177535978</v>
      </c>
      <c r="W6" s="11">
        <f t="shared" si="7"/>
        <v>1.018192045564146</v>
      </c>
      <c r="X6" s="11">
        <f t="shared" si="7"/>
        <v>1.0555750089248341</v>
      </c>
      <c r="Y6" s="14">
        <f t="shared" si="7"/>
        <v>1.1975592199041885</v>
      </c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2:40" x14ac:dyDescent="0.2">
      <c r="B7" t="s">
        <v>11</v>
      </c>
      <c r="C7" s="2"/>
      <c r="D7" s="12">
        <v>5.47</v>
      </c>
      <c r="E7" s="13">
        <v>66</v>
      </c>
      <c r="F7" s="12">
        <f t="shared" si="1"/>
        <v>65999.985860892193</v>
      </c>
      <c r="G7" s="3">
        <v>3.3399999999999999E-5</v>
      </c>
      <c r="H7" s="3">
        <f t="shared" si="2"/>
        <v>145490.33766350819</v>
      </c>
      <c r="I7">
        <v>0.73299999999999998</v>
      </c>
      <c r="J7">
        <v>997</v>
      </c>
      <c r="K7" s="3">
        <f t="shared" si="3"/>
        <v>96821.010983391796</v>
      </c>
      <c r="M7" s="11">
        <f t="shared" ref="M7:Y7" si="8">EXP(2*$K$7*M$2/$J$7)</f>
        <v>1.000000194224715</v>
      </c>
      <c r="N7" s="11">
        <f t="shared" si="8"/>
        <v>1.000000582674258</v>
      </c>
      <c r="O7" s="11">
        <f t="shared" si="8"/>
        <v>1.0000019422488466</v>
      </c>
      <c r="P7" s="11">
        <f t="shared" si="8"/>
        <v>1.0000058267578571</v>
      </c>
      <c r="Q7" s="11">
        <f t="shared" si="8"/>
        <v>1.0000194226582229</v>
      </c>
      <c r="R7" s="11">
        <f t="shared" si="8"/>
        <v>1.0000582691063948</v>
      </c>
      <c r="S7" s="11">
        <f t="shared" si="8"/>
        <v>1.0001942435588924</v>
      </c>
      <c r="T7" s="11">
        <f t="shared" si="8"/>
        <v>1.0005828438756867</v>
      </c>
      <c r="U7" s="11">
        <f t="shared" si="8"/>
        <v>1.0019441343439011</v>
      </c>
      <c r="V7" s="11">
        <f t="shared" si="8"/>
        <v>1.0058437493549084</v>
      </c>
      <c r="W7" s="11">
        <f t="shared" si="8"/>
        <v>1.0196123128512959</v>
      </c>
      <c r="X7" s="11">
        <f t="shared" si="8"/>
        <v>1.0599984107352507</v>
      </c>
      <c r="Y7" s="14">
        <f t="shared" si="8"/>
        <v>1.2143691162524757</v>
      </c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spans="2:40" x14ac:dyDescent="0.2">
      <c r="B8" t="s">
        <v>11</v>
      </c>
      <c r="C8" s="2"/>
      <c r="D8" s="12">
        <v>6.39</v>
      </c>
      <c r="E8" s="13">
        <v>66</v>
      </c>
      <c r="F8" s="12">
        <f t="shared" si="1"/>
        <v>65999.985860892193</v>
      </c>
      <c r="G8" s="3">
        <v>6.3E-5</v>
      </c>
      <c r="H8" s="3">
        <f t="shared" si="2"/>
        <v>274427.88241919206</v>
      </c>
      <c r="I8">
        <v>0.73299999999999998</v>
      </c>
      <c r="J8">
        <v>997</v>
      </c>
      <c r="K8" s="3">
        <f t="shared" si="3"/>
        <v>225371.74310480859</v>
      </c>
      <c r="M8" s="11">
        <f t="shared" ref="M8:Y8" si="9">EXP(2*$K$8*M$2/$J$8)</f>
        <v>1.0000004520998877</v>
      </c>
      <c r="N8" s="11">
        <f t="shared" si="9"/>
        <v>1.0000013563002765</v>
      </c>
      <c r="O8" s="11">
        <f t="shared" si="9"/>
        <v>1.0000045210080755</v>
      </c>
      <c r="P8" s="11">
        <f t="shared" si="9"/>
        <v>1.0000135630855449</v>
      </c>
      <c r="Q8" s="11">
        <f t="shared" si="9"/>
        <v>1.0000452110005431</v>
      </c>
      <c r="R8" s="11">
        <f t="shared" si="9"/>
        <v>1.0001356391338254</v>
      </c>
      <c r="S8" s="11">
        <f t="shared" si="9"/>
        <v>1.0004522019980773</v>
      </c>
      <c r="T8" s="11">
        <f t="shared" si="9"/>
        <v>1.001357219546642</v>
      </c>
      <c r="U8" s="11">
        <f t="shared" si="9"/>
        <v>1.0045312329849883</v>
      </c>
      <c r="V8" s="11">
        <f t="shared" si="9"/>
        <v>1.0136553882076613</v>
      </c>
      <c r="W8" s="11">
        <f t="shared" si="9"/>
        <v>1.0462475263907554</v>
      </c>
      <c r="X8" s="11">
        <f t="shared" si="9"/>
        <v>1.1452579960319165</v>
      </c>
      <c r="Y8" s="14">
        <f t="shared" si="9"/>
        <v>1.5716087646241352</v>
      </c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</row>
    <row r="9" spans="2:40" x14ac:dyDescent="0.2">
      <c r="B9" t="s">
        <v>11</v>
      </c>
      <c r="C9" s="2"/>
      <c r="D9" s="15">
        <v>7.37</v>
      </c>
      <c r="E9" s="16">
        <v>66</v>
      </c>
      <c r="F9" s="15">
        <f t="shared" si="1"/>
        <v>65999.985860892193</v>
      </c>
      <c r="G9" s="17">
        <v>8.6000000000000003E-5</v>
      </c>
      <c r="H9" s="17">
        <f t="shared" si="2"/>
        <v>374615.83949286537</v>
      </c>
      <c r="I9" s="18">
        <v>0.73299999999999998</v>
      </c>
      <c r="J9" s="18">
        <v>997</v>
      </c>
      <c r="K9" s="17">
        <f t="shared" si="3"/>
        <v>325259.13630726089</v>
      </c>
      <c r="L9" s="18"/>
      <c r="M9" s="19">
        <f t="shared" ref="M9:Y9" si="10">EXP(2*$K$9*M$2/$J$9)</f>
        <v>1.0000006524759126</v>
      </c>
      <c r="N9" s="19">
        <f t="shared" si="10"/>
        <v>1.0000019574290149</v>
      </c>
      <c r="O9" s="19">
        <f t="shared" si="10"/>
        <v>1.0000065247782834</v>
      </c>
      <c r="P9" s="19">
        <f t="shared" si="10"/>
        <v>1.0000195744625686</v>
      </c>
      <c r="Q9" s="19">
        <f t="shared" si="10"/>
        <v>1.0000652496986404</v>
      </c>
      <c r="R9" s="19">
        <f t="shared" si="10"/>
        <v>1.0001957618687685</v>
      </c>
      <c r="S9" s="19">
        <f t="shared" si="10"/>
        <v>1.0006526886082865</v>
      </c>
      <c r="T9" s="19">
        <f t="shared" si="10"/>
        <v>1.0019593441101642</v>
      </c>
      <c r="U9" s="19">
        <f t="shared" si="10"/>
        <v>1.0065460895955078</v>
      </c>
      <c r="V9" s="19">
        <f t="shared" si="10"/>
        <v>1.0197671031618776</v>
      </c>
      <c r="W9" s="19">
        <f t="shared" si="10"/>
        <v>1.0674232536195651</v>
      </c>
      <c r="X9" s="19">
        <f t="shared" si="10"/>
        <v>1.2162139452848271</v>
      </c>
      <c r="Y9" s="20">
        <f t="shared" si="10"/>
        <v>1.9202890080033101</v>
      </c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</row>
    <row r="10" spans="2:40" x14ac:dyDescent="0.2">
      <c r="B10" t="s">
        <v>11</v>
      </c>
      <c r="C10" s="2" t="s">
        <v>13</v>
      </c>
      <c r="D10" s="5">
        <v>3.73</v>
      </c>
      <c r="E10" s="6">
        <v>66</v>
      </c>
      <c r="F10" s="5">
        <f t="shared" si="1"/>
        <v>65999.985860892193</v>
      </c>
      <c r="G10" s="7">
        <v>1.08E-4</v>
      </c>
      <c r="H10" s="7">
        <f t="shared" si="2"/>
        <v>470447.79843290069</v>
      </c>
      <c r="I10" s="8">
        <v>0.73299999999999998</v>
      </c>
      <c r="J10" s="8">
        <v>997</v>
      </c>
      <c r="K10" s="7">
        <f t="shared" si="3"/>
        <v>420803.59937047609</v>
      </c>
      <c r="L10" s="8"/>
      <c r="M10" s="9">
        <f t="shared" ref="M10:Y10" si="11">EXP(2*$K$10*M$2/$J$10)</f>
        <v>1.0000008441399739</v>
      </c>
      <c r="N10" s="9">
        <f t="shared" si="11"/>
        <v>1.0000025324220594</v>
      </c>
      <c r="O10" s="9">
        <f t="shared" si="11"/>
        <v>1.0000084414318047</v>
      </c>
      <c r="P10" s="9">
        <f t="shared" si="11"/>
        <v>1.0000253245091877</v>
      </c>
      <c r="Q10" s="9">
        <f t="shared" si="11"/>
        <v>1.0000844175247181</v>
      </c>
      <c r="R10" s="9">
        <f t="shared" si="11"/>
        <v>1.0002532739537113</v>
      </c>
      <c r="S10" s="9">
        <f t="shared" si="11"/>
        <v>1.0008444960037135</v>
      </c>
      <c r="T10" s="9">
        <f t="shared" si="11"/>
        <v>1.0025356281339137</v>
      </c>
      <c r="U10" s="9">
        <f t="shared" si="11"/>
        <v>1.0084771252242268</v>
      </c>
      <c r="V10" s="9">
        <f t="shared" si="11"/>
        <v>1.0256475698091054</v>
      </c>
      <c r="W10" s="9">
        <f t="shared" si="11"/>
        <v>1.0880792237825159</v>
      </c>
      <c r="X10" s="9">
        <f t="shared" si="11"/>
        <v>1.288194834518323</v>
      </c>
      <c r="Y10" s="10">
        <f t="shared" si="11"/>
        <v>2.3259757248213027</v>
      </c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 spans="2:40" x14ac:dyDescent="0.2">
      <c r="B11" t="s">
        <v>11</v>
      </c>
      <c r="C11" s="2"/>
      <c r="D11" s="12">
        <v>4.6100000000000003</v>
      </c>
      <c r="E11" s="13">
        <v>66</v>
      </c>
      <c r="F11" s="12">
        <f t="shared" si="1"/>
        <v>65999.985860892193</v>
      </c>
      <c r="G11" s="3">
        <v>1.6200000000000001E-5</v>
      </c>
      <c r="H11" s="3">
        <f t="shared" si="2"/>
        <v>70567.169764935112</v>
      </c>
      <c r="I11">
        <v>0.73299999999999998</v>
      </c>
      <c r="J11">
        <v>997</v>
      </c>
      <c r="K11" s="3">
        <f t="shared" si="3"/>
        <v>22122.612588514432</v>
      </c>
      <c r="M11" s="11">
        <f t="shared" ref="M11:Y11" si="12">EXP(2*$K$11*M$2/$J$11)</f>
        <v>1.0000000443783612</v>
      </c>
      <c r="N11" s="11">
        <f t="shared" si="12"/>
        <v>1.0000001331350896</v>
      </c>
      <c r="O11" s="11">
        <f t="shared" si="12"/>
        <v>1.0000004437837011</v>
      </c>
      <c r="P11" s="11">
        <f t="shared" si="12"/>
        <v>1.000001331351694</v>
      </c>
      <c r="Q11" s="11">
        <f t="shared" si="12"/>
        <v>1.000004437845873</v>
      </c>
      <c r="R11" s="11">
        <f t="shared" si="12"/>
        <v>1.0000133135967024</v>
      </c>
      <c r="S11" s="11">
        <f t="shared" si="12"/>
        <v>1.0000443793449918</v>
      </c>
      <c r="T11" s="11">
        <f t="shared" si="12"/>
        <v>1.0001331439436416</v>
      </c>
      <c r="U11" s="11">
        <f t="shared" si="12"/>
        <v>1.0004438820890893</v>
      </c>
      <c r="V11" s="11">
        <f t="shared" si="12"/>
        <v>1.0013322374486537</v>
      </c>
      <c r="W11" s="11">
        <f t="shared" si="12"/>
        <v>1.0044476978029961</v>
      </c>
      <c r="X11" s="11">
        <f t="shared" si="12"/>
        <v>1.0134025274406568</v>
      </c>
      <c r="Y11" s="14">
        <f t="shared" si="12"/>
        <v>1.0453778094890729</v>
      </c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</row>
    <row r="12" spans="2:40" x14ac:dyDescent="0.2">
      <c r="B12" t="s">
        <v>11</v>
      </c>
      <c r="C12" s="2"/>
      <c r="D12" s="12">
        <v>4.8600000000000003</v>
      </c>
      <c r="E12" s="13">
        <v>66</v>
      </c>
      <c r="F12" s="12">
        <f t="shared" si="1"/>
        <v>65999.985860892193</v>
      </c>
      <c r="G12" s="3">
        <v>2.16E-5</v>
      </c>
      <c r="H12" s="3">
        <f t="shared" si="2"/>
        <v>94089.559686580134</v>
      </c>
      <c r="I12">
        <v>0.73299999999999998</v>
      </c>
      <c r="J12">
        <v>997</v>
      </c>
      <c r="K12" s="3">
        <f t="shared" si="3"/>
        <v>45574.435340394521</v>
      </c>
      <c r="M12" s="11">
        <f t="shared" ref="M12:Y12" si="13">EXP(2*$K$12*M$2/$J$12)</f>
        <v>1.0000000914231444</v>
      </c>
      <c r="N12" s="11">
        <f t="shared" si="13"/>
        <v>1.0000002742694578</v>
      </c>
      <c r="O12" s="11">
        <f t="shared" si="13"/>
        <v>1.0000009142318189</v>
      </c>
      <c r="P12" s="11">
        <f t="shared" si="13"/>
        <v>1.0000027426979643</v>
      </c>
      <c r="Q12" s="11">
        <f t="shared" si="13"/>
        <v>1.0000091423558013</v>
      </c>
      <c r="R12" s="11">
        <f t="shared" si="13"/>
        <v>1.0000274273181524</v>
      </c>
      <c r="S12" s="11">
        <f t="shared" si="13"/>
        <v>1.0000914273193238</v>
      </c>
      <c r="T12" s="11">
        <f t="shared" si="13"/>
        <v>1.0002743070355995</v>
      </c>
      <c r="U12" s="11">
        <f t="shared" si="13"/>
        <v>1.0009146494379226</v>
      </c>
      <c r="V12" s="11">
        <f t="shared" si="13"/>
        <v>1.0027464588297317</v>
      </c>
      <c r="W12" s="11">
        <f t="shared" si="13"/>
        <v>1.0091842326097902</v>
      </c>
      <c r="X12" s="11">
        <f t="shared" si="13"/>
        <v>1.0278065229064648</v>
      </c>
      <c r="Y12" s="14">
        <f t="shared" si="13"/>
        <v>1.0957325555625186</v>
      </c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</row>
    <row r="13" spans="2:40" x14ac:dyDescent="0.2">
      <c r="B13" t="s">
        <v>11</v>
      </c>
      <c r="C13" s="2"/>
      <c r="D13" s="12">
        <v>5.08</v>
      </c>
      <c r="E13" s="13">
        <v>66</v>
      </c>
      <c r="F13" s="12">
        <f t="shared" si="1"/>
        <v>65999.985860892193</v>
      </c>
      <c r="G13" s="3">
        <v>3.6199999999999999E-5</v>
      </c>
      <c r="H13" s="3">
        <f t="shared" si="2"/>
        <v>157687.1324376945</v>
      </c>
      <c r="I13">
        <v>0.73299999999999998</v>
      </c>
      <c r="J13">
        <v>997</v>
      </c>
      <c r="K13" s="3">
        <f t="shared" si="3"/>
        <v>108981.21537325553</v>
      </c>
      <c r="M13" s="11">
        <f t="shared" ref="M13:Y13" si="14">EXP(2*$K$13*M$2/$J$13)</f>
        <v>1.0000002186183095</v>
      </c>
      <c r="N13" s="11">
        <f t="shared" si="14"/>
        <v>1.0000006558550718</v>
      </c>
      <c r="O13" s="11">
        <f t="shared" si="14"/>
        <v>1.0000021861852457</v>
      </c>
      <c r="P13" s="11">
        <f t="shared" si="14"/>
        <v>1.0000065585700755</v>
      </c>
      <c r="Q13" s="11">
        <f t="shared" si="14"/>
        <v>1.0000218620675319</v>
      </c>
      <c r="R13" s="11">
        <f t="shared" si="14"/>
        <v>1.0000655876364559</v>
      </c>
      <c r="S13" s="11">
        <f t="shared" si="14"/>
        <v>1.0002186421843222</v>
      </c>
      <c r="T13" s="11">
        <f t="shared" si="14"/>
        <v>1.0006560699766331</v>
      </c>
      <c r="U13" s="11">
        <f t="shared" si="14"/>
        <v>1.0021885742961643</v>
      </c>
      <c r="V13" s="11">
        <f t="shared" si="14"/>
        <v>1.0065801029438008</v>
      </c>
      <c r="W13" s="11">
        <f t="shared" si="14"/>
        <v>1.0221025493326024</v>
      </c>
      <c r="X13" s="11">
        <f t="shared" si="14"/>
        <v>1.0677840136555967</v>
      </c>
      <c r="Y13" s="14">
        <f t="shared" si="14"/>
        <v>1.2443561973458639</v>
      </c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</row>
    <row r="14" spans="2:40" x14ac:dyDescent="0.2">
      <c r="B14" t="s">
        <v>11</v>
      </c>
      <c r="C14" s="2"/>
      <c r="D14" s="12">
        <v>5.44</v>
      </c>
      <c r="E14" s="13">
        <v>66</v>
      </c>
      <c r="F14" s="12">
        <f t="shared" si="1"/>
        <v>65999.985860892193</v>
      </c>
      <c r="G14" s="3">
        <v>4.2500000000000003E-5</v>
      </c>
      <c r="H14" s="3">
        <f t="shared" si="2"/>
        <v>185129.92067961372</v>
      </c>
      <c r="I14">
        <v>0.73299999999999998</v>
      </c>
      <c r="J14">
        <v>997</v>
      </c>
      <c r="K14" s="3">
        <f t="shared" si="3"/>
        <v>136341.67525044901</v>
      </c>
      <c r="M14" s="11">
        <f t="shared" ref="M14:Y14" si="15">EXP(2*$K$14*M$2/$J$14)</f>
        <v>1.0000002735038995</v>
      </c>
      <c r="N14" s="11">
        <f t="shared" si="15"/>
        <v>1.0000008205119228</v>
      </c>
      <c r="O14" s="11">
        <f t="shared" si="15"/>
        <v>1.000002735042361</v>
      </c>
      <c r="P14" s="11">
        <f t="shared" si="15"/>
        <v>1.0000082051495247</v>
      </c>
      <c r="Q14" s="11">
        <f t="shared" si="15"/>
        <v>1.000027350760234</v>
      </c>
      <c r="R14" s="11">
        <f t="shared" si="15"/>
        <v>1.0000820545249145</v>
      </c>
      <c r="S14" s="11">
        <f t="shared" si="15"/>
        <v>1.0002735412676786</v>
      </c>
      <c r="T14" s="11">
        <f t="shared" si="15"/>
        <v>1.0008208482979788</v>
      </c>
      <c r="U14" s="11">
        <f t="shared" si="15"/>
        <v>1.0027387822512135</v>
      </c>
      <c r="V14" s="11">
        <f t="shared" si="15"/>
        <v>1.0082388700817084</v>
      </c>
      <c r="W14" s="11">
        <f t="shared" si="15"/>
        <v>1.0277278413454498</v>
      </c>
      <c r="X14" s="11">
        <f t="shared" si="15"/>
        <v>1.0855113416779785</v>
      </c>
      <c r="Y14" s="14">
        <f t="shared" si="15"/>
        <v>1.3145624361569597</v>
      </c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</row>
    <row r="15" spans="2:40" x14ac:dyDescent="0.2">
      <c r="B15" t="s">
        <v>11</v>
      </c>
      <c r="C15" s="2"/>
      <c r="D15" s="12">
        <v>6.26</v>
      </c>
      <c r="E15" s="13">
        <v>66</v>
      </c>
      <c r="F15" s="12">
        <f t="shared" si="1"/>
        <v>65999.985860892193</v>
      </c>
      <c r="G15" s="3">
        <v>5.1900000000000001E-5</v>
      </c>
      <c r="H15" s="3">
        <f t="shared" si="2"/>
        <v>226076.30313581062</v>
      </c>
      <c r="I15">
        <v>0.73299999999999998</v>
      </c>
      <c r="J15">
        <v>997</v>
      </c>
      <c r="K15" s="3">
        <f t="shared" si="3"/>
        <v>177165.21855927733</v>
      </c>
      <c r="M15" s="11">
        <f t="shared" ref="M15:Y15" si="16">EXP(2*$K$15*M$2/$J$15)</f>
        <v>1.0000003553966901</v>
      </c>
      <c r="N15" s="11">
        <f t="shared" si="16"/>
        <v>1.0000010661904495</v>
      </c>
      <c r="O15" s="11">
        <f t="shared" si="16"/>
        <v>1.0000035539725853</v>
      </c>
      <c r="P15" s="11">
        <f t="shared" si="16"/>
        <v>1.0000106619556481</v>
      </c>
      <c r="Q15" s="11">
        <f t="shared" si="16"/>
        <v>1.0000355402942414</v>
      </c>
      <c r="R15" s="11">
        <f t="shared" si="16"/>
        <v>1.0001066246721062</v>
      </c>
      <c r="S15" s="11">
        <f t="shared" si="16"/>
        <v>1.000355459787863</v>
      </c>
      <c r="T15" s="11">
        <f t="shared" si="16"/>
        <v>1.0010667584634843</v>
      </c>
      <c r="U15" s="11">
        <f t="shared" si="16"/>
        <v>1.0035602890962712</v>
      </c>
      <c r="V15" s="11">
        <f t="shared" si="16"/>
        <v>1.0107189393931693</v>
      </c>
      <c r="W15" s="11">
        <f t="shared" si="16"/>
        <v>1.0361787449597151</v>
      </c>
      <c r="X15" s="11">
        <f t="shared" si="16"/>
        <v>1.1125102940564142</v>
      </c>
      <c r="Y15" s="14">
        <f t="shared" si="16"/>
        <v>1.4267464282284033</v>
      </c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</row>
    <row r="16" spans="2:40" x14ac:dyDescent="0.2">
      <c r="B16" t="s">
        <v>11</v>
      </c>
      <c r="C16" s="2"/>
      <c r="D16" s="15">
        <v>7.34</v>
      </c>
      <c r="E16" s="16">
        <v>66</v>
      </c>
      <c r="F16" s="15">
        <f t="shared" si="1"/>
        <v>65999.985860892193</v>
      </c>
      <c r="G16" s="17">
        <v>6.9300000000000004E-5</v>
      </c>
      <c r="H16" s="17">
        <f t="shared" si="2"/>
        <v>301870.6706611113</v>
      </c>
      <c r="I16" s="18">
        <v>0.73299999999999998</v>
      </c>
      <c r="J16" s="18">
        <v>997</v>
      </c>
      <c r="K16" s="17">
        <f t="shared" si="3"/>
        <v>252732.20298200211</v>
      </c>
      <c r="L16" s="18"/>
      <c r="M16" s="19">
        <f t="shared" ref="M16:Y16" si="17">EXP(2*$K$16*M$2/$J$16)</f>
        <v>1.0000005069854905</v>
      </c>
      <c r="N16" s="19">
        <f t="shared" si="17"/>
        <v>1.0000015209572428</v>
      </c>
      <c r="O16" s="19">
        <f t="shared" si="17"/>
        <v>1.0000050698664722</v>
      </c>
      <c r="P16" s="19">
        <f t="shared" si="17"/>
        <v>1.0000152096765276</v>
      </c>
      <c r="Q16" s="19">
        <f t="shared" si="17"/>
        <v>1.0000506998213976</v>
      </c>
      <c r="R16" s="19">
        <f t="shared" si="17"/>
        <v>1.0001521071757387</v>
      </c>
      <c r="S16" s="19">
        <f t="shared" si="17"/>
        <v>1.0005071139008503</v>
      </c>
      <c r="T16" s="19">
        <f t="shared" si="17"/>
        <v>1.001522113326488</v>
      </c>
      <c r="U16" s="19">
        <f t="shared" si="17"/>
        <v>1.0050827270746832</v>
      </c>
      <c r="V16" s="19">
        <f t="shared" si="17"/>
        <v>1.0153258148753497</v>
      </c>
      <c r="W16" s="19">
        <f t="shared" si="17"/>
        <v>1.052005703843214</v>
      </c>
      <c r="X16" s="19">
        <f t="shared" si="17"/>
        <v>1.1642715455009778</v>
      </c>
      <c r="Y16" s="20">
        <f t="shared" si="17"/>
        <v>1.6602785044318809</v>
      </c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</row>
    <row r="17" spans="2:36" x14ac:dyDescent="0.2">
      <c r="B17" t="s">
        <v>11</v>
      </c>
      <c r="C17" s="2" t="s">
        <v>14</v>
      </c>
      <c r="D17" s="5">
        <v>3.7</v>
      </c>
      <c r="E17" s="6">
        <v>66</v>
      </c>
      <c r="F17" s="5">
        <f t="shared" si="1"/>
        <v>65999.985860892193</v>
      </c>
      <c r="G17" s="7">
        <v>9.9400000000000004E-5</v>
      </c>
      <c r="H17" s="7">
        <f t="shared" si="2"/>
        <v>432986.2144836142</v>
      </c>
      <c r="I17" s="8">
        <v>0.73299999999999998</v>
      </c>
      <c r="J17" s="8">
        <v>997</v>
      </c>
      <c r="K17" s="7">
        <f t="shared" si="3"/>
        <v>383454.40017303749</v>
      </c>
      <c r="L17" s="8"/>
      <c r="M17" s="9">
        <f t="shared" ref="M17:Y17" si="18">EXP(2*$K$17*M$2/$J$17)</f>
        <v>1.0000007692167456</v>
      </c>
      <c r="N17" s="9">
        <f t="shared" si="18"/>
        <v>1.0000023076520117</v>
      </c>
      <c r="O17" s="9">
        <f t="shared" si="18"/>
        <v>1.0000076921940817</v>
      </c>
      <c r="P17" s="9">
        <f t="shared" si="18"/>
        <v>1.0000230767597551</v>
      </c>
      <c r="Q17" s="9">
        <f t="shared" si="18"/>
        <v>1.000076924603515</v>
      </c>
      <c r="R17" s="9">
        <f t="shared" si="18"/>
        <v>1.0002307915631843</v>
      </c>
      <c r="S17" s="9">
        <f t="shared" si="18"/>
        <v>1.0007695123725397</v>
      </c>
      <c r="T17" s="9">
        <f t="shared" si="18"/>
        <v>1.00231031402116</v>
      </c>
      <c r="U17" s="9">
        <f t="shared" si="18"/>
        <v>1.0077218251971622</v>
      </c>
      <c r="V17" s="9">
        <f t="shared" si="18"/>
        <v>1.023344815770675</v>
      </c>
      <c r="W17" s="9">
        <f t="shared" si="18"/>
        <v>1.079957452978159</v>
      </c>
      <c r="X17" s="9">
        <f t="shared" si="18"/>
        <v>1.259563125326304</v>
      </c>
      <c r="Y17" s="10">
        <f t="shared" si="18"/>
        <v>2.1580746311006624</v>
      </c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</row>
    <row r="18" spans="2:36" x14ac:dyDescent="0.2">
      <c r="B18" t="s">
        <v>11</v>
      </c>
      <c r="C18" s="2"/>
      <c r="D18" s="12">
        <v>4.58</v>
      </c>
      <c r="E18" s="13">
        <v>66</v>
      </c>
      <c r="F18" s="12">
        <f t="shared" si="1"/>
        <v>65999.985860892193</v>
      </c>
      <c r="G18" s="3">
        <v>1.63E-5</v>
      </c>
      <c r="H18" s="3">
        <f t="shared" si="2"/>
        <v>71002.769578298903</v>
      </c>
      <c r="I18">
        <v>0.73299999999999998</v>
      </c>
      <c r="J18">
        <v>997</v>
      </c>
      <c r="K18" s="3">
        <f t="shared" si="3"/>
        <v>22556.905602438128</v>
      </c>
      <c r="M18" s="11">
        <f t="shared" ref="M18:Y18" si="19">EXP(2*$K$18*M$2/$J$18)</f>
        <v>1.000000045249561</v>
      </c>
      <c r="N18" s="11">
        <f t="shared" si="19"/>
        <v>1.000000135748689</v>
      </c>
      <c r="O18" s="11">
        <f t="shared" si="19"/>
        <v>1.0000004524957011</v>
      </c>
      <c r="P18" s="11">
        <f t="shared" si="19"/>
        <v>1.000001357487718</v>
      </c>
      <c r="Q18" s="11">
        <f t="shared" si="19"/>
        <v>1.0000045249662262</v>
      </c>
      <c r="R18" s="11">
        <f t="shared" si="19"/>
        <v>1.0000135749601042</v>
      </c>
      <c r="S18" s="11">
        <f t="shared" si="19"/>
        <v>1.0000452505836612</v>
      </c>
      <c r="T18" s="11">
        <f t="shared" si="19"/>
        <v>1.0001357578939225</v>
      </c>
      <c r="U18" s="11">
        <f t="shared" si="19"/>
        <v>1.0004525979904222</v>
      </c>
      <c r="V18" s="11">
        <f t="shared" si="19"/>
        <v>1.0013584085988017</v>
      </c>
      <c r="W18" s="11">
        <f t="shared" si="19"/>
        <v>1.004535209060869</v>
      </c>
      <c r="X18" s="11">
        <f t="shared" si="19"/>
        <v>1.0136674248270139</v>
      </c>
      <c r="Y18" s="14">
        <f t="shared" si="19"/>
        <v>1.0462889390767394</v>
      </c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</row>
    <row r="19" spans="2:36" x14ac:dyDescent="0.2">
      <c r="B19" t="s">
        <v>11</v>
      </c>
      <c r="C19" s="2"/>
      <c r="D19" s="12">
        <v>4.83</v>
      </c>
      <c r="E19" s="13">
        <v>66</v>
      </c>
      <c r="F19" s="12">
        <f t="shared" si="1"/>
        <v>65999.985860892193</v>
      </c>
      <c r="G19" s="3">
        <v>3.1099999999999997E-5</v>
      </c>
      <c r="H19" s="3">
        <f t="shared" si="2"/>
        <v>135471.54195614083</v>
      </c>
      <c r="I19">
        <v>0.73299999999999998</v>
      </c>
      <c r="J19">
        <v>997</v>
      </c>
      <c r="K19" s="3">
        <f t="shared" si="3"/>
        <v>86832.271663146545</v>
      </c>
      <c r="M19" s="11">
        <f t="shared" ref="M19:Y19" si="20">EXP(2*$K$19*M$2/$J$19)</f>
        <v>1.0000001741871198</v>
      </c>
      <c r="N19" s="11">
        <f t="shared" si="20"/>
        <v>1.0000005225614506</v>
      </c>
      <c r="O19" s="11">
        <f t="shared" si="20"/>
        <v>1.0000017418725635</v>
      </c>
      <c r="P19" s="11">
        <f t="shared" si="20"/>
        <v>1.0000052256267928</v>
      </c>
      <c r="Q19" s="11">
        <f t="shared" si="20"/>
        <v>1.0000174188621707</v>
      </c>
      <c r="R19" s="11">
        <f t="shared" si="20"/>
        <v>1.0000522574967674</v>
      </c>
      <c r="S19" s="11">
        <f t="shared" si="20"/>
        <v>1.0001742022760949</v>
      </c>
      <c r="T19" s="11">
        <f t="shared" si="20"/>
        <v>1.0005226978728698</v>
      </c>
      <c r="U19" s="11">
        <f t="shared" si="20"/>
        <v>1.0017433889849965</v>
      </c>
      <c r="V19" s="11">
        <f t="shared" si="20"/>
        <v>1.0052392904693137</v>
      </c>
      <c r="W19" s="11">
        <f t="shared" si="20"/>
        <v>1.0175713008897465</v>
      </c>
      <c r="X19" s="11">
        <f t="shared" si="20"/>
        <v>1.0536455796640687</v>
      </c>
      <c r="Y19" s="14">
        <f t="shared" si="20"/>
        <v>1.1902782515709589</v>
      </c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</row>
    <row r="20" spans="2:36" x14ac:dyDescent="0.2">
      <c r="B20" t="s">
        <v>11</v>
      </c>
      <c r="C20" s="2"/>
      <c r="D20" s="12">
        <v>5.05</v>
      </c>
      <c r="E20" s="13">
        <v>66</v>
      </c>
      <c r="F20" s="12">
        <f t="shared" si="1"/>
        <v>65999.985860892193</v>
      </c>
      <c r="G20" s="3">
        <v>3.0199999999999999E-5</v>
      </c>
      <c r="H20" s="3">
        <f t="shared" si="2"/>
        <v>131551.14363586667</v>
      </c>
      <c r="I20">
        <v>0.73299999999999998</v>
      </c>
      <c r="J20">
        <v>997</v>
      </c>
      <c r="K20" s="3">
        <f t="shared" si="3"/>
        <v>82923.634537833204</v>
      </c>
      <c r="M20" s="11">
        <f t="shared" ref="M20:Y20" si="21">EXP(2*$K$20*M$2/$J$20)</f>
        <v>1.0000001663463218</v>
      </c>
      <c r="N20" s="11">
        <f t="shared" si="21"/>
        <v>1.0000004990390485</v>
      </c>
      <c r="O20" s="11">
        <f t="shared" si="21"/>
        <v>1.0000016634644635</v>
      </c>
      <c r="P20" s="11">
        <f t="shared" si="21"/>
        <v>1.0000049904016921</v>
      </c>
      <c r="Q20" s="11">
        <f t="shared" si="21"/>
        <v>1.0000166347691561</v>
      </c>
      <c r="R20" s="11">
        <f t="shared" si="21"/>
        <v>1.0000499051376199</v>
      </c>
      <c r="S20" s="11">
        <f t="shared" si="21"/>
        <v>1.000166360144314</v>
      </c>
      <c r="T20" s="11">
        <f t="shared" si="21"/>
        <v>1.0004991634646387</v>
      </c>
      <c r="U20" s="11">
        <f t="shared" si="21"/>
        <v>1.0016648474021892</v>
      </c>
      <c r="V20" s="11">
        <f t="shared" si="21"/>
        <v>1.0050028619716707</v>
      </c>
      <c r="W20" s="11">
        <f t="shared" si="21"/>
        <v>1.0167737566359678</v>
      </c>
      <c r="X20" s="11">
        <f t="shared" si="21"/>
        <v>1.0511700660888634</v>
      </c>
      <c r="Y20" s="14">
        <f t="shared" si="21"/>
        <v>1.1809820144333771</v>
      </c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</row>
    <row r="21" spans="2:36" x14ac:dyDescent="0.2">
      <c r="B21" t="s">
        <v>11</v>
      </c>
      <c r="C21" s="2"/>
      <c r="D21" s="12">
        <v>5.41</v>
      </c>
      <c r="E21" s="13">
        <v>66</v>
      </c>
      <c r="F21" s="12">
        <f t="shared" si="1"/>
        <v>65999.985860892193</v>
      </c>
      <c r="G21" s="3">
        <v>3.6000000000000001E-5</v>
      </c>
      <c r="H21" s="3">
        <f t="shared" si="2"/>
        <v>156815.93281096691</v>
      </c>
      <c r="I21">
        <v>0.73299999999999998</v>
      </c>
      <c r="J21">
        <v>997</v>
      </c>
      <c r="K21" s="3">
        <f t="shared" si="3"/>
        <v>108112.62934540815</v>
      </c>
      <c r="M21" s="11">
        <f t="shared" ref="M21:Y21" si="22">EXP(2*$K$21*M$2/$J$21)</f>
        <v>1.0000002168759099</v>
      </c>
      <c r="N21" s="11">
        <f t="shared" si="22"/>
        <v>1.0000006506278707</v>
      </c>
      <c r="O21" s="11">
        <f t="shared" si="22"/>
        <v>1.0000021687612153</v>
      </c>
      <c r="P21" s="11">
        <f t="shared" si="22"/>
        <v>1.0000065062977563</v>
      </c>
      <c r="Q21" s="11">
        <f t="shared" si="22"/>
        <v>1.0000216878238124</v>
      </c>
      <c r="R21" s="11">
        <f t="shared" si="22"/>
        <v>1.0000650648825327</v>
      </c>
      <c r="S21" s="11">
        <f t="shared" si="22"/>
        <v>1.0002168994056251</v>
      </c>
      <c r="T21" s="11">
        <f t="shared" si="22"/>
        <v>1.0006508393631359</v>
      </c>
      <c r="U21" s="11">
        <f t="shared" si="22"/>
        <v>1.0021711123220565</v>
      </c>
      <c r="V21" s="11">
        <f t="shared" si="22"/>
        <v>1.0065274883863489</v>
      </c>
      <c r="W21" s="11">
        <f t="shared" si="22"/>
        <v>1.0219244737750974</v>
      </c>
      <c r="X21" s="11">
        <f t="shared" si="22"/>
        <v>1.0672260076882059</v>
      </c>
      <c r="Y21" s="14">
        <f t="shared" si="22"/>
        <v>1.2421899198447865</v>
      </c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</row>
    <row r="22" spans="2:36" x14ac:dyDescent="0.2">
      <c r="B22" t="s">
        <v>11</v>
      </c>
      <c r="C22" s="2"/>
      <c r="D22" s="12">
        <v>6.33</v>
      </c>
      <c r="E22" s="13">
        <v>66</v>
      </c>
      <c r="F22" s="12">
        <f t="shared" si="1"/>
        <v>65999.985860892193</v>
      </c>
      <c r="G22" s="3">
        <v>4.7800000000000003E-5</v>
      </c>
      <c r="H22" s="3">
        <f t="shared" si="2"/>
        <v>208216.71078789493</v>
      </c>
      <c r="I22">
        <v>0.73299999999999998</v>
      </c>
      <c r="J22">
        <v>997</v>
      </c>
      <c r="K22" s="3">
        <f t="shared" si="3"/>
        <v>159359.20498840537</v>
      </c>
      <c r="M22" s="11">
        <f t="shared" ref="M22:Y22" si="23">EXP(2*$K$22*M$2/$J$22)</f>
        <v>1.0000003196774934</v>
      </c>
      <c r="N22" s="11">
        <f t="shared" si="23"/>
        <v>1.0000009590327867</v>
      </c>
      <c r="O22" s="11">
        <f t="shared" si="23"/>
        <v>1.0000031967795326</v>
      </c>
      <c r="P22" s="11">
        <f t="shared" si="23"/>
        <v>1.0000095903692565</v>
      </c>
      <c r="Q22" s="11">
        <f t="shared" si="23"/>
        <v>1.0000319682552041</v>
      </c>
      <c r="R22" s="11">
        <f t="shared" si="23"/>
        <v>1.0000959078315532</v>
      </c>
      <c r="S22" s="11">
        <f t="shared" si="23"/>
        <v>1.0003197285445826</v>
      </c>
      <c r="T22" s="11">
        <f t="shared" si="23"/>
        <v>1.000959492345459</v>
      </c>
      <c r="U22" s="11">
        <f t="shared" si="23"/>
        <v>1.0032018895555823</v>
      </c>
      <c r="V22" s="11">
        <f t="shared" si="23"/>
        <v>1.009636457783007</v>
      </c>
      <c r="W22" s="11">
        <f t="shared" si="23"/>
        <v>1.0324842011954583</v>
      </c>
      <c r="X22" s="11">
        <f t="shared" si="23"/>
        <v>1.1006525516551664</v>
      </c>
      <c r="Y22" s="14">
        <f t="shared" si="23"/>
        <v>1.3766836328096841</v>
      </c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</row>
    <row r="23" spans="2:36" x14ac:dyDescent="0.2">
      <c r="B23" t="s">
        <v>11</v>
      </c>
      <c r="C23" s="2"/>
      <c r="D23" s="15">
        <v>7.31</v>
      </c>
      <c r="E23" s="16">
        <v>66</v>
      </c>
      <c r="F23" s="15">
        <f t="shared" si="1"/>
        <v>65999.985860892193</v>
      </c>
      <c r="G23" s="17">
        <v>6.86E-5</v>
      </c>
      <c r="H23" s="17">
        <f t="shared" si="2"/>
        <v>298821.47196756466</v>
      </c>
      <c r="I23" s="18">
        <v>0.73299999999999998</v>
      </c>
      <c r="J23" s="18">
        <v>997</v>
      </c>
      <c r="K23" s="17">
        <f t="shared" si="3"/>
        <v>249692.15188453608</v>
      </c>
      <c r="L23" s="18"/>
      <c r="M23" s="19">
        <f t="shared" ref="M23:Y23" si="24">EXP(2*$K$23*M$2/$J$23)</f>
        <v>1.00000050088709</v>
      </c>
      <c r="N23" s="19">
        <f t="shared" si="24"/>
        <v>1.000001502662023</v>
      </c>
      <c r="O23" s="19">
        <f t="shared" si="24"/>
        <v>1.000005008882191</v>
      </c>
      <c r="P23" s="19">
        <f t="shared" si="24"/>
        <v>1.00001502672184</v>
      </c>
      <c r="Q23" s="19">
        <f t="shared" si="24"/>
        <v>1.0000500899509259</v>
      </c>
      <c r="R23" s="19">
        <f t="shared" si="24"/>
        <v>1.0001502773799134</v>
      </c>
      <c r="S23" s="19">
        <f t="shared" si="24"/>
        <v>1.0005010124294857</v>
      </c>
      <c r="T23" s="19">
        <f t="shared" si="24"/>
        <v>1.0015037904545816</v>
      </c>
      <c r="U23" s="19">
        <f t="shared" si="24"/>
        <v>1.005021435004853</v>
      </c>
      <c r="V23" s="19">
        <f t="shared" si="24"/>
        <v>1.0151400760576101</v>
      </c>
      <c r="W23" s="19">
        <f t="shared" si="24"/>
        <v>1.0513643445427328</v>
      </c>
      <c r="X23" s="19">
        <f t="shared" si="24"/>
        <v>1.162143435638227</v>
      </c>
      <c r="Y23" s="20">
        <f t="shared" si="24"/>
        <v>1.6501842769279769</v>
      </c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</row>
    <row r="24" spans="2:36" x14ac:dyDescent="0.2">
      <c r="B24" t="s">
        <v>11</v>
      </c>
      <c r="C24" s="2" t="s">
        <v>15</v>
      </c>
      <c r="D24" s="5">
        <v>3.62</v>
      </c>
      <c r="E24" s="6">
        <v>66</v>
      </c>
      <c r="F24" s="5">
        <f t="shared" si="1"/>
        <v>65999.985860892193</v>
      </c>
      <c r="G24" s="7">
        <v>6.97E-5</v>
      </c>
      <c r="H24" s="7">
        <f t="shared" si="2"/>
        <v>303613.06991456647</v>
      </c>
      <c r="I24" s="8">
        <v>0.73299999999999998</v>
      </c>
      <c r="J24" s="8">
        <v>997</v>
      </c>
      <c r="K24" s="7">
        <f t="shared" si="3"/>
        <v>254469.37503769691</v>
      </c>
      <c r="L24" s="8"/>
      <c r="M24" s="9">
        <f t="shared" ref="M24:Y24" si="25">EXP(2*$K$24*M$2/$J$24)</f>
        <v>1.0000005104702909</v>
      </c>
      <c r="N24" s="9">
        <f t="shared" si="25"/>
        <v>1.0000015314116544</v>
      </c>
      <c r="O24" s="9">
        <f t="shared" si="25"/>
        <v>1.0000051047146346</v>
      </c>
      <c r="P24" s="9">
        <f t="shared" si="25"/>
        <v>1.0000153142220782</v>
      </c>
      <c r="Q24" s="9">
        <f t="shared" si="25"/>
        <v>1.0000510483189768</v>
      </c>
      <c r="R24" s="9">
        <f t="shared" si="25"/>
        <v>1.0001531527748559</v>
      </c>
      <c r="S24" s="9">
        <f t="shared" si="25"/>
        <v>1.0005106004726221</v>
      </c>
      <c r="T24" s="9">
        <f t="shared" si="25"/>
        <v>1.0015325836895141</v>
      </c>
      <c r="U24" s="9">
        <f t="shared" si="25"/>
        <v>1.0051177527928337</v>
      </c>
      <c r="V24" s="9">
        <f t="shared" si="25"/>
        <v>1.0154319666005247</v>
      </c>
      <c r="W24" s="9">
        <f t="shared" si="25"/>
        <v>1.0523723705180787</v>
      </c>
      <c r="X24" s="9">
        <f t="shared" si="25"/>
        <v>1.1654893574874901</v>
      </c>
      <c r="Y24" s="10">
        <f t="shared" si="25"/>
        <v>1.6660743332677264</v>
      </c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</row>
    <row r="25" spans="2:36" x14ac:dyDescent="0.2">
      <c r="B25" t="s">
        <v>11</v>
      </c>
      <c r="C25" s="2"/>
      <c r="D25" s="12">
        <v>4.5</v>
      </c>
      <c r="E25" s="13">
        <v>66</v>
      </c>
      <c r="F25" s="12">
        <f t="shared" si="1"/>
        <v>65999.985860892193</v>
      </c>
      <c r="G25" s="3">
        <v>3.1600000000000002E-5</v>
      </c>
      <c r="H25" s="3">
        <f t="shared" si="2"/>
        <v>137649.54102295983</v>
      </c>
      <c r="I25">
        <v>0.73299999999999998</v>
      </c>
      <c r="J25">
        <v>997</v>
      </c>
      <c r="K25" s="3">
        <f t="shared" si="3"/>
        <v>89003.736732765072</v>
      </c>
      <c r="M25" s="11">
        <f t="shared" ref="M25:Y25" si="26">EXP(2*$K$25*M$2/$J$25)</f>
        <v>1.0000001785431187</v>
      </c>
      <c r="N25" s="11">
        <f t="shared" si="26"/>
        <v>1.0000005356294517</v>
      </c>
      <c r="O25" s="11">
        <f t="shared" si="26"/>
        <v>1.0000017854326215</v>
      </c>
      <c r="P25" s="11">
        <f t="shared" si="26"/>
        <v>1.0000053563074283</v>
      </c>
      <c r="Q25" s="11">
        <f t="shared" si="26"/>
        <v>1.0000178544696665</v>
      </c>
      <c r="R25" s="11">
        <f t="shared" si="26"/>
        <v>1.0000535643653516</v>
      </c>
      <c r="S25" s="11">
        <f t="shared" si="26"/>
        <v>1.0001785590425423</v>
      </c>
      <c r="T25" s="11">
        <f t="shared" si="26"/>
        <v>1.0005357727833148</v>
      </c>
      <c r="U25" s="11">
        <f t="shared" si="26"/>
        <v>1.0017870258587283</v>
      </c>
      <c r="V25" s="11">
        <f t="shared" si="26"/>
        <v>1.0053706636672421</v>
      </c>
      <c r="W25" s="11">
        <f t="shared" si="26"/>
        <v>1.0180146513131689</v>
      </c>
      <c r="X25" s="11">
        <f t="shared" si="26"/>
        <v>1.0550233831779829</v>
      </c>
      <c r="Y25" s="14">
        <f t="shared" si="26"/>
        <v>1.1954744104261472</v>
      </c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</row>
    <row r="26" spans="2:36" x14ac:dyDescent="0.2">
      <c r="B26" t="s">
        <v>11</v>
      </c>
      <c r="C26" s="2"/>
      <c r="D26" s="12">
        <v>4.75</v>
      </c>
      <c r="E26" s="13">
        <v>66</v>
      </c>
      <c r="F26" s="12">
        <f t="shared" si="1"/>
        <v>65999.985860892193</v>
      </c>
      <c r="G26" s="3">
        <v>3.2700000000000002E-5</v>
      </c>
      <c r="H26" s="3">
        <f t="shared" si="2"/>
        <v>142441.13896996161</v>
      </c>
      <c r="I26">
        <v>0.73299999999999998</v>
      </c>
      <c r="J26">
        <v>997</v>
      </c>
      <c r="K26" s="3">
        <f t="shared" si="3"/>
        <v>93780.959885925855</v>
      </c>
      <c r="M26" s="11">
        <f t="shared" ref="M26:Y26" si="27">EXP(2*$K$26*M$2/$J$26)</f>
        <v>1.0000001881263163</v>
      </c>
      <c r="N26" s="11">
        <f t="shared" si="27"/>
        <v>1.0000005643790553</v>
      </c>
      <c r="O26" s="11">
        <f t="shared" si="27"/>
        <v>1.0000018812647562</v>
      </c>
      <c r="P26" s="11">
        <f t="shared" si="27"/>
        <v>1.0000056438048863</v>
      </c>
      <c r="Q26" s="11">
        <f t="shared" si="27"/>
        <v>1.0000188128068255</v>
      </c>
      <c r="R26" s="11">
        <f t="shared" si="27"/>
        <v>1.000056439482248</v>
      </c>
      <c r="S26" s="11">
        <f t="shared" si="27"/>
        <v>1.0001881439955298</v>
      </c>
      <c r="T26" s="11">
        <f t="shared" si="27"/>
        <v>1.0005645381877382</v>
      </c>
      <c r="U26" s="11">
        <f t="shared" si="27"/>
        <v>1.0018830336720919</v>
      </c>
      <c r="V26" s="11">
        <f t="shared" si="27"/>
        <v>1.0056597451405971</v>
      </c>
      <c r="W26" s="11">
        <f t="shared" si="27"/>
        <v>1.0189907023055134</v>
      </c>
      <c r="X26" s="11">
        <f t="shared" si="27"/>
        <v>1.0580608961742337</v>
      </c>
      <c r="Y26" s="14">
        <f t="shared" si="27"/>
        <v>1.2069859464406363</v>
      </c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</row>
    <row r="27" spans="2:36" x14ac:dyDescent="0.2">
      <c r="B27" t="s">
        <v>11</v>
      </c>
      <c r="C27" s="2"/>
      <c r="D27" s="12">
        <v>4.97</v>
      </c>
      <c r="E27" s="13">
        <v>66</v>
      </c>
      <c r="F27" s="12">
        <f t="shared" si="1"/>
        <v>65999.985860892193</v>
      </c>
      <c r="G27" s="3">
        <v>3.4700000000000003E-5</v>
      </c>
      <c r="H27" s="3">
        <f t="shared" si="2"/>
        <v>151153.13523723755</v>
      </c>
      <c r="I27">
        <v>0.73299999999999998</v>
      </c>
      <c r="J27">
        <v>997</v>
      </c>
      <c r="K27" s="3">
        <f t="shared" si="3"/>
        <v>102466.82016439996</v>
      </c>
      <c r="M27" s="11">
        <f t="shared" ref="M27:Y27" si="28">EXP(2*$K$27*M$2/$J$27)</f>
        <v>1.0000002055503123</v>
      </c>
      <c r="N27" s="11">
        <f t="shared" si="28"/>
        <v>1.0000006166510638</v>
      </c>
      <c r="O27" s="11">
        <f t="shared" si="28"/>
        <v>1.0000020555050246</v>
      </c>
      <c r="P27" s="11">
        <f t="shared" si="28"/>
        <v>1.0000061665277491</v>
      </c>
      <c r="Q27" s="11">
        <f t="shared" si="28"/>
        <v>1.0000205552403763</v>
      </c>
      <c r="R27" s="11">
        <f t="shared" si="28"/>
        <v>1.0000616669886913</v>
      </c>
      <c r="S27" s="11">
        <f t="shared" si="28"/>
        <v>1.0002055714181111</v>
      </c>
      <c r="T27" s="11">
        <f t="shared" si="28"/>
        <v>1.0006168410418443</v>
      </c>
      <c r="U27" s="11">
        <f t="shared" si="28"/>
        <v>1.0020576169063271</v>
      </c>
      <c r="V27" s="11">
        <f t="shared" si="28"/>
        <v>1.0061855607924932</v>
      </c>
      <c r="W27" s="11">
        <f t="shared" si="28"/>
        <v>1.0207677386483034</v>
      </c>
      <c r="X27" s="11">
        <f t="shared" si="28"/>
        <v>1.0636060699548611</v>
      </c>
      <c r="Y27" s="14">
        <f t="shared" si="28"/>
        <v>1.2282007471010783</v>
      </c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</row>
    <row r="28" spans="2:36" x14ac:dyDescent="0.2">
      <c r="B28" t="s">
        <v>11</v>
      </c>
      <c r="C28" s="2"/>
      <c r="D28" s="12">
        <v>5.33</v>
      </c>
      <c r="E28" s="13">
        <v>66</v>
      </c>
      <c r="F28" s="12">
        <f t="shared" si="1"/>
        <v>65999.985860892193</v>
      </c>
      <c r="G28" s="3">
        <v>3.3899999999999997E-5</v>
      </c>
      <c r="H28" s="3">
        <f t="shared" si="2"/>
        <v>147668.33673032714</v>
      </c>
      <c r="I28">
        <v>0.73299999999999998</v>
      </c>
      <c r="J28">
        <v>997</v>
      </c>
      <c r="K28" s="3">
        <f t="shared" si="3"/>
        <v>98992.476053010279</v>
      </c>
      <c r="M28" s="11">
        <f t="shared" ref="M28:Y28" si="29">EXP(2*$K$28*M$2/$J$28)</f>
        <v>1.0000001985807139</v>
      </c>
      <c r="N28" s="11">
        <f t="shared" si="29"/>
        <v>1.00000059574226</v>
      </c>
      <c r="O28" s="11">
        <f t="shared" si="29"/>
        <v>1.0000019858089135</v>
      </c>
      <c r="P28" s="11">
        <f t="shared" si="29"/>
        <v>1.0000059574385711</v>
      </c>
      <c r="Q28" s="11">
        <f t="shared" si="29"/>
        <v>1.0000198582665916</v>
      </c>
      <c r="R28" s="11">
        <f t="shared" si="29"/>
        <v>1.000059575982835</v>
      </c>
      <c r="S28" s="11">
        <f t="shared" si="29"/>
        <v>1.0001986004126397</v>
      </c>
      <c r="T28" s="11">
        <f t="shared" si="29"/>
        <v>1.0005959195721246</v>
      </c>
      <c r="U28" s="11">
        <f t="shared" si="29"/>
        <v>1.0019877799622874</v>
      </c>
      <c r="V28" s="11">
        <f t="shared" si="29"/>
        <v>1.0059752015486516</v>
      </c>
      <c r="W28" s="11">
        <f t="shared" si="29"/>
        <v>1.0200565525328142</v>
      </c>
      <c r="X28" s="11">
        <f t="shared" si="29"/>
        <v>1.061384521552059</v>
      </c>
      <c r="Y28" s="14">
        <f t="shared" si="29"/>
        <v>1.219670443760186</v>
      </c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</row>
    <row r="29" spans="2:36" x14ac:dyDescent="0.2">
      <c r="B29" t="s">
        <v>11</v>
      </c>
      <c r="C29" s="2"/>
      <c r="D29" s="12">
        <v>6.25</v>
      </c>
      <c r="E29" s="13">
        <v>66</v>
      </c>
      <c r="F29" s="12">
        <f t="shared" si="1"/>
        <v>65999.985860892193</v>
      </c>
      <c r="G29" s="3">
        <v>6.1600000000000007E-5</v>
      </c>
      <c r="H29" s="3">
        <f t="shared" si="2"/>
        <v>268329.48503209895</v>
      </c>
      <c r="I29">
        <v>0.73299999999999998</v>
      </c>
      <c r="J29">
        <v>997</v>
      </c>
      <c r="K29" s="3">
        <f t="shared" si="3"/>
        <v>219291.64090987676</v>
      </c>
      <c r="M29" s="11">
        <f t="shared" ref="M29:Y29" si="30">EXP(2*$K$29*M$2/$J$29)</f>
        <v>1.0000004399030875</v>
      </c>
      <c r="N29" s="11">
        <f t="shared" si="30"/>
        <v>1.0000013197098432</v>
      </c>
      <c r="O29" s="11">
        <f t="shared" si="30"/>
        <v>1.0000043990395837</v>
      </c>
      <c r="P29" s="11">
        <f t="shared" si="30"/>
        <v>1.0000131971768058</v>
      </c>
      <c r="Q29" s="11">
        <f t="shared" si="30"/>
        <v>1.0000439912666665</v>
      </c>
      <c r="R29" s="11">
        <f t="shared" si="30"/>
        <v>1.0001319796057795</v>
      </c>
      <c r="S29" s="11">
        <f t="shared" si="30"/>
        <v>1.0004399997623024</v>
      </c>
      <c r="T29" s="11">
        <f t="shared" si="30"/>
        <v>1.0013205801714633</v>
      </c>
      <c r="U29" s="11">
        <f t="shared" si="30"/>
        <v>1.0044087198435487</v>
      </c>
      <c r="V29" s="11">
        <f t="shared" si="30"/>
        <v>1.0132845556540755</v>
      </c>
      <c r="W29" s="11">
        <f t="shared" si="30"/>
        <v>1.0449722176465654</v>
      </c>
      <c r="X29" s="11">
        <f t="shared" si="30"/>
        <v>1.1410751103462293</v>
      </c>
      <c r="Y29" s="14">
        <f t="shared" si="30"/>
        <v>1.552556598919876</v>
      </c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</row>
    <row r="30" spans="2:36" x14ac:dyDescent="0.2">
      <c r="B30" t="s">
        <v>11</v>
      </c>
      <c r="C30" s="2"/>
      <c r="D30" s="15">
        <v>7.23</v>
      </c>
      <c r="E30" s="16">
        <v>66</v>
      </c>
      <c r="F30" s="15">
        <f t="shared" si="1"/>
        <v>65999.985860892193</v>
      </c>
      <c r="G30" s="17">
        <v>6.6400000000000001E-5</v>
      </c>
      <c r="H30" s="17">
        <f t="shared" si="2"/>
        <v>289238.27607356117</v>
      </c>
      <c r="I30" s="18">
        <v>0.73299999999999998</v>
      </c>
      <c r="J30" s="18">
        <v>997</v>
      </c>
      <c r="K30" s="17">
        <f t="shared" si="3"/>
        <v>240137.70557821461</v>
      </c>
      <c r="L30" s="18"/>
      <c r="M30" s="19">
        <f t="shared" ref="M30:Y30" si="31">EXP(2*$K$30*M$2/$J$30)</f>
        <v>1.0000004817206889</v>
      </c>
      <c r="N30" s="19">
        <f t="shared" si="31"/>
        <v>1.0000014451627628</v>
      </c>
      <c r="O30" s="19">
        <f t="shared" si="31"/>
        <v>1.0000048172173315</v>
      </c>
      <c r="P30" s="19">
        <f t="shared" si="31"/>
        <v>1.0000144517216114</v>
      </c>
      <c r="Q30" s="19">
        <f t="shared" si="31"/>
        <v>1.0000481732175797</v>
      </c>
      <c r="R30" s="19">
        <f t="shared" si="31"/>
        <v>1.0001445266148274</v>
      </c>
      <c r="S30" s="19">
        <f t="shared" si="31"/>
        <v>1.0004818366188635</v>
      </c>
      <c r="T30" s="19">
        <f t="shared" si="31"/>
        <v>1.0014462064680383</v>
      </c>
      <c r="U30" s="19">
        <f t="shared" si="31"/>
        <v>1.0048288271176473</v>
      </c>
      <c r="V30" s="19">
        <f t="shared" si="31"/>
        <v>1.0145565466634592</v>
      </c>
      <c r="W30" s="19">
        <f t="shared" si="31"/>
        <v>1.0493511883121187</v>
      </c>
      <c r="X30" s="19">
        <f t="shared" si="31"/>
        <v>1.1554803810825209</v>
      </c>
      <c r="Y30" s="20">
        <f t="shared" si="31"/>
        <v>1.6188573694358002</v>
      </c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</row>
    <row r="31" spans="2:36" x14ac:dyDescent="0.2">
      <c r="E31" s="13"/>
      <c r="G31" s="3"/>
      <c r="H31" s="3"/>
      <c r="K31" s="3"/>
    </row>
    <row r="32" spans="2:36" x14ac:dyDescent="0.2">
      <c r="E32" s="13"/>
      <c r="G32" s="3"/>
      <c r="H32" s="3"/>
      <c r="K32" s="3"/>
    </row>
    <row r="33" spans="2:11" x14ac:dyDescent="0.2">
      <c r="E33" s="13"/>
      <c r="G33" s="3"/>
      <c r="H33" s="3"/>
      <c r="K33" s="3"/>
    </row>
    <row r="34" spans="2:11" x14ac:dyDescent="0.2">
      <c r="E34" s="13"/>
      <c r="G34" s="3"/>
      <c r="H34" s="3"/>
      <c r="K34" s="3"/>
    </row>
    <row r="35" spans="2:11" x14ac:dyDescent="0.2">
      <c r="E35" s="13"/>
      <c r="G35" s="3"/>
      <c r="H35" s="3"/>
      <c r="K35" s="3"/>
    </row>
    <row r="36" spans="2:11" x14ac:dyDescent="0.2">
      <c r="E36" s="13"/>
      <c r="G36" s="3"/>
      <c r="H36" s="3"/>
      <c r="K36" s="3"/>
    </row>
    <row r="37" spans="2:11" x14ac:dyDescent="0.2">
      <c r="E37" s="13"/>
      <c r="G37" s="3"/>
      <c r="H37" s="3"/>
      <c r="K37" s="3"/>
    </row>
    <row r="39" spans="2:11" x14ac:dyDescent="0.2">
      <c r="B39" s="21"/>
      <c r="C39" s="21"/>
      <c r="D39" s="21"/>
    </row>
    <row r="40" spans="2:11" x14ac:dyDescent="0.2">
      <c r="B40" s="21"/>
      <c r="C40" s="21"/>
      <c r="D40" s="21"/>
      <c r="E40" s="11"/>
      <c r="F40" s="11"/>
      <c r="G40" s="11"/>
      <c r="H40" s="11"/>
      <c r="I40" s="11"/>
    </row>
    <row r="41" spans="2:11" x14ac:dyDescent="0.2">
      <c r="B41" s="21"/>
      <c r="C41" s="21"/>
      <c r="D41" s="21"/>
      <c r="E41" s="11"/>
      <c r="F41" s="11"/>
      <c r="G41" s="11"/>
      <c r="H41" s="11"/>
      <c r="I41" s="11"/>
    </row>
    <row r="42" spans="2:11" x14ac:dyDescent="0.2">
      <c r="B42" s="21"/>
      <c r="C42" s="21"/>
      <c r="D42" s="21"/>
      <c r="E42" s="11"/>
      <c r="F42" s="11"/>
      <c r="G42" s="11"/>
      <c r="H42" s="11"/>
      <c r="I42" s="11"/>
    </row>
    <row r="43" spans="2:11" x14ac:dyDescent="0.2">
      <c r="B43" s="21"/>
      <c r="C43" s="21"/>
      <c r="D43" s="21"/>
      <c r="E43" s="11"/>
      <c r="F43" s="11"/>
      <c r="G43" s="11"/>
      <c r="H43" s="11"/>
      <c r="I43" s="11"/>
    </row>
    <row r="44" spans="2:11" x14ac:dyDescent="0.2">
      <c r="B44" s="21"/>
      <c r="C44" s="21"/>
      <c r="D44" s="21"/>
      <c r="E44" s="11"/>
      <c r="F44" s="11"/>
      <c r="G44" s="11"/>
      <c r="H44" s="11"/>
      <c r="I44" s="11"/>
    </row>
    <row r="45" spans="2:11" x14ac:dyDescent="0.2">
      <c r="B45" s="21"/>
      <c r="C45" s="21"/>
      <c r="D45" s="21"/>
      <c r="E45" s="11"/>
      <c r="F45" s="11"/>
      <c r="G45" s="11"/>
      <c r="H45" s="11"/>
      <c r="I45" s="11"/>
    </row>
    <row r="46" spans="2:11" x14ac:dyDescent="0.2">
      <c r="B46" s="21"/>
      <c r="C46" s="21"/>
      <c r="D46" s="21"/>
      <c r="E46" s="11"/>
      <c r="F46" s="11"/>
      <c r="G46" s="11"/>
      <c r="H46" s="11"/>
      <c r="I46" s="11"/>
    </row>
    <row r="47" spans="2:11" x14ac:dyDescent="0.2">
      <c r="B47" s="3"/>
      <c r="C47" s="3"/>
      <c r="D47" s="3"/>
      <c r="E47" s="11"/>
      <c r="F47" s="11"/>
      <c r="G47" s="11"/>
      <c r="H47" s="11"/>
      <c r="I47" s="11"/>
    </row>
    <row r="48" spans="2:11" x14ac:dyDescent="0.2">
      <c r="B48" s="3"/>
      <c r="C48" s="3"/>
      <c r="D48" s="3"/>
      <c r="E48" s="11"/>
      <c r="F48" s="11"/>
      <c r="G48" s="11"/>
      <c r="H48" s="11"/>
      <c r="I48" s="11"/>
    </row>
    <row r="49" spans="2:9" x14ac:dyDescent="0.2">
      <c r="B49" s="3"/>
      <c r="C49" s="3"/>
      <c r="D49" s="3"/>
      <c r="E49" s="11"/>
      <c r="F49" s="11"/>
      <c r="G49" s="11"/>
      <c r="H49" s="11"/>
      <c r="I49" s="11"/>
    </row>
    <row r="50" spans="2:9" x14ac:dyDescent="0.2">
      <c r="B50" s="3"/>
      <c r="C50" s="3"/>
      <c r="D50" s="3"/>
      <c r="E50" s="11"/>
      <c r="F50" s="11"/>
      <c r="G50" s="11"/>
      <c r="H50" s="11"/>
      <c r="I50" s="11"/>
    </row>
    <row r="51" spans="2:9" x14ac:dyDescent="0.2">
      <c r="B51" s="3"/>
      <c r="C51" s="3"/>
      <c r="D51" s="3"/>
      <c r="E51" s="11"/>
      <c r="F51" s="11"/>
      <c r="G51" s="11"/>
      <c r="H51" s="11"/>
      <c r="I51" s="11"/>
    </row>
    <row r="52" spans="2:9" x14ac:dyDescent="0.2">
      <c r="B52" s="3"/>
      <c r="C52" s="3"/>
      <c r="D52" s="3"/>
      <c r="E52" s="11"/>
      <c r="F52" s="11"/>
      <c r="G52" s="11"/>
      <c r="H52" s="11"/>
      <c r="I52" s="11"/>
    </row>
    <row r="53" spans="2:9" x14ac:dyDescent="0.2">
      <c r="B53" s="3"/>
      <c r="C53" s="3"/>
      <c r="D53" s="3"/>
      <c r="E53" s="11"/>
      <c r="F53" s="11"/>
      <c r="G53" s="11"/>
      <c r="H53" s="11"/>
      <c r="I53" s="11"/>
    </row>
    <row r="54" spans="2:9" x14ac:dyDescent="0.2">
      <c r="B54" s="3"/>
      <c r="C54" s="3"/>
      <c r="D54" s="3"/>
      <c r="E54" s="11"/>
      <c r="F54" s="11"/>
      <c r="G54" s="11"/>
      <c r="H54" s="11"/>
      <c r="I54" s="11"/>
    </row>
    <row r="55" spans="2:9" x14ac:dyDescent="0.2">
      <c r="B55" s="3"/>
      <c r="C55" s="3"/>
      <c r="D55" s="3"/>
      <c r="E55" s="11"/>
      <c r="F55" s="11"/>
      <c r="G55" s="11"/>
      <c r="H55" s="11"/>
      <c r="I55" s="11"/>
    </row>
    <row r="56" spans="2:9" x14ac:dyDescent="0.2">
      <c r="B56" s="3"/>
      <c r="C56" s="3"/>
      <c r="D56" s="3"/>
      <c r="E56" s="11"/>
      <c r="F56" s="11"/>
      <c r="G56" s="11"/>
      <c r="H56" s="11"/>
      <c r="I56" s="11"/>
    </row>
    <row r="57" spans="2:9" x14ac:dyDescent="0.2">
      <c r="B57" s="3"/>
      <c r="C57" s="3"/>
      <c r="D57" s="3"/>
    </row>
    <row r="58" spans="2:9" x14ac:dyDescent="0.2">
      <c r="B58" s="3"/>
      <c r="C58" s="3"/>
      <c r="D58" s="3"/>
    </row>
    <row r="59" spans="2:9" x14ac:dyDescent="0.2">
      <c r="B59" s="3"/>
      <c r="C59" s="3"/>
      <c r="D59" s="3"/>
    </row>
    <row r="60" spans="2:9" x14ac:dyDescent="0.2">
      <c r="B60" s="3"/>
      <c r="C60" s="3"/>
      <c r="D60" s="3"/>
    </row>
    <row r="61" spans="2:9" x14ac:dyDescent="0.2">
      <c r="B61" s="3"/>
      <c r="C61" s="3"/>
      <c r="D61" s="3"/>
    </row>
    <row r="62" spans="2:9" x14ac:dyDescent="0.2">
      <c r="B62" s="3"/>
      <c r="C62" s="3"/>
      <c r="D62" s="3"/>
    </row>
    <row r="63" spans="2:9" x14ac:dyDescent="0.2">
      <c r="B63" s="3"/>
      <c r="C63" s="3"/>
      <c r="D63" s="3"/>
    </row>
    <row r="64" spans="2:9" x14ac:dyDescent="0.2">
      <c r="B64" s="3"/>
      <c r="C64" s="3"/>
      <c r="D64" s="3"/>
    </row>
    <row r="65" spans="2:4" x14ac:dyDescent="0.2">
      <c r="B65" s="3"/>
      <c r="C65" s="3"/>
      <c r="D65" s="3"/>
    </row>
  </sheetData>
  <mergeCells count="4">
    <mergeCell ref="C3:C9"/>
    <mergeCell ref="C10:C16"/>
    <mergeCell ref="C17:C23"/>
    <mergeCell ref="C24:C30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90"/>
  <sheetViews>
    <sheetView zoomScaleNormal="100" workbookViewId="0"/>
  </sheetViews>
  <sheetFormatPr baseColWidth="10" defaultColWidth="8.6640625" defaultRowHeight="16" x14ac:dyDescent="0.2"/>
  <cols>
    <col min="1" max="1" width="10" customWidth="1"/>
    <col min="2" max="3" width="45" customWidth="1"/>
    <col min="4" max="4" width="70" customWidth="1"/>
  </cols>
  <sheetData>
    <row r="1" spans="1:4" x14ac:dyDescent="0.2">
      <c r="A1" s="22" t="s">
        <v>16</v>
      </c>
    </row>
    <row r="3" spans="1:4" ht="60" customHeight="1" x14ac:dyDescent="0.2">
      <c r="A3" s="1" t="s">
        <v>17</v>
      </c>
      <c r="B3" s="1"/>
      <c r="C3" s="1"/>
      <c r="D3" s="1"/>
    </row>
    <row r="4" spans="1:4" ht="15" customHeight="1" x14ac:dyDescent="0.2">
      <c r="A4" s="1" t="s">
        <v>18</v>
      </c>
      <c r="B4" s="1"/>
      <c r="C4" s="1"/>
      <c r="D4" s="1"/>
    </row>
    <row r="5" spans="1:4" ht="15" customHeight="1" x14ac:dyDescent="0.2">
      <c r="A5" s="1" t="s">
        <v>19</v>
      </c>
      <c r="B5" s="1"/>
      <c r="C5" s="1"/>
      <c r="D5" s="1"/>
    </row>
    <row r="6" spans="1:4" ht="15" customHeight="1" x14ac:dyDescent="0.2">
      <c r="A6" s="1" t="s">
        <v>20</v>
      </c>
      <c r="B6" s="1"/>
      <c r="C6" s="1"/>
      <c r="D6" s="1"/>
    </row>
    <row r="8" spans="1:4" x14ac:dyDescent="0.2">
      <c r="A8" s="23" t="s">
        <v>21</v>
      </c>
      <c r="B8" s="23" t="s">
        <v>22</v>
      </c>
      <c r="C8" s="23" t="s">
        <v>23</v>
      </c>
      <c r="D8" s="23" t="s">
        <v>24</v>
      </c>
    </row>
    <row r="9" spans="1:4" x14ac:dyDescent="0.2">
      <c r="A9" s="24" t="s">
        <v>25</v>
      </c>
      <c r="B9" s="25" t="s">
        <v>26</v>
      </c>
      <c r="C9" s="25" t="s">
        <v>27</v>
      </c>
      <c r="D9" s="25" t="s">
        <v>28</v>
      </c>
    </row>
    <row r="10" spans="1:4" x14ac:dyDescent="0.2">
      <c r="A10" s="24" t="s">
        <v>29</v>
      </c>
      <c r="B10" s="25" t="s">
        <v>30</v>
      </c>
      <c r="C10" s="25" t="s">
        <v>27</v>
      </c>
      <c r="D10" s="25" t="s">
        <v>28</v>
      </c>
    </row>
    <row r="11" spans="1:4" x14ac:dyDescent="0.2">
      <c r="A11" s="24" t="s">
        <v>31</v>
      </c>
      <c r="B11" s="25" t="s">
        <v>32</v>
      </c>
      <c r="C11" s="25" t="s">
        <v>27</v>
      </c>
      <c r="D11" s="25" t="s">
        <v>28</v>
      </c>
    </row>
    <row r="12" spans="1:4" x14ac:dyDescent="0.2">
      <c r="A12" s="24" t="s">
        <v>33</v>
      </c>
      <c r="B12" s="25" t="s">
        <v>34</v>
      </c>
      <c r="C12" s="25" t="s">
        <v>27</v>
      </c>
      <c r="D12" s="25" t="s">
        <v>28</v>
      </c>
    </row>
    <row r="13" spans="1:4" x14ac:dyDescent="0.2">
      <c r="A13" s="24" t="s">
        <v>35</v>
      </c>
      <c r="B13" s="25" t="s">
        <v>36</v>
      </c>
      <c r="C13" s="25" t="s">
        <v>27</v>
      </c>
      <c r="D13" s="25" t="s">
        <v>28</v>
      </c>
    </row>
    <row r="14" spans="1:4" x14ac:dyDescent="0.2">
      <c r="A14" s="24" t="s">
        <v>37</v>
      </c>
      <c r="B14" s="25" t="s">
        <v>38</v>
      </c>
      <c r="C14" s="25" t="s">
        <v>39</v>
      </c>
      <c r="D14" s="25" t="s">
        <v>40</v>
      </c>
    </row>
    <row r="15" spans="1:4" x14ac:dyDescent="0.2">
      <c r="A15" s="24" t="s">
        <v>41</v>
      </c>
      <c r="B15" s="25" t="s">
        <v>42</v>
      </c>
      <c r="C15" s="25" t="s">
        <v>43</v>
      </c>
      <c r="D15" s="25" t="s">
        <v>40</v>
      </c>
    </row>
    <row r="16" spans="1:4" x14ac:dyDescent="0.2">
      <c r="A16" s="24" t="s">
        <v>44</v>
      </c>
      <c r="B16" s="25" t="s">
        <v>45</v>
      </c>
      <c r="C16" s="25" t="s">
        <v>46</v>
      </c>
      <c r="D16" s="25" t="s">
        <v>40</v>
      </c>
    </row>
    <row r="17" spans="1:4" x14ac:dyDescent="0.2">
      <c r="A17" s="24" t="s">
        <v>47</v>
      </c>
      <c r="B17" s="25" t="s">
        <v>48</v>
      </c>
      <c r="C17" s="25" t="s">
        <v>49</v>
      </c>
      <c r="D17" s="25" t="s">
        <v>40</v>
      </c>
    </row>
    <row r="18" spans="1:4" x14ac:dyDescent="0.2">
      <c r="A18" s="24" t="s">
        <v>50</v>
      </c>
      <c r="B18" s="25" t="s">
        <v>51</v>
      </c>
      <c r="C18" s="25" t="s">
        <v>52</v>
      </c>
      <c r="D18" s="25" t="s">
        <v>40</v>
      </c>
    </row>
    <row r="19" spans="1:4" x14ac:dyDescent="0.2">
      <c r="A19" s="24" t="s">
        <v>53</v>
      </c>
      <c r="B19" s="25" t="s">
        <v>54</v>
      </c>
      <c r="C19" s="25" t="s">
        <v>55</v>
      </c>
      <c r="D19" s="25" t="s">
        <v>40</v>
      </c>
    </row>
    <row r="20" spans="1:4" x14ac:dyDescent="0.2">
      <c r="A20" s="24" t="s">
        <v>56</v>
      </c>
      <c r="B20" s="25" t="s">
        <v>57</v>
      </c>
      <c r="C20" s="25" t="s">
        <v>58</v>
      </c>
      <c r="D20" s="25" t="s">
        <v>40</v>
      </c>
    </row>
    <row r="21" spans="1:4" x14ac:dyDescent="0.2">
      <c r="A21" s="24" t="s">
        <v>59</v>
      </c>
      <c r="B21" s="25" t="s">
        <v>60</v>
      </c>
      <c r="C21" s="25" t="s">
        <v>61</v>
      </c>
      <c r="D21" s="25" t="s">
        <v>40</v>
      </c>
    </row>
    <row r="22" spans="1:4" x14ac:dyDescent="0.2">
      <c r="A22" s="24" t="s">
        <v>62</v>
      </c>
      <c r="B22" s="25" t="s">
        <v>63</v>
      </c>
      <c r="C22" s="25" t="s">
        <v>64</v>
      </c>
      <c r="D22" s="25" t="s">
        <v>40</v>
      </c>
    </row>
    <row r="23" spans="1:4" x14ac:dyDescent="0.2">
      <c r="A23" s="24" t="s">
        <v>65</v>
      </c>
      <c r="B23" s="25" t="s">
        <v>66</v>
      </c>
      <c r="C23" s="25" t="s">
        <v>67</v>
      </c>
      <c r="D23" s="25" t="s">
        <v>40</v>
      </c>
    </row>
    <row r="24" spans="1:4" x14ac:dyDescent="0.2">
      <c r="A24" s="24" t="s">
        <v>68</v>
      </c>
      <c r="B24" s="25" t="s">
        <v>69</v>
      </c>
      <c r="C24" s="25" t="s">
        <v>70</v>
      </c>
      <c r="D24" s="25" t="s">
        <v>40</v>
      </c>
    </row>
    <row r="25" spans="1:4" x14ac:dyDescent="0.2">
      <c r="A25" s="24" t="s">
        <v>71</v>
      </c>
      <c r="B25" s="25" t="s">
        <v>72</v>
      </c>
      <c r="C25" s="25" t="s">
        <v>73</v>
      </c>
      <c r="D25" s="25" t="s">
        <v>40</v>
      </c>
    </row>
    <row r="26" spans="1:4" x14ac:dyDescent="0.2">
      <c r="A26" s="24" t="s">
        <v>74</v>
      </c>
      <c r="B26" s="25" t="s">
        <v>75</v>
      </c>
      <c r="C26" s="25" t="s">
        <v>76</v>
      </c>
      <c r="D26" s="25" t="s">
        <v>40</v>
      </c>
    </row>
    <row r="27" spans="1:4" x14ac:dyDescent="0.2">
      <c r="A27" s="24" t="s">
        <v>77</v>
      </c>
      <c r="B27" s="25" t="s">
        <v>78</v>
      </c>
      <c r="C27" s="25" t="s">
        <v>79</v>
      </c>
      <c r="D27" s="25" t="s">
        <v>40</v>
      </c>
    </row>
    <row r="28" spans="1:4" x14ac:dyDescent="0.2">
      <c r="A28" s="24" t="s">
        <v>80</v>
      </c>
      <c r="B28" s="25" t="s">
        <v>81</v>
      </c>
      <c r="C28" s="25" t="s">
        <v>82</v>
      </c>
      <c r="D28" s="25" t="s">
        <v>40</v>
      </c>
    </row>
    <row r="29" spans="1:4" x14ac:dyDescent="0.2">
      <c r="A29" s="24" t="s">
        <v>83</v>
      </c>
      <c r="B29" s="25" t="s">
        <v>84</v>
      </c>
      <c r="C29" s="25" t="s">
        <v>85</v>
      </c>
      <c r="D29" s="25" t="s">
        <v>40</v>
      </c>
    </row>
    <row r="30" spans="1:4" x14ac:dyDescent="0.2">
      <c r="A30" s="24" t="s">
        <v>86</v>
      </c>
      <c r="B30" s="25" t="s">
        <v>87</v>
      </c>
      <c r="C30" s="25" t="s">
        <v>88</v>
      </c>
      <c r="D30" s="25" t="s">
        <v>40</v>
      </c>
    </row>
    <row r="31" spans="1:4" x14ac:dyDescent="0.2">
      <c r="A31" s="24" t="s">
        <v>89</v>
      </c>
      <c r="B31" s="25" t="s">
        <v>90</v>
      </c>
      <c r="C31" s="25" t="s">
        <v>91</v>
      </c>
      <c r="D31" s="25" t="s">
        <v>40</v>
      </c>
    </row>
    <row r="32" spans="1:4" x14ac:dyDescent="0.2">
      <c r="A32" s="24" t="s">
        <v>92</v>
      </c>
      <c r="B32" s="25" t="s">
        <v>93</v>
      </c>
      <c r="C32" s="25" t="s">
        <v>94</v>
      </c>
      <c r="D32" s="25" t="s">
        <v>40</v>
      </c>
    </row>
    <row r="33" spans="1:4" x14ac:dyDescent="0.2">
      <c r="A33" s="24" t="s">
        <v>95</v>
      </c>
      <c r="B33" s="25" t="s">
        <v>96</v>
      </c>
      <c r="C33" s="25" t="s">
        <v>97</v>
      </c>
      <c r="D33" s="25" t="s">
        <v>40</v>
      </c>
    </row>
    <row r="34" spans="1:4" x14ac:dyDescent="0.2">
      <c r="A34" s="24" t="s">
        <v>98</v>
      </c>
      <c r="B34" s="25" t="s">
        <v>99</v>
      </c>
      <c r="C34" s="25" t="s">
        <v>100</v>
      </c>
      <c r="D34" s="25" t="s">
        <v>40</v>
      </c>
    </row>
    <row r="35" spans="1:4" x14ac:dyDescent="0.2">
      <c r="A35" s="24" t="s">
        <v>101</v>
      </c>
      <c r="B35" s="25" t="s">
        <v>102</v>
      </c>
      <c r="C35" s="25" t="s">
        <v>103</v>
      </c>
      <c r="D35" s="25" t="s">
        <v>40</v>
      </c>
    </row>
    <row r="36" spans="1:4" x14ac:dyDescent="0.2">
      <c r="A36" s="24" t="s">
        <v>104</v>
      </c>
      <c r="B36" s="25" t="s">
        <v>105</v>
      </c>
      <c r="C36" s="25" t="s">
        <v>106</v>
      </c>
      <c r="D36" s="25" t="s">
        <v>40</v>
      </c>
    </row>
    <row r="37" spans="1:4" x14ac:dyDescent="0.2">
      <c r="A37" s="24" t="s">
        <v>107</v>
      </c>
      <c r="B37" s="25" t="s">
        <v>108</v>
      </c>
      <c r="C37" s="25" t="s">
        <v>109</v>
      </c>
      <c r="D37" s="25" t="s">
        <v>40</v>
      </c>
    </row>
    <row r="38" spans="1:4" x14ac:dyDescent="0.2">
      <c r="A38" s="24" t="s">
        <v>110</v>
      </c>
      <c r="B38" s="25" t="s">
        <v>111</v>
      </c>
      <c r="C38" s="25" t="s">
        <v>112</v>
      </c>
      <c r="D38" s="25" t="s">
        <v>40</v>
      </c>
    </row>
    <row r="39" spans="1:4" x14ac:dyDescent="0.2">
      <c r="A39" s="24" t="s">
        <v>113</v>
      </c>
      <c r="B39" s="25" t="s">
        <v>114</v>
      </c>
      <c r="C39" s="25" t="s">
        <v>115</v>
      </c>
      <c r="D39" s="25" t="s">
        <v>40</v>
      </c>
    </row>
    <row r="40" spans="1:4" x14ac:dyDescent="0.2">
      <c r="A40" s="24" t="s">
        <v>116</v>
      </c>
      <c r="B40" s="25" t="s">
        <v>117</v>
      </c>
      <c r="C40" s="25" t="s">
        <v>118</v>
      </c>
      <c r="D40" s="25" t="s">
        <v>40</v>
      </c>
    </row>
    <row r="41" spans="1:4" x14ac:dyDescent="0.2">
      <c r="A41" s="24" t="s">
        <v>119</v>
      </c>
      <c r="B41" s="25" t="s">
        <v>120</v>
      </c>
      <c r="C41" s="25" t="s">
        <v>121</v>
      </c>
      <c r="D41" s="25" t="s">
        <v>40</v>
      </c>
    </row>
    <row r="42" spans="1:4" x14ac:dyDescent="0.2">
      <c r="A42" s="24" t="s">
        <v>122</v>
      </c>
      <c r="B42" s="25" t="s">
        <v>123</v>
      </c>
      <c r="C42" s="25" t="s">
        <v>124</v>
      </c>
      <c r="D42" s="25" t="s">
        <v>40</v>
      </c>
    </row>
    <row r="43" spans="1:4" x14ac:dyDescent="0.2">
      <c r="A43" s="24" t="s">
        <v>125</v>
      </c>
      <c r="B43" s="25" t="s">
        <v>126</v>
      </c>
      <c r="C43" s="25" t="s">
        <v>127</v>
      </c>
      <c r="D43" s="25" t="s">
        <v>40</v>
      </c>
    </row>
    <row r="44" spans="1:4" x14ac:dyDescent="0.2">
      <c r="A44" s="24" t="s">
        <v>128</v>
      </c>
      <c r="B44" s="25" t="s">
        <v>129</v>
      </c>
      <c r="C44" s="25" t="s">
        <v>130</v>
      </c>
      <c r="D44" s="25" t="s">
        <v>40</v>
      </c>
    </row>
    <row r="45" spans="1:4" x14ac:dyDescent="0.2">
      <c r="A45" s="24" t="s">
        <v>131</v>
      </c>
      <c r="B45" s="25" t="s">
        <v>132</v>
      </c>
      <c r="C45" s="25" t="s">
        <v>133</v>
      </c>
      <c r="D45" s="25" t="s">
        <v>40</v>
      </c>
    </row>
    <row r="46" spans="1:4" x14ac:dyDescent="0.2">
      <c r="A46" s="24" t="s">
        <v>134</v>
      </c>
      <c r="B46" s="25" t="s">
        <v>135</v>
      </c>
      <c r="C46" s="25" t="s">
        <v>136</v>
      </c>
      <c r="D46" s="25" t="s">
        <v>40</v>
      </c>
    </row>
    <row r="47" spans="1:4" x14ac:dyDescent="0.2">
      <c r="A47" s="24" t="s">
        <v>137</v>
      </c>
      <c r="B47" s="25" t="s">
        <v>138</v>
      </c>
      <c r="C47" s="25" t="s">
        <v>139</v>
      </c>
      <c r="D47" s="25" t="s">
        <v>40</v>
      </c>
    </row>
    <row r="48" spans="1:4" x14ac:dyDescent="0.2">
      <c r="A48" s="24" t="s">
        <v>140</v>
      </c>
      <c r="B48" s="25" t="s">
        <v>141</v>
      </c>
      <c r="C48" s="25" t="s">
        <v>142</v>
      </c>
      <c r="D48" s="25" t="s">
        <v>40</v>
      </c>
    </row>
    <row r="49" spans="1:4" x14ac:dyDescent="0.2">
      <c r="A49" s="24" t="s">
        <v>143</v>
      </c>
      <c r="B49" s="25" t="s">
        <v>144</v>
      </c>
      <c r="C49" s="25" t="s">
        <v>145</v>
      </c>
      <c r="D49" s="25" t="s">
        <v>40</v>
      </c>
    </row>
    <row r="50" spans="1:4" x14ac:dyDescent="0.2">
      <c r="A50" s="24" t="s">
        <v>146</v>
      </c>
      <c r="B50" s="25" t="s">
        <v>147</v>
      </c>
      <c r="C50" s="25" t="s">
        <v>148</v>
      </c>
      <c r="D50" s="25" t="s">
        <v>40</v>
      </c>
    </row>
    <row r="51" spans="1:4" x14ac:dyDescent="0.2">
      <c r="A51" s="24" t="s">
        <v>149</v>
      </c>
      <c r="B51" s="25" t="s">
        <v>150</v>
      </c>
      <c r="C51" s="25" t="s">
        <v>151</v>
      </c>
      <c r="D51" s="25" t="s">
        <v>40</v>
      </c>
    </row>
    <row r="52" spans="1:4" x14ac:dyDescent="0.2">
      <c r="A52" s="24" t="s">
        <v>152</v>
      </c>
      <c r="B52" s="25" t="s">
        <v>153</v>
      </c>
      <c r="C52" s="25" t="s">
        <v>154</v>
      </c>
      <c r="D52" s="25" t="s">
        <v>40</v>
      </c>
    </row>
    <row r="53" spans="1:4" x14ac:dyDescent="0.2">
      <c r="A53" s="24" t="s">
        <v>155</v>
      </c>
      <c r="B53" s="25" t="s">
        <v>156</v>
      </c>
      <c r="C53" s="25" t="s">
        <v>157</v>
      </c>
      <c r="D53" s="25" t="s">
        <v>40</v>
      </c>
    </row>
    <row r="54" spans="1:4" x14ac:dyDescent="0.2">
      <c r="A54" s="24" t="s">
        <v>158</v>
      </c>
      <c r="B54" s="25" t="s">
        <v>159</v>
      </c>
      <c r="C54" s="25" t="s">
        <v>160</v>
      </c>
      <c r="D54" s="25" t="s">
        <v>40</v>
      </c>
    </row>
    <row r="55" spans="1:4" x14ac:dyDescent="0.2">
      <c r="A55" s="24" t="s">
        <v>161</v>
      </c>
      <c r="B55" s="25" t="s">
        <v>162</v>
      </c>
      <c r="C55" s="25" t="s">
        <v>163</v>
      </c>
      <c r="D55" s="25" t="s">
        <v>40</v>
      </c>
    </row>
    <row r="56" spans="1:4" x14ac:dyDescent="0.2">
      <c r="A56" s="24" t="s">
        <v>164</v>
      </c>
      <c r="B56" s="25" t="s">
        <v>165</v>
      </c>
      <c r="C56" s="25" t="s">
        <v>166</v>
      </c>
      <c r="D56" s="25" t="s">
        <v>40</v>
      </c>
    </row>
    <row r="57" spans="1:4" x14ac:dyDescent="0.2">
      <c r="A57" s="24" t="s">
        <v>167</v>
      </c>
      <c r="B57" s="25" t="s">
        <v>168</v>
      </c>
      <c r="C57" s="25" t="s">
        <v>169</v>
      </c>
      <c r="D57" s="25" t="s">
        <v>40</v>
      </c>
    </row>
    <row r="58" spans="1:4" x14ac:dyDescent="0.2">
      <c r="A58" s="24" t="s">
        <v>170</v>
      </c>
      <c r="B58" s="25" t="s">
        <v>171</v>
      </c>
      <c r="C58" s="25" t="s">
        <v>172</v>
      </c>
      <c r="D58" s="25" t="s">
        <v>40</v>
      </c>
    </row>
    <row r="59" spans="1:4" x14ac:dyDescent="0.2">
      <c r="A59" s="24" t="s">
        <v>173</v>
      </c>
      <c r="B59" s="25" t="s">
        <v>174</v>
      </c>
      <c r="C59" s="25" t="s">
        <v>175</v>
      </c>
      <c r="D59" s="25" t="s">
        <v>40</v>
      </c>
    </row>
    <row r="60" spans="1:4" x14ac:dyDescent="0.2">
      <c r="A60" s="24" t="s">
        <v>176</v>
      </c>
      <c r="B60" s="25" t="s">
        <v>177</v>
      </c>
      <c r="C60" s="25" t="s">
        <v>178</v>
      </c>
      <c r="D60" s="25" t="s">
        <v>40</v>
      </c>
    </row>
    <row r="61" spans="1:4" x14ac:dyDescent="0.2">
      <c r="A61" s="24" t="s">
        <v>179</v>
      </c>
      <c r="B61" s="25" t="s">
        <v>180</v>
      </c>
      <c r="C61" s="25" t="s">
        <v>181</v>
      </c>
      <c r="D61" s="25" t="s">
        <v>40</v>
      </c>
    </row>
    <row r="62" spans="1:4" x14ac:dyDescent="0.2">
      <c r="A62" s="24" t="s">
        <v>182</v>
      </c>
      <c r="B62" s="25" t="s">
        <v>183</v>
      </c>
      <c r="C62" s="25" t="s">
        <v>184</v>
      </c>
      <c r="D62" s="25" t="s">
        <v>40</v>
      </c>
    </row>
    <row r="63" spans="1:4" x14ac:dyDescent="0.2">
      <c r="A63" s="24" t="s">
        <v>185</v>
      </c>
      <c r="B63" s="25" t="s">
        <v>186</v>
      </c>
      <c r="C63" s="25" t="s">
        <v>187</v>
      </c>
      <c r="D63" s="25" t="s">
        <v>40</v>
      </c>
    </row>
    <row r="64" spans="1:4" x14ac:dyDescent="0.2">
      <c r="A64" s="24" t="s">
        <v>188</v>
      </c>
      <c r="B64" s="25" t="s">
        <v>189</v>
      </c>
      <c r="C64" s="25" t="s">
        <v>190</v>
      </c>
      <c r="D64" s="25" t="s">
        <v>40</v>
      </c>
    </row>
    <row r="65" spans="1:4" x14ac:dyDescent="0.2">
      <c r="A65" s="24" t="s">
        <v>191</v>
      </c>
      <c r="B65" s="25" t="s">
        <v>192</v>
      </c>
      <c r="C65" s="25" t="s">
        <v>193</v>
      </c>
      <c r="D65" s="25" t="s">
        <v>40</v>
      </c>
    </row>
    <row r="66" spans="1:4" x14ac:dyDescent="0.2">
      <c r="A66" s="24" t="s">
        <v>194</v>
      </c>
      <c r="B66" s="25" t="s">
        <v>195</v>
      </c>
      <c r="C66" s="25" t="s">
        <v>196</v>
      </c>
      <c r="D66" s="25" t="s">
        <v>40</v>
      </c>
    </row>
    <row r="67" spans="1:4" x14ac:dyDescent="0.2">
      <c r="A67" s="24" t="s">
        <v>197</v>
      </c>
      <c r="B67" s="25" t="s">
        <v>198</v>
      </c>
      <c r="C67" s="25" t="s">
        <v>199</v>
      </c>
      <c r="D67" s="25" t="s">
        <v>40</v>
      </c>
    </row>
    <row r="68" spans="1:4" x14ac:dyDescent="0.2">
      <c r="A68" s="24" t="s">
        <v>200</v>
      </c>
      <c r="B68" s="25" t="s">
        <v>201</v>
      </c>
      <c r="C68" s="25" t="s">
        <v>202</v>
      </c>
      <c r="D68" s="25" t="s">
        <v>40</v>
      </c>
    </row>
    <row r="69" spans="1:4" x14ac:dyDescent="0.2">
      <c r="A69" s="24" t="s">
        <v>203</v>
      </c>
      <c r="B69" s="25" t="s">
        <v>204</v>
      </c>
      <c r="C69" s="25" t="s">
        <v>205</v>
      </c>
      <c r="D69" s="25" t="s">
        <v>40</v>
      </c>
    </row>
    <row r="70" spans="1:4" x14ac:dyDescent="0.2">
      <c r="A70" s="24" t="s">
        <v>206</v>
      </c>
      <c r="B70" s="25" t="s">
        <v>207</v>
      </c>
      <c r="C70" s="25" t="s">
        <v>208</v>
      </c>
      <c r="D70" s="25" t="s">
        <v>40</v>
      </c>
    </row>
    <row r="71" spans="1:4" x14ac:dyDescent="0.2">
      <c r="A71" s="24" t="s">
        <v>209</v>
      </c>
      <c r="B71" s="25" t="s">
        <v>210</v>
      </c>
      <c r="C71" s="25" t="s">
        <v>211</v>
      </c>
      <c r="D71" s="25" t="s">
        <v>40</v>
      </c>
    </row>
    <row r="72" spans="1:4" x14ac:dyDescent="0.2">
      <c r="A72" s="24" t="s">
        <v>212</v>
      </c>
      <c r="B72" s="25" t="s">
        <v>213</v>
      </c>
      <c r="C72" s="25" t="s">
        <v>214</v>
      </c>
      <c r="D72" s="25" t="s">
        <v>40</v>
      </c>
    </row>
    <row r="73" spans="1:4" x14ac:dyDescent="0.2">
      <c r="A73" s="24" t="s">
        <v>215</v>
      </c>
      <c r="B73" s="25" t="s">
        <v>216</v>
      </c>
      <c r="C73" s="25" t="s">
        <v>217</v>
      </c>
      <c r="D73" s="25" t="s">
        <v>40</v>
      </c>
    </row>
    <row r="74" spans="1:4" x14ac:dyDescent="0.2">
      <c r="A74" s="24" t="s">
        <v>218</v>
      </c>
      <c r="B74" s="25" t="s">
        <v>219</v>
      </c>
      <c r="C74" s="25" t="s">
        <v>220</v>
      </c>
      <c r="D74" s="25" t="s">
        <v>40</v>
      </c>
    </row>
    <row r="75" spans="1:4" x14ac:dyDescent="0.2">
      <c r="A75" s="24" t="s">
        <v>221</v>
      </c>
      <c r="B75" s="25" t="s">
        <v>222</v>
      </c>
      <c r="C75" s="25" t="s">
        <v>223</v>
      </c>
      <c r="D75" s="25" t="s">
        <v>40</v>
      </c>
    </row>
    <row r="76" spans="1:4" x14ac:dyDescent="0.2">
      <c r="A76" s="24" t="s">
        <v>224</v>
      </c>
      <c r="B76" s="25" t="s">
        <v>225</v>
      </c>
      <c r="C76" s="25" t="s">
        <v>226</v>
      </c>
      <c r="D76" s="25" t="s">
        <v>40</v>
      </c>
    </row>
    <row r="77" spans="1:4" x14ac:dyDescent="0.2">
      <c r="A77" s="24" t="s">
        <v>227</v>
      </c>
      <c r="B77" s="25" t="s">
        <v>228</v>
      </c>
      <c r="C77" s="25" t="s">
        <v>229</v>
      </c>
      <c r="D77" s="25" t="s">
        <v>40</v>
      </c>
    </row>
    <row r="78" spans="1:4" x14ac:dyDescent="0.2">
      <c r="A78" s="24" t="s">
        <v>230</v>
      </c>
      <c r="B78" s="25" t="s">
        <v>231</v>
      </c>
      <c r="C78" s="25" t="s">
        <v>232</v>
      </c>
      <c r="D78" s="25" t="s">
        <v>40</v>
      </c>
    </row>
    <row r="79" spans="1:4" x14ac:dyDescent="0.2">
      <c r="A79" s="24" t="s">
        <v>233</v>
      </c>
      <c r="B79" s="25" t="s">
        <v>234</v>
      </c>
      <c r="C79" s="25" t="s">
        <v>235</v>
      </c>
      <c r="D79" s="25" t="s">
        <v>40</v>
      </c>
    </row>
    <row r="80" spans="1:4" x14ac:dyDescent="0.2">
      <c r="A80" s="24" t="s">
        <v>236</v>
      </c>
      <c r="B80" s="25" t="s">
        <v>237</v>
      </c>
      <c r="C80" s="25" t="s">
        <v>238</v>
      </c>
      <c r="D80" s="25" t="s">
        <v>40</v>
      </c>
    </row>
    <row r="81" spans="1:4" x14ac:dyDescent="0.2">
      <c r="A81" s="24" t="s">
        <v>239</v>
      </c>
      <c r="B81" s="25" t="s">
        <v>240</v>
      </c>
      <c r="C81" s="25" t="s">
        <v>241</v>
      </c>
      <c r="D81" s="25" t="s">
        <v>40</v>
      </c>
    </row>
    <row r="82" spans="1:4" x14ac:dyDescent="0.2">
      <c r="A82" s="24" t="s">
        <v>242</v>
      </c>
      <c r="B82" s="25" t="s">
        <v>243</v>
      </c>
      <c r="C82" s="25" t="s">
        <v>244</v>
      </c>
      <c r="D82" s="25" t="s">
        <v>40</v>
      </c>
    </row>
    <row r="83" spans="1:4" x14ac:dyDescent="0.2">
      <c r="A83" s="24" t="s">
        <v>245</v>
      </c>
      <c r="B83" s="25" t="s">
        <v>246</v>
      </c>
      <c r="C83" s="25" t="s">
        <v>247</v>
      </c>
      <c r="D83" s="25" t="s">
        <v>40</v>
      </c>
    </row>
    <row r="84" spans="1:4" x14ac:dyDescent="0.2">
      <c r="A84" s="24" t="s">
        <v>248</v>
      </c>
      <c r="B84" s="25" t="s">
        <v>249</v>
      </c>
      <c r="C84" s="25" t="s">
        <v>250</v>
      </c>
      <c r="D84" s="25" t="s">
        <v>40</v>
      </c>
    </row>
    <row r="85" spans="1:4" x14ac:dyDescent="0.2">
      <c r="A85" s="24" t="s">
        <v>251</v>
      </c>
      <c r="B85" s="25" t="s">
        <v>252</v>
      </c>
      <c r="C85" s="25" t="s">
        <v>253</v>
      </c>
      <c r="D85" s="25" t="s">
        <v>40</v>
      </c>
    </row>
    <row r="86" spans="1:4" x14ac:dyDescent="0.2">
      <c r="A86" s="24" t="s">
        <v>254</v>
      </c>
      <c r="B86" s="25" t="s">
        <v>255</v>
      </c>
      <c r="C86" s="25" t="s">
        <v>256</v>
      </c>
      <c r="D86" s="25" t="s">
        <v>40</v>
      </c>
    </row>
    <row r="87" spans="1:4" x14ac:dyDescent="0.2">
      <c r="A87" s="24" t="s">
        <v>257</v>
      </c>
      <c r="B87" s="25" t="s">
        <v>258</v>
      </c>
      <c r="C87" s="25" t="s">
        <v>259</v>
      </c>
      <c r="D87" s="25" t="s">
        <v>40</v>
      </c>
    </row>
    <row r="88" spans="1:4" x14ac:dyDescent="0.2">
      <c r="A88" s="24" t="s">
        <v>260</v>
      </c>
      <c r="B88" s="25" t="s">
        <v>261</v>
      </c>
      <c r="C88" s="25" t="s">
        <v>262</v>
      </c>
      <c r="D88" s="25" t="s">
        <v>40</v>
      </c>
    </row>
    <row r="89" spans="1:4" x14ac:dyDescent="0.2">
      <c r="A89" s="24" t="s">
        <v>263</v>
      </c>
      <c r="B89" s="25" t="s">
        <v>264</v>
      </c>
      <c r="C89" s="25" t="s">
        <v>265</v>
      </c>
      <c r="D89" s="25" t="s">
        <v>40</v>
      </c>
    </row>
    <row r="90" spans="1:4" x14ac:dyDescent="0.2">
      <c r="A90" s="24" t="s">
        <v>266</v>
      </c>
      <c r="B90" s="25" t="s">
        <v>267</v>
      </c>
      <c r="C90" s="25" t="s">
        <v>268</v>
      </c>
      <c r="D90" s="25" t="s">
        <v>40</v>
      </c>
    </row>
    <row r="91" spans="1:4" x14ac:dyDescent="0.2">
      <c r="A91" s="24" t="s">
        <v>269</v>
      </c>
      <c r="B91" s="25" t="s">
        <v>270</v>
      </c>
      <c r="C91" s="25" t="s">
        <v>271</v>
      </c>
      <c r="D91" s="25" t="s">
        <v>40</v>
      </c>
    </row>
    <row r="92" spans="1:4" x14ac:dyDescent="0.2">
      <c r="A92" s="24" t="s">
        <v>272</v>
      </c>
      <c r="B92" s="25" t="s">
        <v>273</v>
      </c>
      <c r="C92" s="25" t="s">
        <v>274</v>
      </c>
      <c r="D92" s="25" t="s">
        <v>40</v>
      </c>
    </row>
    <row r="93" spans="1:4" x14ac:dyDescent="0.2">
      <c r="A93" s="24" t="s">
        <v>275</v>
      </c>
      <c r="B93" s="25" t="s">
        <v>276</v>
      </c>
      <c r="C93" s="25" t="s">
        <v>277</v>
      </c>
      <c r="D93" s="25" t="s">
        <v>40</v>
      </c>
    </row>
    <row r="94" spans="1:4" x14ac:dyDescent="0.2">
      <c r="A94" s="24" t="s">
        <v>278</v>
      </c>
      <c r="B94" s="25" t="s">
        <v>279</v>
      </c>
      <c r="C94" s="25" t="s">
        <v>280</v>
      </c>
      <c r="D94" s="25" t="s">
        <v>40</v>
      </c>
    </row>
    <row r="95" spans="1:4" x14ac:dyDescent="0.2">
      <c r="A95" s="24" t="s">
        <v>281</v>
      </c>
      <c r="B95" s="25" t="s">
        <v>282</v>
      </c>
      <c r="C95" s="25" t="s">
        <v>283</v>
      </c>
      <c r="D95" s="25" t="s">
        <v>40</v>
      </c>
    </row>
    <row r="96" spans="1:4" x14ac:dyDescent="0.2">
      <c r="A96" s="24" t="s">
        <v>284</v>
      </c>
      <c r="B96" s="25" t="s">
        <v>285</v>
      </c>
      <c r="C96" s="25" t="s">
        <v>286</v>
      </c>
      <c r="D96" s="25" t="s">
        <v>40</v>
      </c>
    </row>
    <row r="97" spans="1:4" x14ac:dyDescent="0.2">
      <c r="A97" s="24" t="s">
        <v>287</v>
      </c>
      <c r="B97" s="25" t="s">
        <v>288</v>
      </c>
      <c r="C97" s="25" t="s">
        <v>289</v>
      </c>
      <c r="D97" s="25" t="s">
        <v>40</v>
      </c>
    </row>
    <row r="98" spans="1:4" x14ac:dyDescent="0.2">
      <c r="A98" s="24" t="s">
        <v>290</v>
      </c>
      <c r="B98" s="25" t="s">
        <v>291</v>
      </c>
      <c r="C98" s="25" t="s">
        <v>292</v>
      </c>
      <c r="D98" s="25" t="s">
        <v>40</v>
      </c>
    </row>
    <row r="99" spans="1:4" x14ac:dyDescent="0.2">
      <c r="A99" s="24" t="s">
        <v>293</v>
      </c>
      <c r="B99" s="25" t="s">
        <v>294</v>
      </c>
      <c r="C99" s="25" t="s">
        <v>295</v>
      </c>
      <c r="D99" s="25" t="s">
        <v>40</v>
      </c>
    </row>
    <row r="100" spans="1:4" x14ac:dyDescent="0.2">
      <c r="A100" s="24" t="s">
        <v>296</v>
      </c>
      <c r="B100" s="25" t="s">
        <v>297</v>
      </c>
      <c r="C100" s="25" t="s">
        <v>298</v>
      </c>
      <c r="D100" s="25" t="s">
        <v>40</v>
      </c>
    </row>
    <row r="101" spans="1:4" x14ac:dyDescent="0.2">
      <c r="A101" s="24" t="s">
        <v>299</v>
      </c>
      <c r="B101" s="25" t="s">
        <v>300</v>
      </c>
      <c r="C101" s="25" t="s">
        <v>301</v>
      </c>
      <c r="D101" s="25" t="s">
        <v>40</v>
      </c>
    </row>
    <row r="102" spans="1:4" x14ac:dyDescent="0.2">
      <c r="A102" s="24" t="s">
        <v>302</v>
      </c>
      <c r="B102" s="25" t="s">
        <v>303</v>
      </c>
      <c r="C102" s="25" t="s">
        <v>304</v>
      </c>
      <c r="D102" s="25" t="s">
        <v>40</v>
      </c>
    </row>
    <row r="103" spans="1:4" x14ac:dyDescent="0.2">
      <c r="A103" s="24" t="s">
        <v>305</v>
      </c>
      <c r="B103" s="25" t="s">
        <v>306</v>
      </c>
      <c r="C103" s="25" t="s">
        <v>307</v>
      </c>
      <c r="D103" s="25" t="s">
        <v>40</v>
      </c>
    </row>
    <row r="104" spans="1:4" x14ac:dyDescent="0.2">
      <c r="A104" s="24" t="s">
        <v>308</v>
      </c>
      <c r="B104" s="25" t="s">
        <v>309</v>
      </c>
      <c r="C104" s="25" t="s">
        <v>310</v>
      </c>
      <c r="D104" s="25" t="s">
        <v>40</v>
      </c>
    </row>
    <row r="105" spans="1:4" x14ac:dyDescent="0.2">
      <c r="A105" s="24" t="s">
        <v>311</v>
      </c>
      <c r="B105" s="25" t="s">
        <v>312</v>
      </c>
      <c r="C105" s="25" t="s">
        <v>313</v>
      </c>
      <c r="D105" s="25" t="s">
        <v>40</v>
      </c>
    </row>
    <row r="106" spans="1:4" x14ac:dyDescent="0.2">
      <c r="A106" s="24" t="s">
        <v>314</v>
      </c>
      <c r="B106" s="25" t="s">
        <v>315</v>
      </c>
      <c r="C106" s="25" t="s">
        <v>316</v>
      </c>
      <c r="D106" s="25" t="s">
        <v>40</v>
      </c>
    </row>
    <row r="107" spans="1:4" x14ac:dyDescent="0.2">
      <c r="A107" s="24" t="s">
        <v>317</v>
      </c>
      <c r="B107" s="25" t="s">
        <v>318</v>
      </c>
      <c r="C107" s="25" t="s">
        <v>319</v>
      </c>
      <c r="D107" s="25" t="s">
        <v>40</v>
      </c>
    </row>
    <row r="108" spans="1:4" x14ac:dyDescent="0.2">
      <c r="A108" s="24" t="s">
        <v>320</v>
      </c>
      <c r="B108" s="25" t="s">
        <v>321</v>
      </c>
      <c r="C108" s="25" t="s">
        <v>322</v>
      </c>
      <c r="D108" s="25" t="s">
        <v>40</v>
      </c>
    </row>
    <row r="109" spans="1:4" x14ac:dyDescent="0.2">
      <c r="A109" s="24" t="s">
        <v>323</v>
      </c>
      <c r="B109" s="25" t="s">
        <v>324</v>
      </c>
      <c r="C109" s="25" t="s">
        <v>325</v>
      </c>
      <c r="D109" s="25" t="s">
        <v>40</v>
      </c>
    </row>
    <row r="110" spans="1:4" x14ac:dyDescent="0.2">
      <c r="A110" s="24" t="s">
        <v>326</v>
      </c>
      <c r="B110" s="25" t="s">
        <v>327</v>
      </c>
      <c r="C110" s="25" t="s">
        <v>328</v>
      </c>
      <c r="D110" s="25" t="s">
        <v>40</v>
      </c>
    </row>
    <row r="111" spans="1:4" x14ac:dyDescent="0.2">
      <c r="A111" s="24" t="s">
        <v>329</v>
      </c>
      <c r="B111" s="25" t="s">
        <v>330</v>
      </c>
      <c r="C111" s="25" t="s">
        <v>331</v>
      </c>
      <c r="D111" s="25" t="s">
        <v>40</v>
      </c>
    </row>
    <row r="112" spans="1:4" x14ac:dyDescent="0.2">
      <c r="A112" s="24" t="s">
        <v>332</v>
      </c>
      <c r="B112" s="25" t="s">
        <v>333</v>
      </c>
      <c r="C112" s="25" t="s">
        <v>334</v>
      </c>
      <c r="D112" s="25" t="s">
        <v>40</v>
      </c>
    </row>
    <row r="113" spans="1:4" x14ac:dyDescent="0.2">
      <c r="A113" s="24" t="s">
        <v>335</v>
      </c>
      <c r="B113" s="25" t="s">
        <v>336</v>
      </c>
      <c r="C113" s="25" t="s">
        <v>337</v>
      </c>
      <c r="D113" s="25" t="s">
        <v>40</v>
      </c>
    </row>
    <row r="114" spans="1:4" x14ac:dyDescent="0.2">
      <c r="A114" s="24" t="s">
        <v>338</v>
      </c>
      <c r="B114" s="25" t="s">
        <v>339</v>
      </c>
      <c r="C114" s="25" t="s">
        <v>340</v>
      </c>
      <c r="D114" s="25" t="s">
        <v>40</v>
      </c>
    </row>
    <row r="115" spans="1:4" x14ac:dyDescent="0.2">
      <c r="A115" s="24" t="s">
        <v>341</v>
      </c>
      <c r="B115" s="25" t="s">
        <v>342</v>
      </c>
      <c r="C115" s="25" t="s">
        <v>343</v>
      </c>
      <c r="D115" s="25" t="s">
        <v>40</v>
      </c>
    </row>
    <row r="116" spans="1:4" x14ac:dyDescent="0.2">
      <c r="A116" s="24" t="s">
        <v>344</v>
      </c>
      <c r="B116" s="25" t="s">
        <v>345</v>
      </c>
      <c r="C116" s="25" t="s">
        <v>346</v>
      </c>
      <c r="D116" s="25" t="s">
        <v>40</v>
      </c>
    </row>
    <row r="117" spans="1:4" x14ac:dyDescent="0.2">
      <c r="A117" s="24" t="s">
        <v>347</v>
      </c>
      <c r="B117" s="25" t="s">
        <v>348</v>
      </c>
      <c r="C117" s="25" t="s">
        <v>349</v>
      </c>
      <c r="D117" s="25" t="s">
        <v>40</v>
      </c>
    </row>
    <row r="118" spans="1:4" x14ac:dyDescent="0.2">
      <c r="A118" s="24" t="s">
        <v>350</v>
      </c>
      <c r="B118" s="25" t="s">
        <v>351</v>
      </c>
      <c r="C118" s="25" t="s">
        <v>352</v>
      </c>
      <c r="D118" s="25" t="s">
        <v>40</v>
      </c>
    </row>
    <row r="119" spans="1:4" x14ac:dyDescent="0.2">
      <c r="A119" s="24" t="s">
        <v>353</v>
      </c>
      <c r="B119" s="25" t="s">
        <v>354</v>
      </c>
      <c r="C119" s="25" t="s">
        <v>355</v>
      </c>
      <c r="D119" s="25" t="s">
        <v>40</v>
      </c>
    </row>
    <row r="120" spans="1:4" x14ac:dyDescent="0.2">
      <c r="A120" s="24" t="s">
        <v>356</v>
      </c>
      <c r="B120" s="25" t="s">
        <v>357</v>
      </c>
      <c r="C120" s="25" t="s">
        <v>358</v>
      </c>
      <c r="D120" s="25" t="s">
        <v>40</v>
      </c>
    </row>
    <row r="121" spans="1:4" x14ac:dyDescent="0.2">
      <c r="A121" s="24" t="s">
        <v>359</v>
      </c>
      <c r="B121" s="25" t="s">
        <v>360</v>
      </c>
      <c r="C121" s="25" t="s">
        <v>361</v>
      </c>
      <c r="D121" s="25" t="s">
        <v>40</v>
      </c>
    </row>
    <row r="122" spans="1:4" x14ac:dyDescent="0.2">
      <c r="A122" s="24" t="s">
        <v>362</v>
      </c>
      <c r="B122" s="25" t="s">
        <v>363</v>
      </c>
      <c r="C122" s="25" t="s">
        <v>364</v>
      </c>
      <c r="D122" s="25" t="s">
        <v>40</v>
      </c>
    </row>
    <row r="123" spans="1:4" x14ac:dyDescent="0.2">
      <c r="A123" s="24" t="s">
        <v>365</v>
      </c>
      <c r="B123" s="25" t="s">
        <v>366</v>
      </c>
      <c r="C123" s="25" t="s">
        <v>367</v>
      </c>
      <c r="D123" s="25" t="s">
        <v>40</v>
      </c>
    </row>
    <row r="124" spans="1:4" x14ac:dyDescent="0.2">
      <c r="A124" s="24" t="s">
        <v>368</v>
      </c>
      <c r="B124" s="25" t="s">
        <v>369</v>
      </c>
      <c r="C124" s="25" t="s">
        <v>370</v>
      </c>
      <c r="D124" s="25" t="s">
        <v>40</v>
      </c>
    </row>
    <row r="125" spans="1:4" x14ac:dyDescent="0.2">
      <c r="A125" s="24" t="s">
        <v>371</v>
      </c>
      <c r="B125" s="25" t="s">
        <v>372</v>
      </c>
      <c r="C125" s="25" t="s">
        <v>373</v>
      </c>
      <c r="D125" s="25" t="s">
        <v>40</v>
      </c>
    </row>
    <row r="126" spans="1:4" x14ac:dyDescent="0.2">
      <c r="A126" s="24" t="s">
        <v>374</v>
      </c>
      <c r="B126" s="25" t="s">
        <v>375</v>
      </c>
      <c r="C126" s="25" t="s">
        <v>376</v>
      </c>
      <c r="D126" s="25" t="s">
        <v>40</v>
      </c>
    </row>
    <row r="127" spans="1:4" x14ac:dyDescent="0.2">
      <c r="A127" s="24" t="s">
        <v>377</v>
      </c>
      <c r="B127" s="25" t="s">
        <v>378</v>
      </c>
      <c r="C127" s="25" t="s">
        <v>379</v>
      </c>
      <c r="D127" s="25" t="s">
        <v>40</v>
      </c>
    </row>
    <row r="128" spans="1:4" x14ac:dyDescent="0.2">
      <c r="A128" s="24" t="s">
        <v>380</v>
      </c>
      <c r="B128" s="25" t="s">
        <v>381</v>
      </c>
      <c r="C128" s="25" t="s">
        <v>382</v>
      </c>
      <c r="D128" s="25" t="s">
        <v>40</v>
      </c>
    </row>
    <row r="129" spans="1:4" x14ac:dyDescent="0.2">
      <c r="A129" s="24" t="s">
        <v>383</v>
      </c>
      <c r="B129" s="25" t="s">
        <v>384</v>
      </c>
      <c r="C129" s="25" t="s">
        <v>385</v>
      </c>
      <c r="D129" s="25" t="s">
        <v>40</v>
      </c>
    </row>
    <row r="130" spans="1:4" x14ac:dyDescent="0.2">
      <c r="A130" s="24" t="s">
        <v>386</v>
      </c>
      <c r="B130" s="25" t="s">
        <v>387</v>
      </c>
      <c r="C130" s="25" t="s">
        <v>388</v>
      </c>
      <c r="D130" s="25" t="s">
        <v>40</v>
      </c>
    </row>
    <row r="131" spans="1:4" x14ac:dyDescent="0.2">
      <c r="A131" s="24" t="s">
        <v>389</v>
      </c>
      <c r="B131" s="25" t="s">
        <v>390</v>
      </c>
      <c r="C131" s="25" t="s">
        <v>391</v>
      </c>
      <c r="D131" s="25" t="s">
        <v>40</v>
      </c>
    </row>
    <row r="132" spans="1:4" x14ac:dyDescent="0.2">
      <c r="A132" s="24" t="s">
        <v>392</v>
      </c>
      <c r="B132" s="25" t="s">
        <v>393</v>
      </c>
      <c r="C132" s="25" t="s">
        <v>394</v>
      </c>
      <c r="D132" s="25" t="s">
        <v>40</v>
      </c>
    </row>
    <row r="133" spans="1:4" x14ac:dyDescent="0.2">
      <c r="A133" s="24" t="s">
        <v>395</v>
      </c>
      <c r="B133" s="25" t="s">
        <v>396</v>
      </c>
      <c r="C133" s="25" t="s">
        <v>397</v>
      </c>
      <c r="D133" s="25" t="s">
        <v>40</v>
      </c>
    </row>
    <row r="134" spans="1:4" x14ac:dyDescent="0.2">
      <c r="A134" s="24" t="s">
        <v>398</v>
      </c>
      <c r="B134" s="25" t="s">
        <v>399</v>
      </c>
      <c r="C134" s="25" t="s">
        <v>400</v>
      </c>
      <c r="D134" s="25" t="s">
        <v>40</v>
      </c>
    </row>
    <row r="135" spans="1:4" x14ac:dyDescent="0.2">
      <c r="A135" s="24" t="s">
        <v>401</v>
      </c>
      <c r="B135" s="25" t="s">
        <v>402</v>
      </c>
      <c r="C135" s="25" t="s">
        <v>403</v>
      </c>
      <c r="D135" s="25" t="s">
        <v>40</v>
      </c>
    </row>
    <row r="136" spans="1:4" x14ac:dyDescent="0.2">
      <c r="A136" s="24" t="s">
        <v>404</v>
      </c>
      <c r="B136" s="25" t="s">
        <v>405</v>
      </c>
      <c r="C136" s="25" t="s">
        <v>406</v>
      </c>
      <c r="D136" s="25" t="s">
        <v>40</v>
      </c>
    </row>
    <row r="137" spans="1:4" x14ac:dyDescent="0.2">
      <c r="A137" s="24" t="s">
        <v>407</v>
      </c>
      <c r="B137" s="25" t="s">
        <v>408</v>
      </c>
      <c r="C137" s="25" t="s">
        <v>409</v>
      </c>
      <c r="D137" s="25" t="s">
        <v>40</v>
      </c>
    </row>
    <row r="138" spans="1:4" x14ac:dyDescent="0.2">
      <c r="A138" s="24" t="s">
        <v>410</v>
      </c>
      <c r="B138" s="25" t="s">
        <v>411</v>
      </c>
      <c r="C138" s="25" t="s">
        <v>412</v>
      </c>
      <c r="D138" s="25" t="s">
        <v>40</v>
      </c>
    </row>
    <row r="139" spans="1:4" x14ac:dyDescent="0.2">
      <c r="A139" s="24" t="s">
        <v>413</v>
      </c>
      <c r="B139" s="25" t="s">
        <v>414</v>
      </c>
      <c r="C139" s="25" t="s">
        <v>415</v>
      </c>
      <c r="D139" s="25" t="s">
        <v>40</v>
      </c>
    </row>
    <row r="140" spans="1:4" x14ac:dyDescent="0.2">
      <c r="A140" s="24" t="s">
        <v>416</v>
      </c>
      <c r="B140" s="25" t="s">
        <v>417</v>
      </c>
      <c r="C140" s="25" t="s">
        <v>418</v>
      </c>
      <c r="D140" s="25" t="s">
        <v>40</v>
      </c>
    </row>
    <row r="141" spans="1:4" x14ac:dyDescent="0.2">
      <c r="A141" s="24" t="s">
        <v>419</v>
      </c>
      <c r="B141" s="25" t="s">
        <v>420</v>
      </c>
      <c r="C141" s="25" t="s">
        <v>421</v>
      </c>
      <c r="D141" s="25" t="s">
        <v>40</v>
      </c>
    </row>
    <row r="142" spans="1:4" x14ac:dyDescent="0.2">
      <c r="A142" s="24" t="s">
        <v>422</v>
      </c>
      <c r="B142" s="25" t="s">
        <v>423</v>
      </c>
      <c r="C142" s="25" t="s">
        <v>424</v>
      </c>
      <c r="D142" s="25" t="s">
        <v>40</v>
      </c>
    </row>
    <row r="143" spans="1:4" x14ac:dyDescent="0.2">
      <c r="A143" s="24" t="s">
        <v>425</v>
      </c>
      <c r="B143" s="25" t="s">
        <v>426</v>
      </c>
      <c r="C143" s="25" t="s">
        <v>427</v>
      </c>
      <c r="D143" s="25" t="s">
        <v>40</v>
      </c>
    </row>
    <row r="144" spans="1:4" x14ac:dyDescent="0.2">
      <c r="A144" s="24" t="s">
        <v>428</v>
      </c>
      <c r="B144" s="25" t="s">
        <v>429</v>
      </c>
      <c r="C144" s="25" t="s">
        <v>430</v>
      </c>
      <c r="D144" s="25" t="s">
        <v>40</v>
      </c>
    </row>
    <row r="145" spans="1:4" x14ac:dyDescent="0.2">
      <c r="A145" s="24" t="s">
        <v>431</v>
      </c>
      <c r="B145" s="25" t="s">
        <v>432</v>
      </c>
      <c r="C145" s="25" t="s">
        <v>433</v>
      </c>
      <c r="D145" s="25" t="s">
        <v>40</v>
      </c>
    </row>
    <row r="146" spans="1:4" x14ac:dyDescent="0.2">
      <c r="A146" s="24" t="s">
        <v>434</v>
      </c>
      <c r="B146" s="25" t="s">
        <v>435</v>
      </c>
      <c r="C146" s="25" t="s">
        <v>436</v>
      </c>
      <c r="D146" s="25" t="s">
        <v>40</v>
      </c>
    </row>
    <row r="147" spans="1:4" x14ac:dyDescent="0.2">
      <c r="A147" s="24" t="s">
        <v>437</v>
      </c>
      <c r="B147" s="25" t="s">
        <v>438</v>
      </c>
      <c r="C147" s="25" t="s">
        <v>439</v>
      </c>
      <c r="D147" s="25" t="s">
        <v>40</v>
      </c>
    </row>
    <row r="148" spans="1:4" x14ac:dyDescent="0.2">
      <c r="A148" s="24" t="s">
        <v>440</v>
      </c>
      <c r="B148" s="25" t="s">
        <v>441</v>
      </c>
      <c r="C148" s="25" t="s">
        <v>442</v>
      </c>
      <c r="D148" s="25" t="s">
        <v>40</v>
      </c>
    </row>
    <row r="149" spans="1:4" x14ac:dyDescent="0.2">
      <c r="A149" s="24" t="s">
        <v>443</v>
      </c>
      <c r="B149" s="25" t="s">
        <v>444</v>
      </c>
      <c r="C149" s="25" t="s">
        <v>445</v>
      </c>
      <c r="D149" s="25" t="s">
        <v>40</v>
      </c>
    </row>
    <row r="150" spans="1:4" x14ac:dyDescent="0.2">
      <c r="A150" s="24" t="s">
        <v>446</v>
      </c>
      <c r="B150" s="25" t="s">
        <v>447</v>
      </c>
      <c r="C150" s="25" t="s">
        <v>448</v>
      </c>
      <c r="D150" s="25" t="s">
        <v>40</v>
      </c>
    </row>
    <row r="151" spans="1:4" x14ac:dyDescent="0.2">
      <c r="A151" s="24" t="s">
        <v>449</v>
      </c>
      <c r="B151" s="25" t="s">
        <v>450</v>
      </c>
      <c r="C151" s="25" t="s">
        <v>451</v>
      </c>
      <c r="D151" s="25" t="s">
        <v>40</v>
      </c>
    </row>
    <row r="152" spans="1:4" x14ac:dyDescent="0.2">
      <c r="A152" s="24" t="s">
        <v>452</v>
      </c>
      <c r="B152" s="25" t="s">
        <v>453</v>
      </c>
      <c r="C152" s="25" t="s">
        <v>454</v>
      </c>
      <c r="D152" s="25" t="s">
        <v>40</v>
      </c>
    </row>
    <row r="153" spans="1:4" x14ac:dyDescent="0.2">
      <c r="A153" s="24" t="s">
        <v>455</v>
      </c>
      <c r="B153" s="25" t="s">
        <v>456</v>
      </c>
      <c r="C153" s="25" t="s">
        <v>457</v>
      </c>
      <c r="D153" s="25" t="s">
        <v>40</v>
      </c>
    </row>
    <row r="154" spans="1:4" x14ac:dyDescent="0.2">
      <c r="A154" s="24" t="s">
        <v>458</v>
      </c>
      <c r="B154" s="25" t="s">
        <v>459</v>
      </c>
      <c r="C154" s="25" t="s">
        <v>460</v>
      </c>
      <c r="D154" s="25" t="s">
        <v>40</v>
      </c>
    </row>
    <row r="155" spans="1:4" x14ac:dyDescent="0.2">
      <c r="A155" s="24" t="s">
        <v>461</v>
      </c>
      <c r="B155" s="25" t="s">
        <v>462</v>
      </c>
      <c r="C155" s="25" t="s">
        <v>463</v>
      </c>
      <c r="D155" s="25" t="s">
        <v>40</v>
      </c>
    </row>
    <row r="156" spans="1:4" x14ac:dyDescent="0.2">
      <c r="A156" s="24" t="s">
        <v>464</v>
      </c>
      <c r="B156" s="25" t="s">
        <v>465</v>
      </c>
      <c r="C156" s="25" t="s">
        <v>466</v>
      </c>
      <c r="D156" s="25" t="s">
        <v>40</v>
      </c>
    </row>
    <row r="157" spans="1:4" x14ac:dyDescent="0.2">
      <c r="A157" s="24" t="s">
        <v>467</v>
      </c>
      <c r="B157" s="25" t="s">
        <v>468</v>
      </c>
      <c r="C157" s="25" t="s">
        <v>469</v>
      </c>
      <c r="D157" s="25" t="s">
        <v>40</v>
      </c>
    </row>
    <row r="158" spans="1:4" x14ac:dyDescent="0.2">
      <c r="A158" s="24" t="s">
        <v>470</v>
      </c>
      <c r="B158" s="25" t="s">
        <v>471</v>
      </c>
      <c r="C158" s="25" t="s">
        <v>472</v>
      </c>
      <c r="D158" s="25" t="s">
        <v>40</v>
      </c>
    </row>
    <row r="159" spans="1:4" x14ac:dyDescent="0.2">
      <c r="A159" s="24" t="s">
        <v>473</v>
      </c>
      <c r="B159" s="25" t="s">
        <v>474</v>
      </c>
      <c r="C159" s="25" t="s">
        <v>475</v>
      </c>
      <c r="D159" s="25" t="s">
        <v>40</v>
      </c>
    </row>
    <row r="160" spans="1:4" x14ac:dyDescent="0.2">
      <c r="A160" s="24" t="s">
        <v>476</v>
      </c>
      <c r="B160" s="25" t="s">
        <v>477</v>
      </c>
      <c r="C160" s="25" t="s">
        <v>478</v>
      </c>
      <c r="D160" s="25" t="s">
        <v>40</v>
      </c>
    </row>
    <row r="161" spans="1:4" x14ac:dyDescent="0.2">
      <c r="A161" s="24" t="s">
        <v>479</v>
      </c>
      <c r="B161" s="25" t="s">
        <v>480</v>
      </c>
      <c r="C161" s="25" t="s">
        <v>481</v>
      </c>
      <c r="D161" s="25" t="s">
        <v>40</v>
      </c>
    </row>
    <row r="162" spans="1:4" x14ac:dyDescent="0.2">
      <c r="A162" s="24" t="s">
        <v>482</v>
      </c>
      <c r="B162" s="25" t="s">
        <v>483</v>
      </c>
      <c r="C162" s="25" t="s">
        <v>484</v>
      </c>
      <c r="D162" s="25" t="s">
        <v>40</v>
      </c>
    </row>
    <row r="163" spans="1:4" x14ac:dyDescent="0.2">
      <c r="A163" s="24" t="s">
        <v>485</v>
      </c>
      <c r="B163" s="25" t="s">
        <v>486</v>
      </c>
      <c r="C163" s="25" t="s">
        <v>487</v>
      </c>
      <c r="D163" s="25" t="s">
        <v>40</v>
      </c>
    </row>
    <row r="164" spans="1:4" x14ac:dyDescent="0.2">
      <c r="A164" s="24" t="s">
        <v>488</v>
      </c>
      <c r="B164" s="25" t="s">
        <v>489</v>
      </c>
      <c r="C164" s="25" t="s">
        <v>490</v>
      </c>
      <c r="D164" s="25" t="s">
        <v>40</v>
      </c>
    </row>
    <row r="165" spans="1:4" x14ac:dyDescent="0.2">
      <c r="A165" s="24" t="s">
        <v>491</v>
      </c>
      <c r="B165" s="25" t="s">
        <v>492</v>
      </c>
      <c r="C165" s="25" t="s">
        <v>493</v>
      </c>
      <c r="D165" s="25" t="s">
        <v>40</v>
      </c>
    </row>
    <row r="166" spans="1:4" x14ac:dyDescent="0.2">
      <c r="A166" s="24" t="s">
        <v>494</v>
      </c>
      <c r="B166" s="25" t="s">
        <v>495</v>
      </c>
      <c r="C166" s="25" t="s">
        <v>496</v>
      </c>
      <c r="D166" s="25" t="s">
        <v>40</v>
      </c>
    </row>
    <row r="167" spans="1:4" x14ac:dyDescent="0.2">
      <c r="A167" s="24" t="s">
        <v>497</v>
      </c>
      <c r="B167" s="25" t="s">
        <v>498</v>
      </c>
      <c r="C167" s="25" t="s">
        <v>499</v>
      </c>
      <c r="D167" s="25" t="s">
        <v>40</v>
      </c>
    </row>
    <row r="168" spans="1:4" x14ac:dyDescent="0.2">
      <c r="A168" s="24" t="s">
        <v>500</v>
      </c>
      <c r="B168" s="25" t="s">
        <v>501</v>
      </c>
      <c r="C168" s="25" t="s">
        <v>502</v>
      </c>
      <c r="D168" s="25" t="s">
        <v>40</v>
      </c>
    </row>
    <row r="169" spans="1:4" x14ac:dyDescent="0.2">
      <c r="A169" s="24" t="s">
        <v>503</v>
      </c>
      <c r="B169" s="25" t="s">
        <v>504</v>
      </c>
      <c r="C169" s="25" t="s">
        <v>505</v>
      </c>
      <c r="D169" s="25" t="s">
        <v>40</v>
      </c>
    </row>
    <row r="170" spans="1:4" x14ac:dyDescent="0.2">
      <c r="A170" s="24" t="s">
        <v>506</v>
      </c>
      <c r="B170" s="25" t="s">
        <v>507</v>
      </c>
      <c r="C170" s="25" t="s">
        <v>508</v>
      </c>
      <c r="D170" s="25" t="s">
        <v>40</v>
      </c>
    </row>
    <row r="171" spans="1:4" x14ac:dyDescent="0.2">
      <c r="A171" s="24" t="s">
        <v>509</v>
      </c>
      <c r="B171" s="25" t="s">
        <v>510</v>
      </c>
      <c r="C171" s="25" t="s">
        <v>511</v>
      </c>
      <c r="D171" s="25" t="s">
        <v>40</v>
      </c>
    </row>
    <row r="172" spans="1:4" x14ac:dyDescent="0.2">
      <c r="A172" s="24" t="s">
        <v>512</v>
      </c>
      <c r="B172" s="25" t="s">
        <v>513</v>
      </c>
      <c r="C172" s="25" t="s">
        <v>514</v>
      </c>
      <c r="D172" s="25" t="s">
        <v>40</v>
      </c>
    </row>
    <row r="173" spans="1:4" x14ac:dyDescent="0.2">
      <c r="A173" s="24" t="s">
        <v>515</v>
      </c>
      <c r="B173" s="25" t="s">
        <v>516</v>
      </c>
      <c r="C173" s="25" t="s">
        <v>517</v>
      </c>
      <c r="D173" s="25" t="s">
        <v>40</v>
      </c>
    </row>
    <row r="174" spans="1:4" x14ac:dyDescent="0.2">
      <c r="A174" s="24" t="s">
        <v>518</v>
      </c>
      <c r="B174" s="25" t="s">
        <v>519</v>
      </c>
      <c r="C174" s="25" t="s">
        <v>520</v>
      </c>
      <c r="D174" s="25" t="s">
        <v>40</v>
      </c>
    </row>
    <row r="175" spans="1:4" x14ac:dyDescent="0.2">
      <c r="A175" s="24" t="s">
        <v>521</v>
      </c>
      <c r="B175" s="25" t="s">
        <v>522</v>
      </c>
      <c r="C175" s="25" t="s">
        <v>523</v>
      </c>
      <c r="D175" s="25" t="s">
        <v>40</v>
      </c>
    </row>
    <row r="176" spans="1:4" x14ac:dyDescent="0.2">
      <c r="A176" s="24" t="s">
        <v>524</v>
      </c>
      <c r="B176" s="25" t="s">
        <v>525</v>
      </c>
      <c r="C176" s="25" t="s">
        <v>526</v>
      </c>
      <c r="D176" s="25" t="s">
        <v>40</v>
      </c>
    </row>
    <row r="177" spans="1:4" x14ac:dyDescent="0.2">
      <c r="A177" s="24" t="s">
        <v>527</v>
      </c>
      <c r="B177" s="25" t="s">
        <v>528</v>
      </c>
      <c r="C177" s="25" t="s">
        <v>529</v>
      </c>
      <c r="D177" s="25" t="s">
        <v>40</v>
      </c>
    </row>
    <row r="178" spans="1:4" x14ac:dyDescent="0.2">
      <c r="A178" s="24" t="s">
        <v>530</v>
      </c>
      <c r="B178" s="25" t="s">
        <v>531</v>
      </c>
      <c r="C178" s="25" t="s">
        <v>532</v>
      </c>
      <c r="D178" s="25" t="s">
        <v>40</v>
      </c>
    </row>
    <row r="179" spans="1:4" x14ac:dyDescent="0.2">
      <c r="A179" s="24" t="s">
        <v>533</v>
      </c>
      <c r="B179" s="25" t="s">
        <v>534</v>
      </c>
      <c r="C179" s="25" t="s">
        <v>535</v>
      </c>
      <c r="D179" s="25" t="s">
        <v>40</v>
      </c>
    </row>
    <row r="180" spans="1:4" x14ac:dyDescent="0.2">
      <c r="A180" s="24" t="s">
        <v>536</v>
      </c>
      <c r="B180" s="25" t="s">
        <v>537</v>
      </c>
      <c r="C180" s="25" t="s">
        <v>538</v>
      </c>
      <c r="D180" s="25" t="s">
        <v>40</v>
      </c>
    </row>
    <row r="181" spans="1:4" x14ac:dyDescent="0.2">
      <c r="A181" s="24" t="s">
        <v>539</v>
      </c>
      <c r="B181" s="25" t="s">
        <v>540</v>
      </c>
      <c r="C181" s="25" t="s">
        <v>541</v>
      </c>
      <c r="D181" s="25" t="s">
        <v>40</v>
      </c>
    </row>
    <row r="182" spans="1:4" x14ac:dyDescent="0.2">
      <c r="A182" s="24" t="s">
        <v>542</v>
      </c>
      <c r="B182" s="25" t="s">
        <v>543</v>
      </c>
      <c r="C182" s="25" t="s">
        <v>544</v>
      </c>
      <c r="D182" s="25" t="s">
        <v>40</v>
      </c>
    </row>
    <row r="183" spans="1:4" x14ac:dyDescent="0.2">
      <c r="A183" s="24" t="s">
        <v>545</v>
      </c>
      <c r="B183" s="25" t="s">
        <v>546</v>
      </c>
      <c r="C183" s="25" t="s">
        <v>547</v>
      </c>
      <c r="D183" s="25" t="s">
        <v>40</v>
      </c>
    </row>
    <row r="184" spans="1:4" x14ac:dyDescent="0.2">
      <c r="A184" s="24" t="s">
        <v>548</v>
      </c>
      <c r="B184" s="25" t="s">
        <v>549</v>
      </c>
      <c r="C184" s="25" t="s">
        <v>550</v>
      </c>
      <c r="D184" s="25" t="s">
        <v>40</v>
      </c>
    </row>
    <row r="185" spans="1:4" x14ac:dyDescent="0.2">
      <c r="A185" s="24" t="s">
        <v>551</v>
      </c>
      <c r="B185" s="25" t="s">
        <v>552</v>
      </c>
      <c r="C185" s="25" t="s">
        <v>553</v>
      </c>
      <c r="D185" s="25" t="s">
        <v>40</v>
      </c>
    </row>
    <row r="186" spans="1:4" x14ac:dyDescent="0.2">
      <c r="A186" s="24" t="s">
        <v>554</v>
      </c>
      <c r="B186" s="25" t="s">
        <v>555</v>
      </c>
      <c r="C186" s="25" t="s">
        <v>556</v>
      </c>
      <c r="D186" s="25" t="s">
        <v>40</v>
      </c>
    </row>
    <row r="187" spans="1:4" x14ac:dyDescent="0.2">
      <c r="A187" s="24" t="s">
        <v>557</v>
      </c>
      <c r="B187" s="25" t="s">
        <v>558</v>
      </c>
      <c r="C187" s="25" t="s">
        <v>559</v>
      </c>
      <c r="D187" s="25" t="s">
        <v>40</v>
      </c>
    </row>
    <row r="188" spans="1:4" x14ac:dyDescent="0.2">
      <c r="A188" s="24" t="s">
        <v>560</v>
      </c>
      <c r="B188" s="25" t="s">
        <v>561</v>
      </c>
      <c r="C188" s="25" t="s">
        <v>562</v>
      </c>
      <c r="D188" s="25" t="s">
        <v>40</v>
      </c>
    </row>
    <row r="189" spans="1:4" x14ac:dyDescent="0.2">
      <c r="A189" s="24" t="s">
        <v>563</v>
      </c>
      <c r="B189" s="25" t="s">
        <v>564</v>
      </c>
      <c r="C189" s="25" t="s">
        <v>565</v>
      </c>
      <c r="D189" s="25" t="s">
        <v>40</v>
      </c>
    </row>
    <row r="190" spans="1:4" x14ac:dyDescent="0.2">
      <c r="A190" s="24" t="s">
        <v>566</v>
      </c>
      <c r="B190" s="25" t="s">
        <v>567</v>
      </c>
      <c r="C190" s="25" t="s">
        <v>568</v>
      </c>
      <c r="D190" s="25" t="s">
        <v>40</v>
      </c>
    </row>
    <row r="191" spans="1:4" x14ac:dyDescent="0.2">
      <c r="A191" s="24" t="s">
        <v>569</v>
      </c>
      <c r="B191" s="25" t="s">
        <v>570</v>
      </c>
      <c r="C191" s="25" t="s">
        <v>571</v>
      </c>
      <c r="D191" s="25" t="s">
        <v>40</v>
      </c>
    </row>
    <row r="192" spans="1:4" x14ac:dyDescent="0.2">
      <c r="A192" s="24" t="s">
        <v>572</v>
      </c>
      <c r="B192" s="25" t="s">
        <v>573</v>
      </c>
      <c r="C192" s="25" t="s">
        <v>574</v>
      </c>
      <c r="D192" s="25" t="s">
        <v>40</v>
      </c>
    </row>
    <row r="193" spans="1:4" x14ac:dyDescent="0.2">
      <c r="A193" s="24" t="s">
        <v>575</v>
      </c>
      <c r="B193" s="25" t="s">
        <v>576</v>
      </c>
      <c r="C193" s="25" t="s">
        <v>577</v>
      </c>
      <c r="D193" s="25" t="s">
        <v>40</v>
      </c>
    </row>
    <row r="194" spans="1:4" x14ac:dyDescent="0.2">
      <c r="A194" s="24" t="s">
        <v>578</v>
      </c>
      <c r="B194" s="25" t="s">
        <v>579</v>
      </c>
      <c r="C194" s="25" t="s">
        <v>580</v>
      </c>
      <c r="D194" s="25" t="s">
        <v>40</v>
      </c>
    </row>
    <row r="195" spans="1:4" x14ac:dyDescent="0.2">
      <c r="A195" s="24" t="s">
        <v>581</v>
      </c>
      <c r="B195" s="25" t="s">
        <v>582</v>
      </c>
      <c r="C195" s="25" t="s">
        <v>583</v>
      </c>
      <c r="D195" s="25" t="s">
        <v>40</v>
      </c>
    </row>
    <row r="196" spans="1:4" x14ac:dyDescent="0.2">
      <c r="A196" s="24" t="s">
        <v>584</v>
      </c>
      <c r="B196" s="25" t="s">
        <v>585</v>
      </c>
      <c r="C196" s="25" t="s">
        <v>586</v>
      </c>
      <c r="D196" s="25" t="s">
        <v>40</v>
      </c>
    </row>
    <row r="197" spans="1:4" x14ac:dyDescent="0.2">
      <c r="A197" s="24" t="s">
        <v>587</v>
      </c>
      <c r="B197" s="25" t="s">
        <v>588</v>
      </c>
      <c r="C197" s="25" t="s">
        <v>589</v>
      </c>
      <c r="D197" s="25" t="s">
        <v>40</v>
      </c>
    </row>
    <row r="198" spans="1:4" x14ac:dyDescent="0.2">
      <c r="A198" s="24" t="s">
        <v>590</v>
      </c>
      <c r="B198" s="25" t="s">
        <v>591</v>
      </c>
      <c r="C198" s="25" t="s">
        <v>592</v>
      </c>
      <c r="D198" s="25" t="s">
        <v>40</v>
      </c>
    </row>
    <row r="199" spans="1:4" x14ac:dyDescent="0.2">
      <c r="A199" s="24" t="s">
        <v>593</v>
      </c>
      <c r="B199" s="25" t="s">
        <v>594</v>
      </c>
      <c r="C199" s="25" t="s">
        <v>595</v>
      </c>
      <c r="D199" s="25" t="s">
        <v>40</v>
      </c>
    </row>
    <row r="200" spans="1:4" x14ac:dyDescent="0.2">
      <c r="A200" s="24" t="s">
        <v>596</v>
      </c>
      <c r="B200" s="25" t="s">
        <v>597</v>
      </c>
      <c r="C200" s="25" t="s">
        <v>598</v>
      </c>
      <c r="D200" s="25" t="s">
        <v>40</v>
      </c>
    </row>
    <row r="201" spans="1:4" x14ac:dyDescent="0.2">
      <c r="A201" s="24" t="s">
        <v>599</v>
      </c>
      <c r="B201" s="25" t="s">
        <v>600</v>
      </c>
      <c r="C201" s="25" t="s">
        <v>601</v>
      </c>
      <c r="D201" s="25" t="s">
        <v>40</v>
      </c>
    </row>
    <row r="202" spans="1:4" x14ac:dyDescent="0.2">
      <c r="A202" s="24" t="s">
        <v>602</v>
      </c>
      <c r="B202" s="25" t="s">
        <v>603</v>
      </c>
      <c r="C202" s="25" t="s">
        <v>604</v>
      </c>
      <c r="D202" s="25" t="s">
        <v>40</v>
      </c>
    </row>
    <row r="203" spans="1:4" x14ac:dyDescent="0.2">
      <c r="A203" s="24" t="s">
        <v>605</v>
      </c>
      <c r="B203" s="25" t="s">
        <v>606</v>
      </c>
      <c r="C203" s="25" t="s">
        <v>607</v>
      </c>
      <c r="D203" s="25" t="s">
        <v>40</v>
      </c>
    </row>
    <row r="204" spans="1:4" x14ac:dyDescent="0.2">
      <c r="A204" s="24" t="s">
        <v>608</v>
      </c>
      <c r="B204" s="25" t="s">
        <v>609</v>
      </c>
      <c r="C204" s="25" t="s">
        <v>610</v>
      </c>
      <c r="D204" s="25" t="s">
        <v>40</v>
      </c>
    </row>
    <row r="205" spans="1:4" x14ac:dyDescent="0.2">
      <c r="A205" s="24" t="s">
        <v>611</v>
      </c>
      <c r="B205" s="25" t="s">
        <v>612</v>
      </c>
      <c r="C205" s="25" t="s">
        <v>613</v>
      </c>
      <c r="D205" s="25" t="s">
        <v>40</v>
      </c>
    </row>
    <row r="206" spans="1:4" x14ac:dyDescent="0.2">
      <c r="A206" s="24" t="s">
        <v>614</v>
      </c>
      <c r="B206" s="25" t="s">
        <v>615</v>
      </c>
      <c r="C206" s="25" t="s">
        <v>616</v>
      </c>
      <c r="D206" s="25" t="s">
        <v>40</v>
      </c>
    </row>
    <row r="207" spans="1:4" x14ac:dyDescent="0.2">
      <c r="A207" s="24" t="s">
        <v>617</v>
      </c>
      <c r="B207" s="25" t="s">
        <v>618</v>
      </c>
      <c r="C207" s="25" t="s">
        <v>619</v>
      </c>
      <c r="D207" s="25" t="s">
        <v>40</v>
      </c>
    </row>
    <row r="208" spans="1:4" x14ac:dyDescent="0.2">
      <c r="A208" s="24" t="s">
        <v>620</v>
      </c>
      <c r="B208" s="25" t="s">
        <v>621</v>
      </c>
      <c r="C208" s="25" t="s">
        <v>622</v>
      </c>
      <c r="D208" s="25" t="s">
        <v>40</v>
      </c>
    </row>
    <row r="209" spans="1:4" x14ac:dyDescent="0.2">
      <c r="A209" s="24" t="s">
        <v>623</v>
      </c>
      <c r="B209" s="25" t="s">
        <v>624</v>
      </c>
      <c r="C209" s="25" t="s">
        <v>625</v>
      </c>
      <c r="D209" s="25" t="s">
        <v>40</v>
      </c>
    </row>
    <row r="210" spans="1:4" x14ac:dyDescent="0.2">
      <c r="A210" s="24" t="s">
        <v>626</v>
      </c>
      <c r="B210" s="25" t="s">
        <v>627</v>
      </c>
      <c r="C210" s="25" t="s">
        <v>628</v>
      </c>
      <c r="D210" s="25" t="s">
        <v>40</v>
      </c>
    </row>
    <row r="211" spans="1:4" x14ac:dyDescent="0.2">
      <c r="A211" s="24" t="s">
        <v>629</v>
      </c>
      <c r="B211" s="25" t="s">
        <v>630</v>
      </c>
      <c r="C211" s="25" t="s">
        <v>631</v>
      </c>
      <c r="D211" s="25" t="s">
        <v>40</v>
      </c>
    </row>
    <row r="212" spans="1:4" x14ac:dyDescent="0.2">
      <c r="A212" s="24" t="s">
        <v>632</v>
      </c>
      <c r="B212" s="25" t="s">
        <v>633</v>
      </c>
      <c r="C212" s="25" t="s">
        <v>634</v>
      </c>
      <c r="D212" s="25" t="s">
        <v>40</v>
      </c>
    </row>
    <row r="213" spans="1:4" x14ac:dyDescent="0.2">
      <c r="A213" s="24" t="s">
        <v>635</v>
      </c>
      <c r="B213" s="25" t="s">
        <v>636</v>
      </c>
      <c r="C213" s="25" t="s">
        <v>637</v>
      </c>
      <c r="D213" s="25" t="s">
        <v>40</v>
      </c>
    </row>
    <row r="214" spans="1:4" x14ac:dyDescent="0.2">
      <c r="A214" s="24" t="s">
        <v>638</v>
      </c>
      <c r="B214" s="25" t="s">
        <v>639</v>
      </c>
      <c r="C214" s="25" t="s">
        <v>640</v>
      </c>
      <c r="D214" s="25" t="s">
        <v>40</v>
      </c>
    </row>
    <row r="215" spans="1:4" x14ac:dyDescent="0.2">
      <c r="A215" s="24" t="s">
        <v>641</v>
      </c>
      <c r="B215" s="25" t="s">
        <v>642</v>
      </c>
      <c r="C215" s="25" t="s">
        <v>643</v>
      </c>
      <c r="D215" s="25" t="s">
        <v>40</v>
      </c>
    </row>
    <row r="216" spans="1:4" x14ac:dyDescent="0.2">
      <c r="A216" s="24" t="s">
        <v>644</v>
      </c>
      <c r="B216" s="25" t="s">
        <v>645</v>
      </c>
      <c r="C216" s="25" t="s">
        <v>646</v>
      </c>
      <c r="D216" s="25" t="s">
        <v>40</v>
      </c>
    </row>
    <row r="217" spans="1:4" x14ac:dyDescent="0.2">
      <c r="A217" s="24" t="s">
        <v>647</v>
      </c>
      <c r="B217" s="25" t="s">
        <v>648</v>
      </c>
      <c r="C217" s="25" t="s">
        <v>649</v>
      </c>
      <c r="D217" s="25" t="s">
        <v>40</v>
      </c>
    </row>
    <row r="218" spans="1:4" x14ac:dyDescent="0.2">
      <c r="A218" s="24" t="s">
        <v>650</v>
      </c>
      <c r="B218" s="25" t="s">
        <v>651</v>
      </c>
      <c r="C218" s="25" t="s">
        <v>652</v>
      </c>
      <c r="D218" s="25" t="s">
        <v>40</v>
      </c>
    </row>
    <row r="219" spans="1:4" x14ac:dyDescent="0.2">
      <c r="A219" s="24" t="s">
        <v>653</v>
      </c>
      <c r="B219" s="25" t="s">
        <v>654</v>
      </c>
      <c r="C219" s="25" t="s">
        <v>655</v>
      </c>
      <c r="D219" s="25" t="s">
        <v>40</v>
      </c>
    </row>
    <row r="220" spans="1:4" x14ac:dyDescent="0.2">
      <c r="A220" s="24" t="s">
        <v>656</v>
      </c>
      <c r="B220" s="25" t="s">
        <v>657</v>
      </c>
      <c r="C220" s="25" t="s">
        <v>658</v>
      </c>
      <c r="D220" s="25" t="s">
        <v>40</v>
      </c>
    </row>
    <row r="221" spans="1:4" x14ac:dyDescent="0.2">
      <c r="A221" s="24" t="s">
        <v>659</v>
      </c>
      <c r="B221" s="25" t="s">
        <v>660</v>
      </c>
      <c r="C221" s="25" t="s">
        <v>661</v>
      </c>
      <c r="D221" s="25" t="s">
        <v>40</v>
      </c>
    </row>
    <row r="222" spans="1:4" x14ac:dyDescent="0.2">
      <c r="A222" s="24" t="s">
        <v>662</v>
      </c>
      <c r="B222" s="25" t="s">
        <v>663</v>
      </c>
      <c r="C222" s="25" t="s">
        <v>664</v>
      </c>
      <c r="D222" s="25" t="s">
        <v>40</v>
      </c>
    </row>
    <row r="223" spans="1:4" x14ac:dyDescent="0.2">
      <c r="A223" s="24" t="s">
        <v>665</v>
      </c>
      <c r="B223" s="25" t="s">
        <v>666</v>
      </c>
      <c r="C223" s="25" t="s">
        <v>667</v>
      </c>
      <c r="D223" s="25" t="s">
        <v>40</v>
      </c>
    </row>
    <row r="224" spans="1:4" x14ac:dyDescent="0.2">
      <c r="A224" s="24" t="s">
        <v>668</v>
      </c>
      <c r="B224" s="25" t="s">
        <v>669</v>
      </c>
      <c r="C224" s="25" t="s">
        <v>670</v>
      </c>
      <c r="D224" s="25" t="s">
        <v>40</v>
      </c>
    </row>
    <row r="225" spans="1:4" x14ac:dyDescent="0.2">
      <c r="A225" s="24" t="s">
        <v>671</v>
      </c>
      <c r="B225" s="25" t="s">
        <v>672</v>
      </c>
      <c r="C225" s="25" t="s">
        <v>673</v>
      </c>
      <c r="D225" s="25" t="s">
        <v>40</v>
      </c>
    </row>
    <row r="226" spans="1:4" x14ac:dyDescent="0.2">
      <c r="A226" s="24" t="s">
        <v>674</v>
      </c>
      <c r="B226" s="25" t="s">
        <v>675</v>
      </c>
      <c r="C226" s="25" t="s">
        <v>676</v>
      </c>
      <c r="D226" s="25" t="s">
        <v>40</v>
      </c>
    </row>
    <row r="227" spans="1:4" x14ac:dyDescent="0.2">
      <c r="A227" s="24" t="s">
        <v>677</v>
      </c>
      <c r="B227" s="25" t="s">
        <v>678</v>
      </c>
      <c r="C227" s="25" t="s">
        <v>679</v>
      </c>
      <c r="D227" s="25" t="s">
        <v>40</v>
      </c>
    </row>
    <row r="228" spans="1:4" x14ac:dyDescent="0.2">
      <c r="A228" s="24" t="s">
        <v>680</v>
      </c>
      <c r="B228" s="25" t="s">
        <v>681</v>
      </c>
      <c r="C228" s="25" t="s">
        <v>682</v>
      </c>
      <c r="D228" s="25" t="s">
        <v>40</v>
      </c>
    </row>
    <row r="229" spans="1:4" x14ac:dyDescent="0.2">
      <c r="A229" s="24" t="s">
        <v>683</v>
      </c>
      <c r="B229" s="25" t="s">
        <v>684</v>
      </c>
      <c r="C229" s="25" t="s">
        <v>685</v>
      </c>
      <c r="D229" s="25" t="s">
        <v>40</v>
      </c>
    </row>
    <row r="230" spans="1:4" x14ac:dyDescent="0.2">
      <c r="A230" s="24" t="s">
        <v>686</v>
      </c>
      <c r="B230" s="25" t="s">
        <v>687</v>
      </c>
      <c r="C230" s="25" t="s">
        <v>688</v>
      </c>
      <c r="D230" s="25" t="s">
        <v>40</v>
      </c>
    </row>
    <row r="231" spans="1:4" x14ac:dyDescent="0.2">
      <c r="A231" s="24" t="s">
        <v>689</v>
      </c>
      <c r="B231" s="25" t="s">
        <v>690</v>
      </c>
      <c r="C231" s="25" t="s">
        <v>691</v>
      </c>
      <c r="D231" s="25" t="s">
        <v>40</v>
      </c>
    </row>
    <row r="232" spans="1:4" x14ac:dyDescent="0.2">
      <c r="A232" s="24" t="s">
        <v>692</v>
      </c>
      <c r="B232" s="25" t="s">
        <v>693</v>
      </c>
      <c r="C232" s="25" t="s">
        <v>694</v>
      </c>
      <c r="D232" s="25" t="s">
        <v>40</v>
      </c>
    </row>
    <row r="233" spans="1:4" x14ac:dyDescent="0.2">
      <c r="A233" s="24" t="s">
        <v>695</v>
      </c>
      <c r="B233" s="25" t="s">
        <v>696</v>
      </c>
      <c r="C233" s="25" t="s">
        <v>697</v>
      </c>
      <c r="D233" s="25" t="s">
        <v>40</v>
      </c>
    </row>
    <row r="234" spans="1:4" x14ac:dyDescent="0.2">
      <c r="A234" s="24" t="s">
        <v>698</v>
      </c>
      <c r="B234" s="25" t="s">
        <v>699</v>
      </c>
      <c r="C234" s="25" t="s">
        <v>700</v>
      </c>
      <c r="D234" s="25" t="s">
        <v>40</v>
      </c>
    </row>
    <row r="235" spans="1:4" x14ac:dyDescent="0.2">
      <c r="A235" s="24" t="s">
        <v>701</v>
      </c>
      <c r="B235" s="25" t="s">
        <v>702</v>
      </c>
      <c r="C235" s="25" t="s">
        <v>703</v>
      </c>
      <c r="D235" s="25" t="s">
        <v>40</v>
      </c>
    </row>
    <row r="236" spans="1:4" x14ac:dyDescent="0.2">
      <c r="A236" s="24" t="s">
        <v>704</v>
      </c>
      <c r="B236" s="25" t="s">
        <v>705</v>
      </c>
      <c r="C236" s="25" t="s">
        <v>706</v>
      </c>
      <c r="D236" s="25" t="s">
        <v>40</v>
      </c>
    </row>
    <row r="237" spans="1:4" x14ac:dyDescent="0.2">
      <c r="A237" s="24" t="s">
        <v>707</v>
      </c>
      <c r="B237" s="25" t="s">
        <v>708</v>
      </c>
      <c r="C237" s="25" t="s">
        <v>709</v>
      </c>
      <c r="D237" s="25" t="s">
        <v>40</v>
      </c>
    </row>
    <row r="238" spans="1:4" x14ac:dyDescent="0.2">
      <c r="A238" s="24" t="s">
        <v>710</v>
      </c>
      <c r="B238" s="25" t="s">
        <v>711</v>
      </c>
      <c r="C238" s="25" t="s">
        <v>712</v>
      </c>
      <c r="D238" s="25" t="s">
        <v>40</v>
      </c>
    </row>
    <row r="239" spans="1:4" x14ac:dyDescent="0.2">
      <c r="A239" s="24" t="s">
        <v>713</v>
      </c>
      <c r="B239" s="25" t="s">
        <v>714</v>
      </c>
      <c r="C239" s="25" t="s">
        <v>715</v>
      </c>
      <c r="D239" s="25" t="s">
        <v>40</v>
      </c>
    </row>
    <row r="240" spans="1:4" x14ac:dyDescent="0.2">
      <c r="A240" s="24" t="s">
        <v>716</v>
      </c>
      <c r="B240" s="25" t="s">
        <v>717</v>
      </c>
      <c r="C240" s="25" t="s">
        <v>718</v>
      </c>
      <c r="D240" s="25" t="s">
        <v>40</v>
      </c>
    </row>
    <row r="241" spans="1:4" x14ac:dyDescent="0.2">
      <c r="A241" s="24" t="s">
        <v>719</v>
      </c>
      <c r="B241" s="25" t="s">
        <v>720</v>
      </c>
      <c r="C241" s="25" t="s">
        <v>721</v>
      </c>
      <c r="D241" s="25" t="s">
        <v>40</v>
      </c>
    </row>
    <row r="242" spans="1:4" x14ac:dyDescent="0.2">
      <c r="A242" s="24" t="s">
        <v>722</v>
      </c>
      <c r="B242" s="25" t="s">
        <v>723</v>
      </c>
      <c r="C242" s="25" t="s">
        <v>724</v>
      </c>
      <c r="D242" s="25" t="s">
        <v>40</v>
      </c>
    </row>
    <row r="243" spans="1:4" x14ac:dyDescent="0.2">
      <c r="A243" s="24" t="s">
        <v>725</v>
      </c>
      <c r="B243" s="25" t="s">
        <v>726</v>
      </c>
      <c r="C243" s="25" t="s">
        <v>727</v>
      </c>
      <c r="D243" s="25" t="s">
        <v>40</v>
      </c>
    </row>
    <row r="244" spans="1:4" x14ac:dyDescent="0.2">
      <c r="A244" s="24" t="s">
        <v>728</v>
      </c>
      <c r="B244" s="25" t="s">
        <v>729</v>
      </c>
      <c r="C244" s="25" t="s">
        <v>730</v>
      </c>
      <c r="D244" s="25" t="s">
        <v>40</v>
      </c>
    </row>
    <row r="245" spans="1:4" x14ac:dyDescent="0.2">
      <c r="A245" s="24" t="s">
        <v>731</v>
      </c>
      <c r="B245" s="25" t="s">
        <v>732</v>
      </c>
      <c r="C245" s="25" t="s">
        <v>733</v>
      </c>
      <c r="D245" s="25" t="s">
        <v>40</v>
      </c>
    </row>
    <row r="246" spans="1:4" x14ac:dyDescent="0.2">
      <c r="A246" s="24" t="s">
        <v>734</v>
      </c>
      <c r="B246" s="25" t="s">
        <v>735</v>
      </c>
      <c r="C246" s="25" t="s">
        <v>736</v>
      </c>
      <c r="D246" s="25" t="s">
        <v>40</v>
      </c>
    </row>
    <row r="247" spans="1:4" x14ac:dyDescent="0.2">
      <c r="A247" s="24" t="s">
        <v>737</v>
      </c>
      <c r="B247" s="25" t="s">
        <v>738</v>
      </c>
      <c r="C247" s="25" t="s">
        <v>739</v>
      </c>
      <c r="D247" s="25" t="s">
        <v>40</v>
      </c>
    </row>
    <row r="248" spans="1:4" x14ac:dyDescent="0.2">
      <c r="A248" s="24" t="s">
        <v>740</v>
      </c>
      <c r="B248" s="25" t="s">
        <v>741</v>
      </c>
      <c r="C248" s="25" t="s">
        <v>742</v>
      </c>
      <c r="D248" s="25" t="s">
        <v>40</v>
      </c>
    </row>
    <row r="249" spans="1:4" x14ac:dyDescent="0.2">
      <c r="A249" s="24" t="s">
        <v>743</v>
      </c>
      <c r="B249" s="25" t="s">
        <v>744</v>
      </c>
      <c r="C249" s="25" t="s">
        <v>745</v>
      </c>
      <c r="D249" s="25" t="s">
        <v>40</v>
      </c>
    </row>
    <row r="250" spans="1:4" x14ac:dyDescent="0.2">
      <c r="A250" s="24" t="s">
        <v>746</v>
      </c>
      <c r="B250" s="25" t="s">
        <v>747</v>
      </c>
      <c r="C250" s="25" t="s">
        <v>748</v>
      </c>
      <c r="D250" s="25" t="s">
        <v>40</v>
      </c>
    </row>
    <row r="251" spans="1:4" x14ac:dyDescent="0.2">
      <c r="A251" s="24" t="s">
        <v>749</v>
      </c>
      <c r="B251" s="25" t="s">
        <v>750</v>
      </c>
      <c r="C251" s="25" t="s">
        <v>751</v>
      </c>
      <c r="D251" s="25" t="s">
        <v>40</v>
      </c>
    </row>
    <row r="252" spans="1:4" x14ac:dyDescent="0.2">
      <c r="A252" s="24" t="s">
        <v>752</v>
      </c>
      <c r="B252" s="25" t="s">
        <v>753</v>
      </c>
      <c r="C252" s="25" t="s">
        <v>754</v>
      </c>
      <c r="D252" s="25" t="s">
        <v>40</v>
      </c>
    </row>
    <row r="253" spans="1:4" x14ac:dyDescent="0.2">
      <c r="A253" s="24" t="s">
        <v>755</v>
      </c>
      <c r="B253" s="25" t="s">
        <v>756</v>
      </c>
      <c r="C253" s="25" t="s">
        <v>757</v>
      </c>
      <c r="D253" s="25" t="s">
        <v>40</v>
      </c>
    </row>
    <row r="254" spans="1:4" x14ac:dyDescent="0.2">
      <c r="A254" s="24" t="s">
        <v>758</v>
      </c>
      <c r="B254" s="25" t="s">
        <v>759</v>
      </c>
      <c r="C254" s="25" t="s">
        <v>760</v>
      </c>
      <c r="D254" s="25" t="s">
        <v>40</v>
      </c>
    </row>
    <row r="255" spans="1:4" x14ac:dyDescent="0.2">
      <c r="A255" s="24" t="s">
        <v>761</v>
      </c>
      <c r="B255" s="25" t="s">
        <v>762</v>
      </c>
      <c r="C255" s="25" t="s">
        <v>763</v>
      </c>
      <c r="D255" s="25" t="s">
        <v>40</v>
      </c>
    </row>
    <row r="256" spans="1:4" x14ac:dyDescent="0.2">
      <c r="A256" s="24" t="s">
        <v>764</v>
      </c>
      <c r="B256" s="25" t="s">
        <v>765</v>
      </c>
      <c r="C256" s="25" t="s">
        <v>766</v>
      </c>
      <c r="D256" s="25" t="s">
        <v>40</v>
      </c>
    </row>
    <row r="257" spans="1:4" x14ac:dyDescent="0.2">
      <c r="A257" s="24" t="s">
        <v>767</v>
      </c>
      <c r="B257" s="25" t="s">
        <v>768</v>
      </c>
      <c r="C257" s="25" t="s">
        <v>769</v>
      </c>
      <c r="D257" s="25" t="s">
        <v>40</v>
      </c>
    </row>
    <row r="258" spans="1:4" x14ac:dyDescent="0.2">
      <c r="A258" s="24" t="s">
        <v>770</v>
      </c>
      <c r="B258" s="25" t="s">
        <v>771</v>
      </c>
      <c r="C258" s="25" t="s">
        <v>772</v>
      </c>
      <c r="D258" s="25" t="s">
        <v>40</v>
      </c>
    </row>
    <row r="259" spans="1:4" x14ac:dyDescent="0.2">
      <c r="A259" s="24" t="s">
        <v>773</v>
      </c>
      <c r="B259" s="25" t="s">
        <v>774</v>
      </c>
      <c r="C259" s="25" t="s">
        <v>775</v>
      </c>
      <c r="D259" s="25" t="s">
        <v>40</v>
      </c>
    </row>
    <row r="260" spans="1:4" x14ac:dyDescent="0.2">
      <c r="A260" s="24" t="s">
        <v>776</v>
      </c>
      <c r="B260" s="25" t="s">
        <v>777</v>
      </c>
      <c r="C260" s="25" t="s">
        <v>778</v>
      </c>
      <c r="D260" s="25" t="s">
        <v>40</v>
      </c>
    </row>
    <row r="261" spans="1:4" x14ac:dyDescent="0.2">
      <c r="A261" s="24" t="s">
        <v>779</v>
      </c>
      <c r="B261" s="25" t="s">
        <v>780</v>
      </c>
      <c r="C261" s="25" t="s">
        <v>781</v>
      </c>
      <c r="D261" s="25" t="s">
        <v>40</v>
      </c>
    </row>
    <row r="262" spans="1:4" x14ac:dyDescent="0.2">
      <c r="A262" s="24" t="s">
        <v>782</v>
      </c>
      <c r="B262" s="25" t="s">
        <v>783</v>
      </c>
      <c r="C262" s="25" t="s">
        <v>784</v>
      </c>
      <c r="D262" s="25" t="s">
        <v>40</v>
      </c>
    </row>
    <row r="263" spans="1:4" x14ac:dyDescent="0.2">
      <c r="A263" s="24" t="s">
        <v>785</v>
      </c>
      <c r="B263" s="25" t="s">
        <v>786</v>
      </c>
      <c r="C263" s="25" t="s">
        <v>787</v>
      </c>
      <c r="D263" s="25" t="s">
        <v>40</v>
      </c>
    </row>
    <row r="264" spans="1:4" x14ac:dyDescent="0.2">
      <c r="A264" s="24" t="s">
        <v>788</v>
      </c>
      <c r="B264" s="25" t="s">
        <v>789</v>
      </c>
      <c r="C264" s="25" t="s">
        <v>790</v>
      </c>
      <c r="D264" s="25" t="s">
        <v>40</v>
      </c>
    </row>
    <row r="265" spans="1:4" x14ac:dyDescent="0.2">
      <c r="A265" s="24" t="s">
        <v>791</v>
      </c>
      <c r="B265" s="25" t="s">
        <v>792</v>
      </c>
      <c r="C265" s="25" t="s">
        <v>793</v>
      </c>
      <c r="D265" s="25" t="s">
        <v>40</v>
      </c>
    </row>
    <row r="266" spans="1:4" x14ac:dyDescent="0.2">
      <c r="A266" s="24" t="s">
        <v>794</v>
      </c>
      <c r="B266" s="25" t="s">
        <v>795</v>
      </c>
      <c r="C266" s="25" t="s">
        <v>796</v>
      </c>
      <c r="D266" s="25" t="s">
        <v>40</v>
      </c>
    </row>
    <row r="267" spans="1:4" x14ac:dyDescent="0.2">
      <c r="A267" s="24" t="s">
        <v>797</v>
      </c>
      <c r="B267" s="25" t="s">
        <v>798</v>
      </c>
      <c r="C267" s="25" t="s">
        <v>799</v>
      </c>
      <c r="D267" s="25" t="s">
        <v>40</v>
      </c>
    </row>
    <row r="268" spans="1:4" x14ac:dyDescent="0.2">
      <c r="A268" s="24" t="s">
        <v>800</v>
      </c>
      <c r="B268" s="25" t="s">
        <v>801</v>
      </c>
      <c r="C268" s="25" t="s">
        <v>802</v>
      </c>
      <c r="D268" s="25" t="s">
        <v>40</v>
      </c>
    </row>
    <row r="269" spans="1:4" x14ac:dyDescent="0.2">
      <c r="A269" s="24" t="s">
        <v>803</v>
      </c>
      <c r="B269" s="25" t="s">
        <v>804</v>
      </c>
      <c r="C269" s="25" t="s">
        <v>805</v>
      </c>
      <c r="D269" s="25" t="s">
        <v>40</v>
      </c>
    </row>
    <row r="270" spans="1:4" x14ac:dyDescent="0.2">
      <c r="A270" s="24" t="s">
        <v>806</v>
      </c>
      <c r="B270" s="25" t="s">
        <v>807</v>
      </c>
      <c r="C270" s="25" t="s">
        <v>808</v>
      </c>
      <c r="D270" s="25" t="s">
        <v>40</v>
      </c>
    </row>
    <row r="271" spans="1:4" x14ac:dyDescent="0.2">
      <c r="A271" s="24" t="s">
        <v>809</v>
      </c>
      <c r="B271" s="25" t="s">
        <v>810</v>
      </c>
      <c r="C271" s="25" t="s">
        <v>811</v>
      </c>
      <c r="D271" s="25" t="s">
        <v>40</v>
      </c>
    </row>
    <row r="272" spans="1:4" x14ac:dyDescent="0.2">
      <c r="A272" s="24" t="s">
        <v>812</v>
      </c>
      <c r="B272" s="25" t="s">
        <v>813</v>
      </c>
      <c r="C272" s="25" t="s">
        <v>814</v>
      </c>
      <c r="D272" s="25" t="s">
        <v>40</v>
      </c>
    </row>
    <row r="273" spans="1:4" x14ac:dyDescent="0.2">
      <c r="A273" s="24" t="s">
        <v>815</v>
      </c>
      <c r="B273" s="25" t="s">
        <v>816</v>
      </c>
      <c r="C273" s="25" t="s">
        <v>817</v>
      </c>
      <c r="D273" s="25" t="s">
        <v>40</v>
      </c>
    </row>
    <row r="274" spans="1:4" x14ac:dyDescent="0.2">
      <c r="A274" s="24" t="s">
        <v>818</v>
      </c>
      <c r="B274" s="25" t="s">
        <v>819</v>
      </c>
      <c r="C274" s="25" t="s">
        <v>820</v>
      </c>
      <c r="D274" s="25" t="s">
        <v>40</v>
      </c>
    </row>
    <row r="275" spans="1:4" x14ac:dyDescent="0.2">
      <c r="A275" s="24" t="s">
        <v>821</v>
      </c>
      <c r="B275" s="25" t="s">
        <v>822</v>
      </c>
      <c r="C275" s="25" t="s">
        <v>823</v>
      </c>
      <c r="D275" s="25" t="s">
        <v>40</v>
      </c>
    </row>
    <row r="276" spans="1:4" x14ac:dyDescent="0.2">
      <c r="A276" s="24" t="s">
        <v>824</v>
      </c>
      <c r="B276" s="25" t="s">
        <v>825</v>
      </c>
      <c r="C276" s="25" t="s">
        <v>826</v>
      </c>
      <c r="D276" s="25" t="s">
        <v>40</v>
      </c>
    </row>
    <row r="277" spans="1:4" x14ac:dyDescent="0.2">
      <c r="A277" s="24" t="s">
        <v>827</v>
      </c>
      <c r="B277" s="25" t="s">
        <v>828</v>
      </c>
      <c r="C277" s="25" t="s">
        <v>829</v>
      </c>
      <c r="D277" s="25" t="s">
        <v>40</v>
      </c>
    </row>
    <row r="278" spans="1:4" x14ac:dyDescent="0.2">
      <c r="A278" s="24" t="s">
        <v>830</v>
      </c>
      <c r="B278" s="25" t="s">
        <v>831</v>
      </c>
      <c r="C278" s="25" t="s">
        <v>832</v>
      </c>
      <c r="D278" s="25" t="s">
        <v>40</v>
      </c>
    </row>
    <row r="279" spans="1:4" x14ac:dyDescent="0.2">
      <c r="A279" s="24" t="s">
        <v>833</v>
      </c>
      <c r="B279" s="25" t="s">
        <v>834</v>
      </c>
      <c r="C279" s="25" t="s">
        <v>835</v>
      </c>
      <c r="D279" s="25" t="s">
        <v>40</v>
      </c>
    </row>
    <row r="280" spans="1:4" x14ac:dyDescent="0.2">
      <c r="A280" s="24" t="s">
        <v>836</v>
      </c>
      <c r="B280" s="25" t="s">
        <v>837</v>
      </c>
      <c r="C280" s="25" t="s">
        <v>838</v>
      </c>
      <c r="D280" s="25" t="s">
        <v>40</v>
      </c>
    </row>
    <row r="281" spans="1:4" x14ac:dyDescent="0.2">
      <c r="A281" s="24" t="s">
        <v>839</v>
      </c>
      <c r="B281" s="25" t="s">
        <v>840</v>
      </c>
      <c r="C281" s="25" t="s">
        <v>841</v>
      </c>
      <c r="D281" s="25" t="s">
        <v>40</v>
      </c>
    </row>
    <row r="282" spans="1:4" x14ac:dyDescent="0.2">
      <c r="A282" s="24" t="s">
        <v>842</v>
      </c>
      <c r="B282" s="25" t="s">
        <v>843</v>
      </c>
      <c r="C282" s="25" t="s">
        <v>844</v>
      </c>
      <c r="D282" s="25" t="s">
        <v>40</v>
      </c>
    </row>
    <row r="283" spans="1:4" x14ac:dyDescent="0.2">
      <c r="A283" s="24" t="s">
        <v>845</v>
      </c>
      <c r="B283" s="25" t="s">
        <v>846</v>
      </c>
      <c r="C283" s="25" t="s">
        <v>847</v>
      </c>
      <c r="D283" s="25" t="s">
        <v>40</v>
      </c>
    </row>
    <row r="284" spans="1:4" x14ac:dyDescent="0.2">
      <c r="A284" s="24" t="s">
        <v>848</v>
      </c>
      <c r="B284" s="25" t="s">
        <v>849</v>
      </c>
      <c r="C284" s="25" t="s">
        <v>850</v>
      </c>
      <c r="D284" s="25" t="s">
        <v>40</v>
      </c>
    </row>
    <row r="285" spans="1:4" x14ac:dyDescent="0.2">
      <c r="A285" s="24" t="s">
        <v>851</v>
      </c>
      <c r="B285" s="25" t="s">
        <v>852</v>
      </c>
      <c r="C285" s="25" t="s">
        <v>853</v>
      </c>
      <c r="D285" s="25" t="s">
        <v>40</v>
      </c>
    </row>
    <row r="286" spans="1:4" x14ac:dyDescent="0.2">
      <c r="A286" s="24" t="s">
        <v>854</v>
      </c>
      <c r="B286" s="25" t="s">
        <v>855</v>
      </c>
      <c r="C286" s="25" t="s">
        <v>856</v>
      </c>
      <c r="D286" s="25" t="s">
        <v>40</v>
      </c>
    </row>
    <row r="287" spans="1:4" x14ac:dyDescent="0.2">
      <c r="A287" s="24" t="s">
        <v>857</v>
      </c>
      <c r="B287" s="25" t="s">
        <v>858</v>
      </c>
      <c r="C287" s="25" t="s">
        <v>859</v>
      </c>
      <c r="D287" s="25" t="s">
        <v>40</v>
      </c>
    </row>
    <row r="288" spans="1:4" x14ac:dyDescent="0.2">
      <c r="A288" s="24" t="s">
        <v>860</v>
      </c>
      <c r="B288" s="25" t="s">
        <v>861</v>
      </c>
      <c r="C288" s="25" t="s">
        <v>862</v>
      </c>
      <c r="D288" s="25" t="s">
        <v>40</v>
      </c>
    </row>
    <row r="289" spans="1:4" x14ac:dyDescent="0.2">
      <c r="A289" s="24" t="s">
        <v>863</v>
      </c>
      <c r="B289" s="25" t="s">
        <v>864</v>
      </c>
      <c r="C289" s="25" t="s">
        <v>865</v>
      </c>
      <c r="D289" s="25" t="s">
        <v>40</v>
      </c>
    </row>
    <row r="290" spans="1:4" x14ac:dyDescent="0.2">
      <c r="A290" s="24" t="s">
        <v>866</v>
      </c>
      <c r="B290" s="25" t="s">
        <v>867</v>
      </c>
      <c r="C290" s="25" t="s">
        <v>868</v>
      </c>
      <c r="D290" s="25" t="s">
        <v>40</v>
      </c>
    </row>
    <row r="291" spans="1:4" x14ac:dyDescent="0.2">
      <c r="A291" s="24" t="s">
        <v>869</v>
      </c>
      <c r="B291" s="25" t="s">
        <v>870</v>
      </c>
      <c r="C291" s="25" t="s">
        <v>871</v>
      </c>
      <c r="D291" s="25" t="s">
        <v>40</v>
      </c>
    </row>
    <row r="292" spans="1:4" x14ac:dyDescent="0.2">
      <c r="A292" s="24" t="s">
        <v>872</v>
      </c>
      <c r="B292" s="25" t="s">
        <v>873</v>
      </c>
      <c r="C292" s="25" t="s">
        <v>874</v>
      </c>
      <c r="D292" s="25" t="s">
        <v>40</v>
      </c>
    </row>
    <row r="293" spans="1:4" x14ac:dyDescent="0.2">
      <c r="A293" s="24" t="s">
        <v>875</v>
      </c>
      <c r="B293" s="25" t="s">
        <v>876</v>
      </c>
      <c r="C293" s="25" t="s">
        <v>877</v>
      </c>
      <c r="D293" s="25" t="s">
        <v>40</v>
      </c>
    </row>
    <row r="294" spans="1:4" x14ac:dyDescent="0.2">
      <c r="A294" s="24" t="s">
        <v>878</v>
      </c>
      <c r="B294" s="25" t="s">
        <v>879</v>
      </c>
      <c r="C294" s="25" t="s">
        <v>880</v>
      </c>
      <c r="D294" s="25" t="s">
        <v>40</v>
      </c>
    </row>
    <row r="295" spans="1:4" x14ac:dyDescent="0.2">
      <c r="A295" s="24" t="s">
        <v>881</v>
      </c>
      <c r="B295" s="25" t="s">
        <v>882</v>
      </c>
      <c r="C295" s="25" t="s">
        <v>883</v>
      </c>
      <c r="D295" s="25" t="s">
        <v>40</v>
      </c>
    </row>
    <row r="296" spans="1:4" x14ac:dyDescent="0.2">
      <c r="A296" s="24" t="s">
        <v>884</v>
      </c>
      <c r="B296" s="25" t="s">
        <v>885</v>
      </c>
      <c r="C296" s="25" t="s">
        <v>886</v>
      </c>
      <c r="D296" s="25" t="s">
        <v>40</v>
      </c>
    </row>
    <row r="297" spans="1:4" x14ac:dyDescent="0.2">
      <c r="A297" s="24" t="s">
        <v>887</v>
      </c>
      <c r="B297" s="25" t="s">
        <v>888</v>
      </c>
      <c r="C297" s="25" t="s">
        <v>889</v>
      </c>
      <c r="D297" s="25" t="s">
        <v>40</v>
      </c>
    </row>
    <row r="298" spans="1:4" x14ac:dyDescent="0.2">
      <c r="A298" s="24" t="s">
        <v>890</v>
      </c>
      <c r="B298" s="25" t="s">
        <v>891</v>
      </c>
      <c r="C298" s="25" t="s">
        <v>892</v>
      </c>
      <c r="D298" s="25" t="s">
        <v>40</v>
      </c>
    </row>
    <row r="299" spans="1:4" x14ac:dyDescent="0.2">
      <c r="A299" s="24" t="s">
        <v>893</v>
      </c>
      <c r="B299" s="25" t="s">
        <v>894</v>
      </c>
      <c r="C299" s="25" t="s">
        <v>895</v>
      </c>
      <c r="D299" s="25" t="s">
        <v>40</v>
      </c>
    </row>
    <row r="300" spans="1:4" x14ac:dyDescent="0.2">
      <c r="A300" s="24" t="s">
        <v>896</v>
      </c>
      <c r="B300" s="25" t="s">
        <v>897</v>
      </c>
      <c r="C300" s="25" t="s">
        <v>898</v>
      </c>
      <c r="D300" s="25" t="s">
        <v>40</v>
      </c>
    </row>
    <row r="301" spans="1:4" x14ac:dyDescent="0.2">
      <c r="A301" s="24" t="s">
        <v>899</v>
      </c>
      <c r="B301" s="25" t="s">
        <v>900</v>
      </c>
      <c r="C301" s="25" t="s">
        <v>901</v>
      </c>
      <c r="D301" s="25" t="s">
        <v>40</v>
      </c>
    </row>
    <row r="302" spans="1:4" x14ac:dyDescent="0.2">
      <c r="A302" s="24" t="s">
        <v>902</v>
      </c>
      <c r="B302" s="25" t="s">
        <v>903</v>
      </c>
      <c r="C302" s="25" t="s">
        <v>904</v>
      </c>
      <c r="D302" s="25" t="s">
        <v>40</v>
      </c>
    </row>
    <row r="303" spans="1:4" x14ac:dyDescent="0.2">
      <c r="A303" s="24" t="s">
        <v>905</v>
      </c>
      <c r="B303" s="25" t="s">
        <v>906</v>
      </c>
      <c r="C303" s="25" t="s">
        <v>907</v>
      </c>
      <c r="D303" s="25" t="s">
        <v>40</v>
      </c>
    </row>
    <row r="304" spans="1:4" x14ac:dyDescent="0.2">
      <c r="A304" s="24" t="s">
        <v>908</v>
      </c>
      <c r="B304" s="25" t="s">
        <v>909</v>
      </c>
      <c r="C304" s="25" t="s">
        <v>910</v>
      </c>
      <c r="D304" s="25" t="s">
        <v>40</v>
      </c>
    </row>
    <row r="305" spans="1:4" x14ac:dyDescent="0.2">
      <c r="A305" s="24" t="s">
        <v>911</v>
      </c>
      <c r="B305" s="25" t="s">
        <v>912</v>
      </c>
      <c r="C305" s="25" t="s">
        <v>913</v>
      </c>
      <c r="D305" s="25" t="s">
        <v>40</v>
      </c>
    </row>
    <row r="306" spans="1:4" x14ac:dyDescent="0.2">
      <c r="A306" s="24" t="s">
        <v>914</v>
      </c>
      <c r="B306" s="25" t="s">
        <v>915</v>
      </c>
      <c r="C306" s="25" t="s">
        <v>916</v>
      </c>
      <c r="D306" s="25" t="s">
        <v>40</v>
      </c>
    </row>
    <row r="307" spans="1:4" x14ac:dyDescent="0.2">
      <c r="A307" s="24" t="s">
        <v>917</v>
      </c>
      <c r="B307" s="25" t="s">
        <v>918</v>
      </c>
      <c r="C307" s="25" t="s">
        <v>919</v>
      </c>
      <c r="D307" s="25" t="s">
        <v>40</v>
      </c>
    </row>
    <row r="308" spans="1:4" x14ac:dyDescent="0.2">
      <c r="A308" s="24" t="s">
        <v>920</v>
      </c>
      <c r="B308" s="25" t="s">
        <v>921</v>
      </c>
      <c r="C308" s="25" t="s">
        <v>922</v>
      </c>
      <c r="D308" s="25" t="s">
        <v>40</v>
      </c>
    </row>
    <row r="309" spans="1:4" x14ac:dyDescent="0.2">
      <c r="A309" s="24" t="s">
        <v>923</v>
      </c>
      <c r="B309" s="25" t="s">
        <v>924</v>
      </c>
      <c r="C309" s="25" t="s">
        <v>925</v>
      </c>
      <c r="D309" s="25" t="s">
        <v>40</v>
      </c>
    </row>
    <row r="310" spans="1:4" x14ac:dyDescent="0.2">
      <c r="A310" s="24" t="s">
        <v>926</v>
      </c>
      <c r="B310" s="25" t="s">
        <v>927</v>
      </c>
      <c r="C310" s="25" t="s">
        <v>928</v>
      </c>
      <c r="D310" s="25" t="s">
        <v>40</v>
      </c>
    </row>
    <row r="311" spans="1:4" x14ac:dyDescent="0.2">
      <c r="A311" s="24" t="s">
        <v>929</v>
      </c>
      <c r="B311" s="25" t="s">
        <v>930</v>
      </c>
      <c r="C311" s="25" t="s">
        <v>931</v>
      </c>
      <c r="D311" s="25" t="s">
        <v>40</v>
      </c>
    </row>
    <row r="312" spans="1:4" x14ac:dyDescent="0.2">
      <c r="A312" s="24" t="s">
        <v>932</v>
      </c>
      <c r="B312" s="25" t="s">
        <v>933</v>
      </c>
      <c r="C312" s="25" t="s">
        <v>934</v>
      </c>
      <c r="D312" s="25" t="s">
        <v>40</v>
      </c>
    </row>
    <row r="313" spans="1:4" x14ac:dyDescent="0.2">
      <c r="A313" s="24" t="s">
        <v>935</v>
      </c>
      <c r="B313" s="25" t="s">
        <v>936</v>
      </c>
      <c r="C313" s="25" t="s">
        <v>937</v>
      </c>
      <c r="D313" s="25" t="s">
        <v>40</v>
      </c>
    </row>
    <row r="314" spans="1:4" x14ac:dyDescent="0.2">
      <c r="A314" s="24" t="s">
        <v>938</v>
      </c>
      <c r="B314" s="25" t="s">
        <v>939</v>
      </c>
      <c r="C314" s="25" t="s">
        <v>940</v>
      </c>
      <c r="D314" s="25" t="s">
        <v>40</v>
      </c>
    </row>
    <row r="315" spans="1:4" x14ac:dyDescent="0.2">
      <c r="A315" s="24" t="s">
        <v>941</v>
      </c>
      <c r="B315" s="25" t="s">
        <v>942</v>
      </c>
      <c r="C315" s="25" t="s">
        <v>943</v>
      </c>
      <c r="D315" s="25" t="s">
        <v>40</v>
      </c>
    </row>
    <row r="316" spans="1:4" x14ac:dyDescent="0.2">
      <c r="A316" s="24" t="s">
        <v>944</v>
      </c>
      <c r="B316" s="25" t="s">
        <v>945</v>
      </c>
      <c r="C316" s="25" t="s">
        <v>946</v>
      </c>
      <c r="D316" s="25" t="s">
        <v>40</v>
      </c>
    </row>
    <row r="317" spans="1:4" x14ac:dyDescent="0.2">
      <c r="A317" s="24" t="s">
        <v>947</v>
      </c>
      <c r="B317" s="25" t="s">
        <v>948</v>
      </c>
      <c r="C317" s="25" t="s">
        <v>949</v>
      </c>
      <c r="D317" s="25" t="s">
        <v>40</v>
      </c>
    </row>
    <row r="318" spans="1:4" x14ac:dyDescent="0.2">
      <c r="A318" s="24" t="s">
        <v>950</v>
      </c>
      <c r="B318" s="25" t="s">
        <v>951</v>
      </c>
      <c r="C318" s="25" t="s">
        <v>952</v>
      </c>
      <c r="D318" s="25" t="s">
        <v>40</v>
      </c>
    </row>
    <row r="319" spans="1:4" x14ac:dyDescent="0.2">
      <c r="A319" s="24" t="s">
        <v>953</v>
      </c>
      <c r="B319" s="25" t="s">
        <v>954</v>
      </c>
      <c r="C319" s="25" t="s">
        <v>955</v>
      </c>
      <c r="D319" s="25" t="s">
        <v>40</v>
      </c>
    </row>
    <row r="320" spans="1:4" x14ac:dyDescent="0.2">
      <c r="A320" s="24" t="s">
        <v>956</v>
      </c>
      <c r="B320" s="25" t="s">
        <v>957</v>
      </c>
      <c r="C320" s="25" t="s">
        <v>958</v>
      </c>
      <c r="D320" s="25" t="s">
        <v>40</v>
      </c>
    </row>
    <row r="321" spans="1:4" x14ac:dyDescent="0.2">
      <c r="A321" s="24" t="s">
        <v>959</v>
      </c>
      <c r="B321" s="25" t="s">
        <v>960</v>
      </c>
      <c r="C321" s="25" t="s">
        <v>961</v>
      </c>
      <c r="D321" s="25" t="s">
        <v>40</v>
      </c>
    </row>
    <row r="322" spans="1:4" x14ac:dyDescent="0.2">
      <c r="A322" s="24" t="s">
        <v>962</v>
      </c>
      <c r="B322" s="25" t="s">
        <v>963</v>
      </c>
      <c r="C322" s="25" t="s">
        <v>964</v>
      </c>
      <c r="D322" s="25" t="s">
        <v>40</v>
      </c>
    </row>
    <row r="323" spans="1:4" x14ac:dyDescent="0.2">
      <c r="A323" s="24" t="s">
        <v>965</v>
      </c>
      <c r="B323" s="25" t="s">
        <v>966</v>
      </c>
      <c r="C323" s="25" t="s">
        <v>967</v>
      </c>
      <c r="D323" s="25" t="s">
        <v>40</v>
      </c>
    </row>
    <row r="324" spans="1:4" x14ac:dyDescent="0.2">
      <c r="A324" s="24" t="s">
        <v>968</v>
      </c>
      <c r="B324" s="25" t="s">
        <v>969</v>
      </c>
      <c r="C324" s="25" t="s">
        <v>970</v>
      </c>
      <c r="D324" s="25" t="s">
        <v>40</v>
      </c>
    </row>
    <row r="325" spans="1:4" x14ac:dyDescent="0.2">
      <c r="A325" s="24" t="s">
        <v>971</v>
      </c>
      <c r="B325" s="25" t="s">
        <v>972</v>
      </c>
      <c r="C325" s="25" t="s">
        <v>973</v>
      </c>
      <c r="D325" s="25" t="s">
        <v>40</v>
      </c>
    </row>
    <row r="326" spans="1:4" x14ac:dyDescent="0.2">
      <c r="A326" s="24" t="s">
        <v>974</v>
      </c>
      <c r="B326" s="25" t="s">
        <v>975</v>
      </c>
      <c r="C326" s="25" t="s">
        <v>976</v>
      </c>
      <c r="D326" s="25" t="s">
        <v>40</v>
      </c>
    </row>
    <row r="327" spans="1:4" x14ac:dyDescent="0.2">
      <c r="A327" s="24" t="s">
        <v>977</v>
      </c>
      <c r="B327" s="25" t="s">
        <v>978</v>
      </c>
      <c r="C327" s="25" t="s">
        <v>979</v>
      </c>
      <c r="D327" s="25" t="s">
        <v>40</v>
      </c>
    </row>
    <row r="328" spans="1:4" x14ac:dyDescent="0.2">
      <c r="A328" s="24" t="s">
        <v>980</v>
      </c>
      <c r="B328" s="25" t="s">
        <v>981</v>
      </c>
      <c r="C328" s="25" t="s">
        <v>982</v>
      </c>
      <c r="D328" s="25" t="s">
        <v>40</v>
      </c>
    </row>
    <row r="329" spans="1:4" x14ac:dyDescent="0.2">
      <c r="A329" s="24" t="s">
        <v>983</v>
      </c>
      <c r="B329" s="25" t="s">
        <v>984</v>
      </c>
      <c r="C329" s="25" t="s">
        <v>985</v>
      </c>
      <c r="D329" s="25" t="s">
        <v>40</v>
      </c>
    </row>
    <row r="330" spans="1:4" x14ac:dyDescent="0.2">
      <c r="A330" s="24" t="s">
        <v>986</v>
      </c>
      <c r="B330" s="25" t="s">
        <v>987</v>
      </c>
      <c r="C330" s="25" t="s">
        <v>988</v>
      </c>
      <c r="D330" s="25" t="s">
        <v>40</v>
      </c>
    </row>
    <row r="331" spans="1:4" x14ac:dyDescent="0.2">
      <c r="A331" s="24" t="s">
        <v>989</v>
      </c>
      <c r="B331" s="25" t="s">
        <v>990</v>
      </c>
      <c r="C331" s="25" t="s">
        <v>991</v>
      </c>
      <c r="D331" s="25" t="s">
        <v>40</v>
      </c>
    </row>
    <row r="332" spans="1:4" x14ac:dyDescent="0.2">
      <c r="A332" s="24" t="s">
        <v>992</v>
      </c>
      <c r="B332" s="25" t="s">
        <v>993</v>
      </c>
      <c r="C332" s="25" t="s">
        <v>994</v>
      </c>
      <c r="D332" s="25" t="s">
        <v>40</v>
      </c>
    </row>
    <row r="333" spans="1:4" x14ac:dyDescent="0.2">
      <c r="A333" s="24" t="s">
        <v>995</v>
      </c>
      <c r="B333" s="25" t="s">
        <v>996</v>
      </c>
      <c r="C333" s="25" t="s">
        <v>997</v>
      </c>
      <c r="D333" s="25" t="s">
        <v>40</v>
      </c>
    </row>
    <row r="334" spans="1:4" x14ac:dyDescent="0.2">
      <c r="A334" s="24" t="s">
        <v>998</v>
      </c>
      <c r="B334" s="25" t="s">
        <v>999</v>
      </c>
      <c r="C334" s="25" t="s">
        <v>1000</v>
      </c>
      <c r="D334" s="25" t="s">
        <v>40</v>
      </c>
    </row>
    <row r="335" spans="1:4" x14ac:dyDescent="0.2">
      <c r="A335" s="24" t="s">
        <v>1001</v>
      </c>
      <c r="B335" s="25" t="s">
        <v>1002</v>
      </c>
      <c r="C335" s="25" t="s">
        <v>1003</v>
      </c>
      <c r="D335" s="25" t="s">
        <v>40</v>
      </c>
    </row>
    <row r="336" spans="1:4" x14ac:dyDescent="0.2">
      <c r="A336" s="24" t="s">
        <v>1004</v>
      </c>
      <c r="B336" s="25" t="s">
        <v>1005</v>
      </c>
      <c r="C336" s="25" t="s">
        <v>1006</v>
      </c>
      <c r="D336" s="25" t="s">
        <v>40</v>
      </c>
    </row>
    <row r="337" spans="1:4" x14ac:dyDescent="0.2">
      <c r="A337" s="24" t="s">
        <v>1007</v>
      </c>
      <c r="B337" s="25" t="s">
        <v>1008</v>
      </c>
      <c r="C337" s="25" t="s">
        <v>1009</v>
      </c>
      <c r="D337" s="25" t="s">
        <v>40</v>
      </c>
    </row>
    <row r="338" spans="1:4" x14ac:dyDescent="0.2">
      <c r="A338" s="24" t="s">
        <v>1010</v>
      </c>
      <c r="B338" s="25" t="s">
        <v>1011</v>
      </c>
      <c r="C338" s="25" t="s">
        <v>1012</v>
      </c>
      <c r="D338" s="25" t="s">
        <v>40</v>
      </c>
    </row>
    <row r="339" spans="1:4" x14ac:dyDescent="0.2">
      <c r="A339" s="24" t="s">
        <v>1013</v>
      </c>
      <c r="B339" s="25" t="s">
        <v>1014</v>
      </c>
      <c r="C339" s="25" t="s">
        <v>1015</v>
      </c>
      <c r="D339" s="25" t="s">
        <v>40</v>
      </c>
    </row>
    <row r="340" spans="1:4" x14ac:dyDescent="0.2">
      <c r="A340" s="24" t="s">
        <v>1016</v>
      </c>
      <c r="B340" s="25" t="s">
        <v>1017</v>
      </c>
      <c r="C340" s="25" t="s">
        <v>1018</v>
      </c>
      <c r="D340" s="25" t="s">
        <v>40</v>
      </c>
    </row>
    <row r="341" spans="1:4" x14ac:dyDescent="0.2">
      <c r="A341" s="24" t="s">
        <v>1019</v>
      </c>
      <c r="B341" s="25" t="s">
        <v>1020</v>
      </c>
      <c r="C341" s="25" t="s">
        <v>1021</v>
      </c>
      <c r="D341" s="25" t="s">
        <v>40</v>
      </c>
    </row>
    <row r="342" spans="1:4" x14ac:dyDescent="0.2">
      <c r="A342" s="24" t="s">
        <v>1022</v>
      </c>
      <c r="B342" s="25" t="s">
        <v>1023</v>
      </c>
      <c r="C342" s="25" t="s">
        <v>1024</v>
      </c>
      <c r="D342" s="25" t="s">
        <v>40</v>
      </c>
    </row>
    <row r="343" spans="1:4" x14ac:dyDescent="0.2">
      <c r="A343" s="24" t="s">
        <v>1025</v>
      </c>
      <c r="B343" s="25" t="s">
        <v>1026</v>
      </c>
      <c r="C343" s="25" t="s">
        <v>1027</v>
      </c>
      <c r="D343" s="25" t="s">
        <v>40</v>
      </c>
    </row>
    <row r="344" spans="1:4" x14ac:dyDescent="0.2">
      <c r="A344" s="24" t="s">
        <v>1028</v>
      </c>
      <c r="B344" s="25" t="s">
        <v>1029</v>
      </c>
      <c r="C344" s="25" t="s">
        <v>1030</v>
      </c>
      <c r="D344" s="25" t="s">
        <v>40</v>
      </c>
    </row>
    <row r="345" spans="1:4" x14ac:dyDescent="0.2">
      <c r="A345" s="24" t="s">
        <v>1031</v>
      </c>
      <c r="B345" s="25" t="s">
        <v>1032</v>
      </c>
      <c r="C345" s="25" t="s">
        <v>1033</v>
      </c>
      <c r="D345" s="25" t="s">
        <v>40</v>
      </c>
    </row>
    <row r="346" spans="1:4" x14ac:dyDescent="0.2">
      <c r="A346" s="24" t="s">
        <v>1034</v>
      </c>
      <c r="B346" s="25" t="s">
        <v>1035</v>
      </c>
      <c r="C346" s="25" t="s">
        <v>1036</v>
      </c>
      <c r="D346" s="25" t="s">
        <v>40</v>
      </c>
    </row>
    <row r="347" spans="1:4" x14ac:dyDescent="0.2">
      <c r="A347" s="24" t="s">
        <v>1037</v>
      </c>
      <c r="B347" s="25" t="s">
        <v>1038</v>
      </c>
      <c r="C347" s="25" t="s">
        <v>1039</v>
      </c>
      <c r="D347" s="25" t="s">
        <v>40</v>
      </c>
    </row>
    <row r="348" spans="1:4" x14ac:dyDescent="0.2">
      <c r="A348" s="24" t="s">
        <v>1040</v>
      </c>
      <c r="B348" s="25" t="s">
        <v>1041</v>
      </c>
      <c r="C348" s="25" t="s">
        <v>1042</v>
      </c>
      <c r="D348" s="25" t="s">
        <v>40</v>
      </c>
    </row>
    <row r="349" spans="1:4" x14ac:dyDescent="0.2">
      <c r="A349" s="24" t="s">
        <v>1043</v>
      </c>
      <c r="B349" s="25" t="s">
        <v>1044</v>
      </c>
      <c r="C349" s="25" t="s">
        <v>1045</v>
      </c>
      <c r="D349" s="25" t="s">
        <v>40</v>
      </c>
    </row>
    <row r="350" spans="1:4" x14ac:dyDescent="0.2">
      <c r="A350" s="24" t="s">
        <v>1046</v>
      </c>
      <c r="B350" s="25" t="s">
        <v>1047</v>
      </c>
      <c r="C350" s="25" t="s">
        <v>1048</v>
      </c>
      <c r="D350" s="25" t="s">
        <v>40</v>
      </c>
    </row>
    <row r="351" spans="1:4" x14ac:dyDescent="0.2">
      <c r="A351" s="24" t="s">
        <v>1049</v>
      </c>
      <c r="B351" s="25" t="s">
        <v>1050</v>
      </c>
      <c r="C351" s="25" t="s">
        <v>1051</v>
      </c>
      <c r="D351" s="25" t="s">
        <v>40</v>
      </c>
    </row>
    <row r="352" spans="1:4" x14ac:dyDescent="0.2">
      <c r="A352" s="24" t="s">
        <v>1052</v>
      </c>
      <c r="B352" s="25" t="s">
        <v>1053</v>
      </c>
      <c r="C352" s="25" t="s">
        <v>1054</v>
      </c>
      <c r="D352" s="25" t="s">
        <v>40</v>
      </c>
    </row>
    <row r="353" spans="1:4" x14ac:dyDescent="0.2">
      <c r="A353" s="24" t="s">
        <v>1055</v>
      </c>
      <c r="B353" s="25" t="s">
        <v>1056</v>
      </c>
      <c r="C353" s="25" t="s">
        <v>1057</v>
      </c>
      <c r="D353" s="25" t="s">
        <v>40</v>
      </c>
    </row>
    <row r="354" spans="1:4" x14ac:dyDescent="0.2">
      <c r="A354" s="24" t="s">
        <v>1058</v>
      </c>
      <c r="B354" s="25" t="s">
        <v>1059</v>
      </c>
      <c r="C354" s="25" t="s">
        <v>1060</v>
      </c>
      <c r="D354" s="25" t="s">
        <v>40</v>
      </c>
    </row>
    <row r="355" spans="1:4" x14ac:dyDescent="0.2">
      <c r="A355" s="24" t="s">
        <v>1061</v>
      </c>
      <c r="B355" s="25" t="s">
        <v>1062</v>
      </c>
      <c r="C355" s="25" t="s">
        <v>1063</v>
      </c>
      <c r="D355" s="25" t="s">
        <v>40</v>
      </c>
    </row>
    <row r="356" spans="1:4" x14ac:dyDescent="0.2">
      <c r="A356" s="24" t="s">
        <v>1064</v>
      </c>
      <c r="B356" s="25" t="s">
        <v>1065</v>
      </c>
      <c r="C356" s="25" t="s">
        <v>1066</v>
      </c>
      <c r="D356" s="25" t="s">
        <v>40</v>
      </c>
    </row>
    <row r="357" spans="1:4" x14ac:dyDescent="0.2">
      <c r="A357" s="24" t="s">
        <v>1067</v>
      </c>
      <c r="B357" s="25" t="s">
        <v>1068</v>
      </c>
      <c r="C357" s="25" t="s">
        <v>1069</v>
      </c>
      <c r="D357" s="25" t="s">
        <v>40</v>
      </c>
    </row>
    <row r="358" spans="1:4" x14ac:dyDescent="0.2">
      <c r="A358" s="24" t="s">
        <v>1070</v>
      </c>
      <c r="B358" s="25" t="s">
        <v>1071</v>
      </c>
      <c r="C358" s="25" t="s">
        <v>1072</v>
      </c>
      <c r="D358" s="25" t="s">
        <v>40</v>
      </c>
    </row>
    <row r="359" spans="1:4" x14ac:dyDescent="0.2">
      <c r="A359" s="24" t="s">
        <v>1073</v>
      </c>
      <c r="B359" s="25" t="s">
        <v>1074</v>
      </c>
      <c r="C359" s="25" t="s">
        <v>1075</v>
      </c>
      <c r="D359" s="25" t="s">
        <v>40</v>
      </c>
    </row>
    <row r="360" spans="1:4" x14ac:dyDescent="0.2">
      <c r="A360" s="24" t="s">
        <v>1076</v>
      </c>
      <c r="B360" s="25" t="s">
        <v>1077</v>
      </c>
      <c r="C360" s="25" t="s">
        <v>1078</v>
      </c>
      <c r="D360" s="25" t="s">
        <v>40</v>
      </c>
    </row>
    <row r="361" spans="1:4" x14ac:dyDescent="0.2">
      <c r="A361" s="24" t="s">
        <v>1079</v>
      </c>
      <c r="B361" s="25" t="s">
        <v>1080</v>
      </c>
      <c r="C361" s="25" t="s">
        <v>1081</v>
      </c>
      <c r="D361" s="25" t="s">
        <v>40</v>
      </c>
    </row>
    <row r="362" spans="1:4" x14ac:dyDescent="0.2">
      <c r="A362" s="24" t="s">
        <v>1082</v>
      </c>
      <c r="B362" s="25" t="s">
        <v>1083</v>
      </c>
      <c r="C362" s="25" t="s">
        <v>1084</v>
      </c>
      <c r="D362" s="25" t="s">
        <v>40</v>
      </c>
    </row>
    <row r="363" spans="1:4" x14ac:dyDescent="0.2">
      <c r="A363" s="24" t="s">
        <v>1085</v>
      </c>
      <c r="B363" s="25" t="s">
        <v>1086</v>
      </c>
      <c r="C363" s="25" t="s">
        <v>1087</v>
      </c>
      <c r="D363" s="25" t="s">
        <v>40</v>
      </c>
    </row>
    <row r="364" spans="1:4" x14ac:dyDescent="0.2">
      <c r="A364" s="24" t="s">
        <v>1088</v>
      </c>
      <c r="B364" s="25" t="s">
        <v>1089</v>
      </c>
      <c r="C364" s="25" t="s">
        <v>1090</v>
      </c>
      <c r="D364" s="25" t="s">
        <v>40</v>
      </c>
    </row>
    <row r="365" spans="1:4" x14ac:dyDescent="0.2">
      <c r="A365" s="24" t="s">
        <v>1091</v>
      </c>
      <c r="B365" s="25" t="s">
        <v>1092</v>
      </c>
      <c r="C365" s="25" t="s">
        <v>1093</v>
      </c>
      <c r="D365" s="25" t="s">
        <v>40</v>
      </c>
    </row>
    <row r="366" spans="1:4" x14ac:dyDescent="0.2">
      <c r="A366" s="24" t="s">
        <v>1094</v>
      </c>
      <c r="B366" s="25" t="s">
        <v>1095</v>
      </c>
      <c r="C366" s="25" t="s">
        <v>1096</v>
      </c>
      <c r="D366" s="25" t="s">
        <v>40</v>
      </c>
    </row>
    <row r="367" spans="1:4" x14ac:dyDescent="0.2">
      <c r="A367" s="24" t="s">
        <v>1097</v>
      </c>
      <c r="B367" s="25" t="s">
        <v>1098</v>
      </c>
      <c r="C367" s="25" t="s">
        <v>1099</v>
      </c>
      <c r="D367" s="25" t="s">
        <v>40</v>
      </c>
    </row>
    <row r="368" spans="1:4" x14ac:dyDescent="0.2">
      <c r="A368" s="24" t="s">
        <v>1100</v>
      </c>
      <c r="B368" s="25" t="s">
        <v>1101</v>
      </c>
      <c r="C368" s="25" t="s">
        <v>1102</v>
      </c>
      <c r="D368" s="25" t="s">
        <v>40</v>
      </c>
    </row>
    <row r="369" spans="1:4" x14ac:dyDescent="0.2">
      <c r="A369" s="24" t="s">
        <v>1103</v>
      </c>
      <c r="B369" s="25" t="s">
        <v>1104</v>
      </c>
      <c r="C369" s="25" t="s">
        <v>1105</v>
      </c>
      <c r="D369" s="25" t="s">
        <v>40</v>
      </c>
    </row>
    <row r="370" spans="1:4" x14ac:dyDescent="0.2">
      <c r="A370" s="24" t="s">
        <v>1106</v>
      </c>
      <c r="B370" s="25" t="s">
        <v>1107</v>
      </c>
      <c r="C370" s="25" t="s">
        <v>1108</v>
      </c>
      <c r="D370" s="25" t="s">
        <v>40</v>
      </c>
    </row>
    <row r="371" spans="1:4" x14ac:dyDescent="0.2">
      <c r="A371" s="24" t="s">
        <v>1109</v>
      </c>
      <c r="B371" s="25" t="s">
        <v>1110</v>
      </c>
      <c r="C371" s="25" t="s">
        <v>1111</v>
      </c>
      <c r="D371" s="25" t="s">
        <v>40</v>
      </c>
    </row>
    <row r="372" spans="1:4" x14ac:dyDescent="0.2">
      <c r="A372" s="24" t="s">
        <v>1112</v>
      </c>
      <c r="B372" s="25" t="s">
        <v>1113</v>
      </c>
      <c r="C372" s="25" t="s">
        <v>1114</v>
      </c>
      <c r="D372" s="25" t="s">
        <v>40</v>
      </c>
    </row>
    <row r="373" spans="1:4" x14ac:dyDescent="0.2">
      <c r="A373" s="24" t="s">
        <v>1115</v>
      </c>
      <c r="B373" s="25" t="s">
        <v>1116</v>
      </c>
      <c r="C373" s="25" t="s">
        <v>1117</v>
      </c>
      <c r="D373" s="25" t="s">
        <v>40</v>
      </c>
    </row>
    <row r="374" spans="1:4" x14ac:dyDescent="0.2">
      <c r="A374" s="24" t="s">
        <v>1118</v>
      </c>
      <c r="B374" s="25" t="s">
        <v>1119</v>
      </c>
      <c r="C374" s="25" t="s">
        <v>1120</v>
      </c>
      <c r="D374" s="25" t="s">
        <v>40</v>
      </c>
    </row>
    <row r="375" spans="1:4" x14ac:dyDescent="0.2">
      <c r="A375" s="24" t="s">
        <v>1121</v>
      </c>
      <c r="B375" s="25" t="s">
        <v>1122</v>
      </c>
      <c r="C375" s="25" t="s">
        <v>1123</v>
      </c>
      <c r="D375" s="25" t="s">
        <v>40</v>
      </c>
    </row>
    <row r="376" spans="1:4" x14ac:dyDescent="0.2">
      <c r="A376" s="24" t="s">
        <v>1124</v>
      </c>
      <c r="B376" s="25" t="s">
        <v>1125</v>
      </c>
      <c r="C376" s="25" t="s">
        <v>1126</v>
      </c>
      <c r="D376" s="25" t="s">
        <v>40</v>
      </c>
    </row>
    <row r="377" spans="1:4" x14ac:dyDescent="0.2">
      <c r="A377" s="24" t="s">
        <v>1127</v>
      </c>
      <c r="B377" s="25" t="s">
        <v>1128</v>
      </c>
      <c r="C377" s="25" t="s">
        <v>1129</v>
      </c>
      <c r="D377" s="25" t="s">
        <v>40</v>
      </c>
    </row>
    <row r="378" spans="1:4" x14ac:dyDescent="0.2">
      <c r="A378" s="24" t="s">
        <v>1130</v>
      </c>
      <c r="B378" s="25" t="s">
        <v>1131</v>
      </c>
      <c r="C378" s="25" t="s">
        <v>1131</v>
      </c>
      <c r="D378" s="25" t="s">
        <v>1132</v>
      </c>
    </row>
    <row r="379" spans="1:4" x14ac:dyDescent="0.2">
      <c r="A379" s="24" t="s">
        <v>1133</v>
      </c>
      <c r="B379" s="25" t="s">
        <v>1134</v>
      </c>
      <c r="C379" s="25" t="s">
        <v>1135</v>
      </c>
      <c r="D379" s="25" t="s">
        <v>1132</v>
      </c>
    </row>
    <row r="380" spans="1:4" x14ac:dyDescent="0.2">
      <c r="A380" s="24" t="s">
        <v>1136</v>
      </c>
      <c r="B380" s="25" t="s">
        <v>1137</v>
      </c>
      <c r="C380" s="25" t="s">
        <v>1138</v>
      </c>
      <c r="D380" s="25" t="s">
        <v>1132</v>
      </c>
    </row>
    <row r="381" spans="1:4" x14ac:dyDescent="0.2">
      <c r="A381" s="24" t="s">
        <v>1139</v>
      </c>
      <c r="B381" s="25" t="s">
        <v>1140</v>
      </c>
      <c r="C381" s="25" t="s">
        <v>1141</v>
      </c>
      <c r="D381" s="25" t="s">
        <v>1132</v>
      </c>
    </row>
    <row r="382" spans="1:4" x14ac:dyDescent="0.2">
      <c r="A382" s="24" t="s">
        <v>1142</v>
      </c>
      <c r="B382" s="25" t="s">
        <v>1138</v>
      </c>
      <c r="C382" s="25" t="s">
        <v>1143</v>
      </c>
      <c r="D382" s="25" t="s">
        <v>1132</v>
      </c>
    </row>
    <row r="383" spans="1:4" x14ac:dyDescent="0.2">
      <c r="A383" s="24" t="s">
        <v>1144</v>
      </c>
      <c r="B383" s="25" t="s">
        <v>1145</v>
      </c>
      <c r="C383" s="25" t="s">
        <v>1146</v>
      </c>
      <c r="D383" s="25" t="s">
        <v>1132</v>
      </c>
    </row>
    <row r="384" spans="1:4" x14ac:dyDescent="0.2">
      <c r="A384" s="24" t="s">
        <v>1147</v>
      </c>
      <c r="B384" s="25" t="s">
        <v>1148</v>
      </c>
      <c r="C384" s="25" t="s">
        <v>1149</v>
      </c>
      <c r="D384" s="25" t="s">
        <v>1132</v>
      </c>
    </row>
    <row r="385" spans="1:4" x14ac:dyDescent="0.2">
      <c r="A385" s="24" t="s">
        <v>1150</v>
      </c>
      <c r="B385" s="25" t="s">
        <v>1151</v>
      </c>
      <c r="C385" s="25" t="s">
        <v>1152</v>
      </c>
      <c r="D385" s="25" t="s">
        <v>1132</v>
      </c>
    </row>
    <row r="386" spans="1:4" x14ac:dyDescent="0.2">
      <c r="A386" s="24" t="s">
        <v>1153</v>
      </c>
      <c r="B386" s="25" t="s">
        <v>1143</v>
      </c>
      <c r="C386" s="25" t="s">
        <v>1154</v>
      </c>
      <c r="D386" s="25" t="s">
        <v>1132</v>
      </c>
    </row>
    <row r="387" spans="1:4" x14ac:dyDescent="0.2">
      <c r="A387" s="24" t="s">
        <v>1155</v>
      </c>
      <c r="B387" s="25" t="s">
        <v>1156</v>
      </c>
      <c r="C387" s="25" t="s">
        <v>1157</v>
      </c>
      <c r="D387" s="25" t="s">
        <v>1132</v>
      </c>
    </row>
    <row r="388" spans="1:4" x14ac:dyDescent="0.2">
      <c r="A388" s="24" t="s">
        <v>1158</v>
      </c>
      <c r="B388" s="25" t="s">
        <v>1159</v>
      </c>
      <c r="C388" s="25" t="s">
        <v>1160</v>
      </c>
      <c r="D388" s="25" t="s">
        <v>1132</v>
      </c>
    </row>
    <row r="389" spans="1:4" x14ac:dyDescent="0.2">
      <c r="A389" s="24" t="s">
        <v>1161</v>
      </c>
      <c r="B389" s="25" t="s">
        <v>1162</v>
      </c>
      <c r="C389" s="25" t="s">
        <v>1163</v>
      </c>
      <c r="D389" s="25" t="s">
        <v>1132</v>
      </c>
    </row>
    <row r="390" spans="1:4" x14ac:dyDescent="0.2">
      <c r="A390" s="24" t="s">
        <v>1164</v>
      </c>
      <c r="B390" s="25" t="s">
        <v>1149</v>
      </c>
      <c r="C390" s="25" t="s">
        <v>1165</v>
      </c>
      <c r="D390" s="25" t="s">
        <v>1132</v>
      </c>
    </row>
  </sheetData>
  <mergeCells count="4">
    <mergeCell ref="A3:D3"/>
    <mergeCell ref="A4:D4"/>
    <mergeCell ref="A5:D5"/>
    <mergeCell ref="A6:D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Proteins</vt:lpstr>
      <vt:lpstr>Corrections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Filipe Menezes</dc:creator>
  <dc:description/>
  <cp:lastModifiedBy>Dr Filipe Menezes</cp:lastModifiedBy>
  <cp:revision>1</cp:revision>
  <dcterms:created xsi:type="dcterms:W3CDTF">2023-04-12T21:19:53Z</dcterms:created>
  <dcterms:modified xsi:type="dcterms:W3CDTF">2026-10-09T22:27:32Z</dcterms:modified>
  <dc:language>en-US</dc:language>
</cp:coreProperties>
</file>