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HPO4" sheetId="1" state="visible" r:id="rId3"/>
    <sheet name="Corrections log" sheetId="2" state="visible" r:id="rId4"/>
  </sheets>
  <definedNames>
    <definedName function="false" hidden="true" name="_xlchart.v1.0" vbProcedure="false">NaHPO4!$I$13:$I$21</definedName>
    <definedName function="false" hidden="true" name="_xlchart.v1.1" vbProcedure="false">NaHPO4!$I$22:$I$30</definedName>
    <definedName function="false" hidden="true" name="_xlchart.v1.10" vbProcedure="false">NaHPO4!$Z$22:$Z$30</definedName>
    <definedName function="false" hidden="true" name="_xlchart.v1.11" vbProcedure="false">NaHPO4!$Z$4:$Z$12</definedName>
    <definedName function="false" hidden="true" name="_xlchart.v1.2" vbProcedure="false">NaHPO4!$I$4:$I$12</definedName>
    <definedName function="false" hidden="true" name="_xlchart.v1.3" vbProcedure="false">NaHPO4!$Z$13:$Z$21</definedName>
    <definedName function="false" hidden="true" name="_xlchart.v1.4" vbProcedure="false">NaHPO4!$Z$22:$Z$30</definedName>
    <definedName function="false" hidden="true" name="_xlchart.v1.5" vbProcedure="false">NaHPO4!$Z$4:$Z$12</definedName>
    <definedName function="false" hidden="true" name="_xlchart.v1.6" vbProcedure="false">NaHPO4!$I$13:$I$21</definedName>
    <definedName function="false" hidden="true" name="_xlchart.v1.7" vbProcedure="false">NaHPO4!$I$22:$I$30</definedName>
    <definedName function="false" hidden="true" name="_xlchart.v1.8" vbProcedure="false">NaHPO4!$I$4:$I$12</definedName>
    <definedName function="false" hidden="true" name="_xlchart.v1.9" vbProcedure="false">NaHPO4!$Z$13:$Z$21</definedName>
    <definedName function="false" hidden="true" localSheetId="0" name="solver_adj" vbProcedure="false">NaHPO4!$U$5:$U$8</definedName>
    <definedName function="false" hidden="true" localSheetId="0" name="solver_cvg" vbProcedure="false">0.0001</definedName>
    <definedName function="false" hidden="true" localSheetId="0" name="solver_drv" vbProcedure="false">2</definedName>
    <definedName function="false" hidden="true" localSheetId="0" name="solver_eng" vbProcedure="false">1</definedName>
    <definedName function="false" hidden="true" localSheetId="0" name="solver_itr" vbProcedure="false">2147483647</definedName>
    <definedName function="false" hidden="true" localSheetId="0" name="solver_lin" vbProcedure="false">2</definedName>
    <definedName function="false" hidden="true" localSheetId="0" name="solver_mip" vbProcedure="false">2147483647</definedName>
    <definedName function="false" hidden="true" localSheetId="0" name="solver_mni" vbProcedure="false">30</definedName>
    <definedName function="false" hidden="true" localSheetId="0" name="solver_mrt" vbProcedure="false">0.075</definedName>
    <definedName function="false" hidden="true" localSheetId="0" name="solver_msl" vbProcedure="false">2</definedName>
    <definedName function="false" hidden="true" localSheetId="0" name="solver_neg" vbProcedure="false">2</definedName>
    <definedName function="false" hidden="true" localSheetId="0" name="solver_nod" vbProcedure="false">2147483647</definedName>
    <definedName function="false" hidden="true" localSheetId="0" name="solver_num" vbProcedure="false">0</definedName>
    <definedName function="false" hidden="true" localSheetId="0" name="solver_opt" vbProcedure="false">NaHPO4!$U$12</definedName>
    <definedName function="false" hidden="true" localSheetId="0" name="solver_pre" vbProcedure="false">0.000001</definedName>
    <definedName function="false" hidden="true" localSheetId="0" name="solver_rbv" vbProcedure="false">1</definedName>
    <definedName function="false" hidden="true" localSheetId="0" name="solver_rlx" vbProcedure="false">2</definedName>
    <definedName function="false" hidden="true" localSheetId="0" name="solver_rsd" vbProcedure="false">0</definedName>
    <definedName function="false" hidden="true" localSheetId="0" name="solver_scl" vbProcedure="false">1</definedName>
    <definedName function="false" hidden="true" localSheetId="0" name="solver_sho" vbProcedure="false">2</definedName>
    <definedName function="false" hidden="true" localSheetId="0" name="solver_ssz" vbProcedure="false">100</definedName>
    <definedName function="false" hidden="true" localSheetId="0" name="solver_tim" vbProcedure="false">2147483647</definedName>
    <definedName function="false" hidden="true" localSheetId="0" name="solver_tol" vbProcedure="false">0.01</definedName>
    <definedName function="false" hidden="true" localSheetId="0" name="solver_typ" vbProcedure="false">2</definedName>
    <definedName function="false" hidden="true" localSheetId="0" name="solver_val" vbProcedure="false">0</definedName>
    <definedName function="false" hidden="true" localSheetId="0" name="solver_ver" vbProcedure="false">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<sst xmlns="http://schemas.openxmlformats.org/spreadsheetml/2006/main" count="658" uniqueCount="456">
  <si>
    <t xml:space="preserve">R</t>
  </si>
  <si>
    <t xml:space="preserve">T</t>
  </si>
  <si>
    <t xml:space="preserve">pH</t>
  </si>
  <si>
    <t xml:space="preserve">MW (kg/mol)</t>
  </si>
  <si>
    <t xml:space="preserve">MW (g/mol)</t>
  </si>
  <si>
    <t xml:space="preserve">[H3O+]</t>
  </si>
  <si>
    <t xml:space="preserve">[OH-]</t>
  </si>
  <si>
    <t xml:space="preserve">[P] (g/L)</t>
  </si>
  <si>
    <t xml:space="preserve">[P] (mol/L)</t>
  </si>
  <si>
    <t xml:space="preserve">[P] (uM)</t>
  </si>
  <si>
    <t xml:space="preserve">mP (mol/g)</t>
  </si>
  <si>
    <t xml:space="preserve">[Buffer] (mol/L)</t>
  </si>
  <si>
    <t xml:space="preserve">[HC2O4-] (mol/L)</t>
  </si>
  <si>
    <t xml:space="preserve">[C2O4--] (mol/L)</t>
  </si>
  <si>
    <t xml:space="preserve">I (mol/g)</t>
  </si>
  <si>
    <t xml:space="preserve">𝝥 (mmHg)</t>
  </si>
  <si>
    <t xml:space="preserve">𝝥 (Pa)</t>
  </si>
  <si>
    <t xml:space="preserve">𝝥0 (Pa)</t>
  </si>
  <si>
    <t xml:space="preserve">𝝫</t>
  </si>
  <si>
    <t xml:space="preserve">𝝫-1</t>
  </si>
  <si>
    <t xml:space="preserve">𝝫-1 fit</t>
  </si>
  <si>
    <t xml:space="preserve">polynomial</t>
  </si>
  <si>
    <t xml:space="preserve">res</t>
  </si>
  <si>
    <t xml:space="preserve">res2</t>
  </si>
  <si>
    <t xml:space="preserve">𝜸 (m)</t>
  </si>
  <si>
    <t xml:space="preserve">𝜸 Agena (m)</t>
  </si>
  <si>
    <t xml:space="preserve">𝜸 (m) [plotted]</t>
  </si>
  <si>
    <t xml:space="preserve">𝜸 Agena (m) [plotted]</t>
  </si>
  <si>
    <t xml:space="preserve">Partial</t>
  </si>
  <si>
    <t xml:space="preserve">mL/g</t>
  </si>
  <si>
    <t xml:space="preserve">Specific</t>
  </si>
  <si>
    <t xml:space="preserve">10.1016/S0021-9258(17)33347-1</t>
  </si>
  <si>
    <t xml:space="preserve">Volume</t>
  </si>
  <si>
    <t xml:space="preserve">B2 (mL.mol/g.g)</t>
  </si>
  <si>
    <t xml:space="preserve">B2 (mL/g)</t>
  </si>
  <si>
    <t xml:space="preserve">Rho(H2O)</t>
  </si>
  <si>
    <t xml:space="preserve">g/L</t>
  </si>
  <si>
    <t xml:space="preserve">B2 (mL/mol)</t>
  </si>
  <si>
    <t xml:space="preserve">D2 (g/mol)</t>
  </si>
  <si>
    <t xml:space="preserve">MW(NH4+)</t>
  </si>
  <si>
    <t xml:space="preserve">MW(HC2O4-)</t>
  </si>
  <si>
    <t xml:space="preserve">Charge</t>
  </si>
  <si>
    <t xml:space="preserve">MW(C2O4--)</t>
  </si>
  <si>
    <t xml:space="preserve">MW(H3O+)</t>
  </si>
  <si>
    <t xml:space="preserve">MW(OH-)</t>
  </si>
  <si>
    <t xml:space="preserve">pKa2</t>
  </si>
  <si>
    <t xml:space="preserve">Corrections applied to this workbook</t>
  </si>
  <si>
    <t xml:space="preserve">Donnan reference (equation 10): the term (Z m_P)^2/(4 m_S) is exact only for 1:1 electrolytes. For a general electrolyte, the dilute Donnan limit is (Z m_P)^2/(4 I), with I the ionic strength (both on the molal scale); for 1:1 salts I = m_S. The buffer-molality column now holds the ionic strength: I = [H2X-] + 3[HX2-] for the phosphate/sulphate/oxalate buffers.</t>
  </si>
  <si>
    <t xml:space="preserve">Molality: the original water mass per litre, rho_w - c*M - (salt masses), assumes that the solution density equals the density of water, which overestimates the volume of water displaced by the protein by a factor of about 1/(nu*rho_w) = 1.36. The protein term is now rho_w*c*M*nu (nu = protein partial specific volume, cell B5). The salt terms were kept as in the original; note that subtracting salt masses (instead of salt volumes) underestimates the water mass at high salt (by about 20% at 5 M NaCl).</t>
  </si>
  <si>
    <t xml:space="preserve">Molal versus molar scale: the original conversion in the "(c)" columns, gamma_m*rho*18.015/(rho*18.015 + sum c), differs from gamma_m by less than 1e-4, so all plotted activity coefficients are in fact on the molality scale (per kg of water), like the virial (Agena) values. These columns now equal the molal values explicitly and are labelled accordingly. A molar-scale conversion (gamma_c = gamma_m*m*rho_w/c) would require the solution density, which is not available; with the salt-mass approximation used here it would be unreliable at high salt.</t>
  </si>
  <si>
    <t xml:space="preserve">Polynomial fits of phi-1 versus molality were recomputed by linear least squares with the same terms and the same data points as the original Solver fits (points whose residual was set to 0 in the original remain excluded).</t>
  </si>
  <si>
    <t xml:space="preserve">Cell</t>
  </si>
  <si>
    <t xml:space="preserve">Original</t>
  </si>
  <si>
    <t xml:space="preserve">Corrected</t>
  </si>
  <si>
    <t xml:space="preserve">Reason</t>
  </si>
  <si>
    <t xml:space="preserve">J4</t>
  </si>
  <si>
    <t xml:space="preserve">=H4/($B$9 - H4*$AE$3 - L4*($B$11+$B$12) - M4*(2*$B$11+$B$13) - E4*$B$15 - F4*$B$16)</t>
  </si>
  <si>
    <t xml:space="preserve">=H4/($B$9*(1-H4*$AE$3*$B$5/1000) - L4*($B$11+$B$12) - M4*(2*$B$11+$B$13) - E4*$B$15 - F4*$B$16)</t>
  </si>
  <si>
    <t xml:space="preserve">molality: protein term of the water mass uses the partial specific volume, rho_w*(1 - c*M*nu), instead of subtracting the protein mass from rho_w</t>
  </si>
  <si>
    <t xml:space="preserve">N4</t>
  </si>
  <si>
    <t xml:space="preserve">=K4/($B$9 - H4*$AE$3 - L4*($B$11+$B$12) - M4*(2*$B$11+$B$13) - E4*$B$15 - F4*$B$16)</t>
  </si>
  <si>
    <t xml:space="preserve">=K4/($B$9*(1-H4*$AE$3*$B$5/1000) - L4*($B$11+$B$12) - M4*(2*$B$11+$B$13) - E4*$B$15 - F4*$B$16)</t>
  </si>
  <si>
    <t xml:space="preserve">buffer molality: same correction</t>
  </si>
  <si>
    <t xml:space="preserve">J5</t>
  </si>
  <si>
    <t xml:space="preserve">=H5/($B$9 - H5*$AE$3 - L5*($B$11+$B$12) - M5*(2*$B$11+$B$13) - E5*$B$15 - F5*$B$16)</t>
  </si>
  <si>
    <t xml:space="preserve">=H5/($B$9*(1-H5*$AE$3*$B$5/1000) - L5*($B$11+$B$12) - M5*(2*$B$11+$B$13) - E5*$B$15 - F5*$B$16)</t>
  </si>
  <si>
    <t xml:space="preserve">N5</t>
  </si>
  <si>
    <t xml:space="preserve">=K5/($B$9 - H5*$AE$3 - L5*($B$11+$B$12) - M5*(2*$B$11+$B$13) - E5*$B$15 - F5*$B$16)</t>
  </si>
  <si>
    <t xml:space="preserve">=K5/($B$9*(1-H5*$AE$3*$B$5/1000) - L5*($B$11+$B$12) - M5*(2*$B$11+$B$13) - E5*$B$15 - F5*$B$16)</t>
  </si>
  <si>
    <t xml:space="preserve">J6</t>
  </si>
  <si>
    <t xml:space="preserve">=H6/($B$9 - H6*$AE$3 - L6*($B$11+$B$12) - M6*(2*$B$11+$B$13) - E6*$B$15 - F6*$B$16)</t>
  </si>
  <si>
    <t xml:space="preserve">=H6/($B$9*(1-H6*$AE$3*$B$5/1000) - L6*($B$11+$B$12) - M6*(2*$B$11+$B$13) - E6*$B$15 - F6*$B$16)</t>
  </si>
  <si>
    <t xml:space="preserve">N6</t>
  </si>
  <si>
    <t xml:space="preserve">=K6/($B$9 - H6*$AE$3 - L6*($B$11+$B$12) - M6*(2*$B$11+$B$13) - E6*$B$15 - F6*$B$16)</t>
  </si>
  <si>
    <t xml:space="preserve">=K6/($B$9*(1-H6*$AE$3*$B$5/1000) - L6*($B$11+$B$12) - M6*(2*$B$11+$B$13) - E6*$B$15 - F6*$B$16)</t>
  </si>
  <si>
    <t xml:space="preserve">J7</t>
  </si>
  <si>
    <t xml:space="preserve">=H7/($B$9 - H7*$AE$3 - L7*($B$11+$B$12) - M7*(2*$B$11+$B$13) - E7*$B$15 - F7*$B$16)</t>
  </si>
  <si>
    <t xml:space="preserve">=H7/($B$9*(1-H7*$AE$3*$B$5/1000) - L7*($B$11+$B$12) - M7*(2*$B$11+$B$13) - E7*$B$15 - F7*$B$16)</t>
  </si>
  <si>
    <t xml:space="preserve">N7</t>
  </si>
  <si>
    <t xml:space="preserve">=K7/($B$9 - H7*$AE$3 - L7*($B$11+$B$12) - M7*(2*$B$11+$B$13) - E7*$B$15 - F7*$B$16)</t>
  </si>
  <si>
    <t xml:space="preserve">=K7/($B$9*(1-H7*$AE$3*$B$5/1000) - L7*($B$11+$B$12) - M7*(2*$B$11+$B$13) - E7*$B$15 - F7*$B$16)</t>
  </si>
  <si>
    <t xml:space="preserve">J8</t>
  </si>
  <si>
    <t xml:space="preserve">=H8/($B$9 - H8*$AE$3 - L8*($B$11+$B$12) - M8*(2*$B$11+$B$13) - E8*$B$15 - F8*$B$16)</t>
  </si>
  <si>
    <t xml:space="preserve">=H8/($B$9*(1-H8*$AE$3*$B$5/1000) - L8*($B$11+$B$12) - M8*(2*$B$11+$B$13) - E8*$B$15 - F8*$B$16)</t>
  </si>
  <si>
    <t xml:space="preserve">N8</t>
  </si>
  <si>
    <t xml:space="preserve">=K8/($B$9 - H8*$AE$3 - L8*($B$11+$B$12) - M8*(2*$B$11+$B$13) - E8*$B$15 - F8*$B$16)</t>
  </si>
  <si>
    <t xml:space="preserve">=K8/($B$9*(1-H8*$AE$3*$B$5/1000) - L8*($B$11+$B$12) - M8*(2*$B$11+$B$13) - E8*$B$15 - F8*$B$16)</t>
  </si>
  <si>
    <t xml:space="preserve">J9</t>
  </si>
  <si>
    <t xml:space="preserve">=H9/($B$9 - H9*$AE$3 - L9*($B$11+$B$12) - M9*(2*$B$11+$B$13) - E9*$B$15 - F9*$B$16)</t>
  </si>
  <si>
    <t xml:space="preserve">=H9/($B$9*(1-H9*$AE$3*$B$5/1000) - L9*($B$11+$B$12) - M9*(2*$B$11+$B$13) - E9*$B$15 - F9*$B$16)</t>
  </si>
  <si>
    <t xml:space="preserve">N9</t>
  </si>
  <si>
    <t xml:space="preserve">=K9/($B$9 - H9*$AE$3 - L9*($B$11+$B$12) - M9*(2*$B$11+$B$13) - E9*$B$15 - F9*$B$16)</t>
  </si>
  <si>
    <t xml:space="preserve">=K9/($B$9*(1-H9*$AE$3*$B$5/1000) - L9*($B$11+$B$12) - M9*(2*$B$11+$B$13) - E9*$B$15 - F9*$B$16)</t>
  </si>
  <si>
    <t xml:space="preserve">J10</t>
  </si>
  <si>
    <t xml:space="preserve">=H10/($B$9 - H10*$AE$3 - L10*($B$11+$B$12) - M10*(2*$B$11+$B$13) - E10*$B$15 - F10*$B$16)</t>
  </si>
  <si>
    <t xml:space="preserve">=H10/($B$9*(1-H10*$AE$3*$B$5/1000) - L10*($B$11+$B$12) - M10*(2*$B$11+$B$13) - E10*$B$15 - F10*$B$16)</t>
  </si>
  <si>
    <t xml:space="preserve">N10</t>
  </si>
  <si>
    <t xml:space="preserve">=K10/($B$9 - H10*$AE$3 - L10*($B$11+$B$12) - M10*(2*$B$11+$B$13) - E10*$B$15 - F10*$B$16)</t>
  </si>
  <si>
    <t xml:space="preserve">=K10/($B$9*(1-H10*$AE$3*$B$5/1000) - L10*($B$11+$B$12) - M10*(2*$B$11+$B$13) - E10*$B$15 - F10*$B$16)</t>
  </si>
  <si>
    <t xml:space="preserve">J11</t>
  </si>
  <si>
    <t xml:space="preserve">=H11/($B$9 - H11*$AE$3 - L11*($B$11+$B$12) - M11*(2*$B$11+$B$13) - E11*$B$15 - F11*$B$16)</t>
  </si>
  <si>
    <t xml:space="preserve">=H11/($B$9*(1-H11*$AE$3*$B$5/1000) - L11*($B$11+$B$12) - M11*(2*$B$11+$B$13) - E11*$B$15 - F11*$B$16)</t>
  </si>
  <si>
    <t xml:space="preserve">N11</t>
  </si>
  <si>
    <t xml:space="preserve">=K11/($B$9 - H11*$AE$3 - L11*($B$11+$B$12) - M11*(2*$B$11+$B$13) - E11*$B$15 - F11*$B$16)</t>
  </si>
  <si>
    <t xml:space="preserve">=K11/($B$9*(1-H11*$AE$3*$B$5/1000) - L11*($B$11+$B$12) - M11*(2*$B$11+$B$13) - E11*$B$15 - F11*$B$16)</t>
  </si>
  <si>
    <t xml:space="preserve">J12</t>
  </si>
  <si>
    <t xml:space="preserve">=H12/($B$9 - H12*$AE$3 - L12*($B$11+$B$12) - M12*(2*$B$11+$B$13) - E12*$B$15 - F12*$B$16)</t>
  </si>
  <si>
    <t xml:space="preserve">=H12/($B$9*(1-H12*$AE$3*$B$5/1000) - L12*($B$11+$B$12) - M12*(2*$B$11+$B$13) - E12*$B$15 - F12*$B$16)</t>
  </si>
  <si>
    <t xml:space="preserve">N12</t>
  </si>
  <si>
    <t xml:space="preserve">=K12/($B$9 - H12*$AE$3 - L12*($B$11+$B$12) - M12*(2*$B$11+$B$13) - E12*$B$15 - F12*$B$16)</t>
  </si>
  <si>
    <t xml:space="preserve">=K12/($B$9*(1-H12*$AE$3*$B$5/1000) - L12*($B$11+$B$12) - M12*(2*$B$11+$B$13) - E12*$B$15 - F12*$B$16)</t>
  </si>
  <si>
    <t xml:space="preserve">J13</t>
  </si>
  <si>
    <t xml:space="preserve">=H13/($B$9 - H13*$AE$4 - L13*($B$11+$B$12) - M13*(2*$B$11+$B$13) - E13*$B$15 - F13*$B$16)</t>
  </si>
  <si>
    <t xml:space="preserve">=H13/($B$9*(1-H13*$AE$4*$B$5/1000) - L13*($B$11+$B$12) - M13*(2*$B$11+$B$13) - E13*$B$15 - F13*$B$16)</t>
  </si>
  <si>
    <t xml:space="preserve">N13</t>
  </si>
  <si>
    <t xml:space="preserve">=K13/($B$9 - H13*$AE$3 - L13*($B$11+$B$12) - M13*(2*$B$11+$B$13) - E13*$B$15 - F13*$B$16)</t>
  </si>
  <si>
    <t xml:space="preserve">=K13/($B$9*(1-H13*$AE$3*$B$5/1000) - L13*($B$11+$B$12) - M13*(2*$B$11+$B$13) - E13*$B$15 - F13*$B$16)</t>
  </si>
  <si>
    <t xml:space="preserve">J14</t>
  </si>
  <si>
    <t xml:space="preserve">=H14/($B$9 - H14*$AE$4 - L14*($B$11+$B$12) - M14*(2*$B$11+$B$13) - E14*$B$15 - F14*$B$16)</t>
  </si>
  <si>
    <t xml:space="preserve">=H14/($B$9*(1-H14*$AE$4*$B$5/1000) - L14*($B$11+$B$12) - M14*(2*$B$11+$B$13) - E14*$B$15 - F14*$B$16)</t>
  </si>
  <si>
    <t xml:space="preserve">N14</t>
  </si>
  <si>
    <t xml:space="preserve">=K14/($B$9 - H14*$AE$3 - L14*($B$11+$B$12) - M14*(2*$B$11+$B$13) - E14*$B$15 - F14*$B$16)</t>
  </si>
  <si>
    <t xml:space="preserve">=K14/($B$9*(1-H14*$AE$3*$B$5/1000) - L14*($B$11+$B$12) - M14*(2*$B$11+$B$13) - E14*$B$15 - F14*$B$16)</t>
  </si>
  <si>
    <t xml:space="preserve">J15</t>
  </si>
  <si>
    <t xml:space="preserve">=H15/($B$9 - H15*$AE$4 - L15*($B$11+$B$12) - M15*(2*$B$11+$B$13) - E15*$B$15 - F15*$B$16)</t>
  </si>
  <si>
    <t xml:space="preserve">=H15/($B$9*(1-H15*$AE$4*$B$5/1000) - L15*($B$11+$B$12) - M15*(2*$B$11+$B$13) - E15*$B$15 - F15*$B$16)</t>
  </si>
  <si>
    <t xml:space="preserve">N15</t>
  </si>
  <si>
    <t xml:space="preserve">=K15/($B$9 - H15*$AE$3 - L15*($B$11+$B$12) - M15*(2*$B$11+$B$13) - E15*$B$15 - F15*$B$16)</t>
  </si>
  <si>
    <t xml:space="preserve">=K15/($B$9*(1-H15*$AE$3*$B$5/1000) - L15*($B$11+$B$12) - M15*(2*$B$11+$B$13) - E15*$B$15 - F15*$B$16)</t>
  </si>
  <si>
    <t xml:space="preserve">J16</t>
  </si>
  <si>
    <t xml:space="preserve">=H16/($B$9 - H16*$AE$4 - L16*($B$11+$B$12) - M16*(2*$B$11+$B$13) - E16*$B$15 - F16*$B$16)</t>
  </si>
  <si>
    <t xml:space="preserve">=H16/($B$9*(1-H16*$AE$4*$B$5/1000) - L16*($B$11+$B$12) - M16*(2*$B$11+$B$13) - E16*$B$15 - F16*$B$16)</t>
  </si>
  <si>
    <t xml:space="preserve">N16</t>
  </si>
  <si>
    <t xml:space="preserve">=K16/($B$9 - H16*$AE$3 - L16*($B$11+$B$12) - M16*(2*$B$11+$B$13) - E16*$B$15 - F16*$B$16)</t>
  </si>
  <si>
    <t xml:space="preserve">=K16/($B$9*(1-H16*$AE$3*$B$5/1000) - L16*($B$11+$B$12) - M16*(2*$B$11+$B$13) - E16*$B$15 - F16*$B$16)</t>
  </si>
  <si>
    <t xml:space="preserve">J17</t>
  </si>
  <si>
    <t xml:space="preserve">=H17/($B$9 - H17*$AE$4 - L17*($B$11+$B$12) - M17*(2*$B$11+$B$13) - E17*$B$15 - F17*$B$16)</t>
  </si>
  <si>
    <t xml:space="preserve">=H17/($B$9*(1-H17*$AE$4*$B$5/1000) - L17*($B$11+$B$12) - M17*(2*$B$11+$B$13) - E17*$B$15 - F17*$B$16)</t>
  </si>
  <si>
    <t xml:space="preserve">N17</t>
  </si>
  <si>
    <t xml:space="preserve">=K17/($B$9 - H17*$AE$3 - L17*($B$11+$B$12) - M17*(2*$B$11+$B$13) - E17*$B$15 - F17*$B$16)</t>
  </si>
  <si>
    <t xml:space="preserve">=K17/($B$9*(1-H17*$AE$3*$B$5/1000) - L17*($B$11+$B$12) - M17*(2*$B$11+$B$13) - E17*$B$15 - F17*$B$16)</t>
  </si>
  <si>
    <t xml:space="preserve">J18</t>
  </si>
  <si>
    <t xml:space="preserve">=H18/($B$9 - H18*$AE$4 - L18*($B$11+$B$12) - M18*(2*$B$11+$B$13) - E18*$B$15 - F18*$B$16)</t>
  </si>
  <si>
    <t xml:space="preserve">=H18/($B$9*(1-H18*$AE$4*$B$5/1000) - L18*($B$11+$B$12) - M18*(2*$B$11+$B$13) - E18*$B$15 - F18*$B$16)</t>
  </si>
  <si>
    <t xml:space="preserve">N18</t>
  </si>
  <si>
    <t xml:space="preserve">=K18/($B$9 - H18*$AE$3 - L18*($B$11+$B$12) - M18*(2*$B$11+$B$13) - E18*$B$15 - F18*$B$16)</t>
  </si>
  <si>
    <t xml:space="preserve">=K18/($B$9*(1-H18*$AE$3*$B$5/1000) - L18*($B$11+$B$12) - M18*(2*$B$11+$B$13) - E18*$B$15 - F18*$B$16)</t>
  </si>
  <si>
    <t xml:space="preserve">J19</t>
  </si>
  <si>
    <t xml:space="preserve">=H19/($B$9 - H19*$AE$4 - L19*($B$11+$B$12) - M19*(2*$B$11+$B$13) - E19*$B$15 - F19*$B$16)</t>
  </si>
  <si>
    <t xml:space="preserve">=H19/($B$9*(1-H19*$AE$4*$B$5/1000) - L19*($B$11+$B$12) - M19*(2*$B$11+$B$13) - E19*$B$15 - F19*$B$16)</t>
  </si>
  <si>
    <t xml:space="preserve">N19</t>
  </si>
  <si>
    <t xml:space="preserve">=K19/($B$9 - H19*$AE$3 - L19*($B$11+$B$12) - M19*(2*$B$11+$B$13) - E19*$B$15 - F19*$B$16)</t>
  </si>
  <si>
    <t xml:space="preserve">=K19/($B$9*(1-H19*$AE$3*$B$5/1000) - L19*($B$11+$B$12) - M19*(2*$B$11+$B$13) - E19*$B$15 - F19*$B$16)</t>
  </si>
  <si>
    <t xml:space="preserve">J20</t>
  </si>
  <si>
    <t xml:space="preserve">=H20/($B$9 - H20*$AE$4 - L20*($B$11+$B$12) - M20*(2*$B$11+$B$13) - E20*$B$15 - F20*$B$16)</t>
  </si>
  <si>
    <t xml:space="preserve">=H20/($B$9*(1-H20*$AE$4*$B$5/1000) - L20*($B$11+$B$12) - M20*(2*$B$11+$B$13) - E20*$B$15 - F20*$B$16)</t>
  </si>
  <si>
    <t xml:space="preserve">N20</t>
  </si>
  <si>
    <t xml:space="preserve">=K20/($B$9 - H20*$AE$3 - L20*($B$11+$B$12) - M20*(2*$B$11+$B$13) - E20*$B$15 - F20*$B$16)</t>
  </si>
  <si>
    <t xml:space="preserve">=K20/($B$9*(1-H20*$AE$3*$B$5/1000) - L20*($B$11+$B$12) - M20*(2*$B$11+$B$13) - E20*$B$15 - F20*$B$16)</t>
  </si>
  <si>
    <t xml:space="preserve">J21</t>
  </si>
  <si>
    <t xml:space="preserve">=H21/($B$9 - H21*$AE$4 - L21*($B$11+$B$12) - M21*(2*$B$11+$B$13) - E21*$B$15 - F21*$B$16)</t>
  </si>
  <si>
    <t xml:space="preserve">=H21/($B$9*(1-H21*$AE$4*$B$5/1000) - L21*($B$11+$B$12) - M21*(2*$B$11+$B$13) - E21*$B$15 - F21*$B$16)</t>
  </si>
  <si>
    <t xml:space="preserve">N21</t>
  </si>
  <si>
    <t xml:space="preserve">=K21/($B$9 - H21*$AE$3 - L21*($B$11+$B$12) - M21*(2*$B$11+$B$13) - E21*$B$15 - F21*$B$16)</t>
  </si>
  <si>
    <t xml:space="preserve">=K21/($B$9*(1-H21*$AE$3*$B$5/1000) - L21*($B$11+$B$12) - M21*(2*$B$11+$B$13) - E21*$B$15 - F21*$B$16)</t>
  </si>
  <si>
    <t xml:space="preserve">J22</t>
  </si>
  <si>
    <t xml:space="preserve">=H22/($B$9 - H22*$AE$5 - L22*($B$11+$B$12) - M22*(2*$B$11+$B$13) - E22*$B$15 - F22*$B$16)</t>
  </si>
  <si>
    <t xml:space="preserve">=H22/($B$9*(1-H22*$AE$5*$B$5/1000) - L22*($B$11+$B$12) - M22*(2*$B$11+$B$13) - E22*$B$15 - F22*$B$16)</t>
  </si>
  <si>
    <t xml:space="preserve">N22</t>
  </si>
  <si>
    <t xml:space="preserve">=K22/($B$9 - H22*$AE$3 - L22*($B$11+$B$12) - M22*(2*$B$11+$B$13) - E22*$B$15 - F22*$B$16)</t>
  </si>
  <si>
    <t xml:space="preserve">=K22/($B$9*(1-H22*$AE$3*$B$5/1000) - L22*($B$11+$B$12) - M22*(2*$B$11+$B$13) - E22*$B$15 - F22*$B$16)</t>
  </si>
  <si>
    <t xml:space="preserve">J23</t>
  </si>
  <si>
    <t xml:space="preserve">=H23/($B$9 - H23*$AE$5 - L23*($B$11+$B$12) - M23*(2*$B$11+$B$13) - E23*$B$15 - F23*$B$16)</t>
  </si>
  <si>
    <t xml:space="preserve">=H23/($B$9*(1-H23*$AE$5*$B$5/1000) - L23*($B$11+$B$12) - M23*(2*$B$11+$B$13) - E23*$B$15 - F23*$B$16)</t>
  </si>
  <si>
    <t xml:space="preserve">N23</t>
  </si>
  <si>
    <t xml:space="preserve">=K23/($B$9 - H23*$AE$3 - L23*($B$11+$B$12) - M23*(2*$B$11+$B$13) - E23*$B$15 - F23*$B$16)</t>
  </si>
  <si>
    <t xml:space="preserve">=K23/($B$9*(1-H23*$AE$3*$B$5/1000) - L23*($B$11+$B$12) - M23*(2*$B$11+$B$13) - E23*$B$15 - F23*$B$16)</t>
  </si>
  <si>
    <t xml:space="preserve">J24</t>
  </si>
  <si>
    <t xml:space="preserve">=H24/($B$9 - H24*$AE$5 - L24*($B$11+$B$12) - M24*(2*$B$11+$B$13) - E24*$B$15 - F24*$B$16)</t>
  </si>
  <si>
    <t xml:space="preserve">=H24/($B$9*(1-H24*$AE$5*$B$5/1000) - L24*($B$11+$B$12) - M24*(2*$B$11+$B$13) - E24*$B$15 - F24*$B$16)</t>
  </si>
  <si>
    <t xml:space="preserve">N24</t>
  </si>
  <si>
    <t xml:space="preserve">=K24/($B$9 - H24*$AE$3 - L24*($B$11+$B$12) - M24*(2*$B$11+$B$13) - E24*$B$15 - F24*$B$16)</t>
  </si>
  <si>
    <t xml:space="preserve">=K24/($B$9*(1-H24*$AE$3*$B$5/1000) - L24*($B$11+$B$12) - M24*(2*$B$11+$B$13) - E24*$B$15 - F24*$B$16)</t>
  </si>
  <si>
    <t xml:space="preserve">J25</t>
  </si>
  <si>
    <t xml:space="preserve">=H25/($B$9 - H25*$AE$5 - L25*($B$11+$B$12) - M25*(2*$B$11+$B$13) - E25*$B$15 - F25*$B$16)</t>
  </si>
  <si>
    <t xml:space="preserve">=H25/($B$9*(1-H25*$AE$5*$B$5/1000) - L25*($B$11+$B$12) - M25*(2*$B$11+$B$13) - E25*$B$15 - F25*$B$16)</t>
  </si>
  <si>
    <t xml:space="preserve">N25</t>
  </si>
  <si>
    <t xml:space="preserve">=K25/($B$9 - H25*$AE$3 - L25*($B$11+$B$12) - M25*(2*$B$11+$B$13) - E25*$B$15 - F25*$B$16)</t>
  </si>
  <si>
    <t xml:space="preserve">=K25/($B$9*(1-H25*$AE$3*$B$5/1000) - L25*($B$11+$B$12) - M25*(2*$B$11+$B$13) - E25*$B$15 - F25*$B$16)</t>
  </si>
  <si>
    <t xml:space="preserve">J26</t>
  </si>
  <si>
    <t xml:space="preserve">=H26/($B$9 - H26*$AE$5 - L26*($B$11+$B$12) - M26*(2*$B$11+$B$13) - E26*$B$15 - F26*$B$16)</t>
  </si>
  <si>
    <t xml:space="preserve">=H26/($B$9*(1-H26*$AE$5*$B$5/1000) - L26*($B$11+$B$12) - M26*(2*$B$11+$B$13) - E26*$B$15 - F26*$B$16)</t>
  </si>
  <si>
    <t xml:space="preserve">N26</t>
  </si>
  <si>
    <t xml:space="preserve">=K26/($B$9 - H26*$AE$3 - L26*($B$11+$B$12) - M26*(2*$B$11+$B$13) - E26*$B$15 - F26*$B$16)</t>
  </si>
  <si>
    <t xml:space="preserve">=K26/($B$9*(1-H26*$AE$3*$B$5/1000) - L26*($B$11+$B$12) - M26*(2*$B$11+$B$13) - E26*$B$15 - F26*$B$16)</t>
  </si>
  <si>
    <t xml:space="preserve">J27</t>
  </si>
  <si>
    <t xml:space="preserve">=H27/($B$9 - H27*$AE$5 - L27*($B$11+$B$12) - M27*(2*$B$11+$B$13) - E27*$B$15 - F27*$B$16)</t>
  </si>
  <si>
    <t xml:space="preserve">=H27/($B$9*(1-H27*$AE$5*$B$5/1000) - L27*($B$11+$B$12) - M27*(2*$B$11+$B$13) - E27*$B$15 - F27*$B$16)</t>
  </si>
  <si>
    <t xml:space="preserve">N27</t>
  </si>
  <si>
    <t xml:space="preserve">=K27/($B$9 - H27*$AE$3 - L27*($B$11+$B$12) - M27*(2*$B$11+$B$13) - E27*$B$15 - F27*$B$16)</t>
  </si>
  <si>
    <t xml:space="preserve">=K27/($B$9*(1-H27*$AE$3*$B$5/1000) - L27*($B$11+$B$12) - M27*(2*$B$11+$B$13) - E27*$B$15 - F27*$B$16)</t>
  </si>
  <si>
    <t xml:space="preserve">J28</t>
  </si>
  <si>
    <t xml:space="preserve">=H28/($B$9 - H28*$AE$5 - L28*($B$11+$B$12) - M28*(2*$B$11+$B$13) - E28*$B$15 - F28*$B$16)</t>
  </si>
  <si>
    <t xml:space="preserve">=H28/($B$9*(1-H28*$AE$5*$B$5/1000) - L28*($B$11+$B$12) - M28*(2*$B$11+$B$13) - E28*$B$15 - F28*$B$16)</t>
  </si>
  <si>
    <t xml:space="preserve">N28</t>
  </si>
  <si>
    <t xml:space="preserve">=K28/($B$9 - H28*$AE$3 - L28*($B$11+$B$12) - M28*(2*$B$11+$B$13) - E28*$B$15 - F28*$B$16)</t>
  </si>
  <si>
    <t xml:space="preserve">=K28/($B$9*(1-H28*$AE$3*$B$5/1000) - L28*($B$11+$B$12) - M28*(2*$B$11+$B$13) - E28*$B$15 - F28*$B$16)</t>
  </si>
  <si>
    <t xml:space="preserve">J29</t>
  </si>
  <si>
    <t xml:space="preserve">=H29/($B$9 - H29*$AE$5 - L29*($B$11+$B$12) - M29*(2*$B$11+$B$13) - E29*$B$15 - F29*$B$16)</t>
  </si>
  <si>
    <t xml:space="preserve">=H29/($B$9*(1-H29*$AE$5*$B$5/1000) - L29*($B$11+$B$12) - M29*(2*$B$11+$B$13) - E29*$B$15 - F29*$B$16)</t>
  </si>
  <si>
    <t xml:space="preserve">N29</t>
  </si>
  <si>
    <t xml:space="preserve">=K29/($B$9 - H29*$AE$3 - L29*($B$11+$B$12) - M29*(2*$B$11+$B$13) - E29*$B$15 - F29*$B$16)</t>
  </si>
  <si>
    <t xml:space="preserve">=K29/($B$9*(1-H29*$AE$3*$B$5/1000) - L29*($B$11+$B$12) - M29*(2*$B$11+$B$13) - E29*$B$15 - F29*$B$16)</t>
  </si>
  <si>
    <t xml:space="preserve">J30</t>
  </si>
  <si>
    <t xml:space="preserve">=H30/($B$9 - H30*$AE$5 - L30*($B$11+$B$12) - M30*(2*$B$11+$B$13) - E30*$B$15 - F30*$B$16)</t>
  </si>
  <si>
    <t xml:space="preserve">=H30/($B$9*(1-H30*$AE$5*$B$5/1000) - L30*($B$11+$B$12) - M30*(2*$B$11+$B$13) - E30*$B$15 - F30*$B$16)</t>
  </si>
  <si>
    <t xml:space="preserve">N30</t>
  </si>
  <si>
    <t xml:space="preserve">=K30/($B$9 - H30*$AE$3 - L30*($B$11+$B$12) - M30*(2*$B$11+$B$13) - E30*$B$15 - F30*$B$16)</t>
  </si>
  <si>
    <t xml:space="preserve">=K30/($B$9*(1-H30*$AE$3*$B$5/1000) - L30*($B$11+$B$12) - M30*(2*$B$11+$B$13) - E30*$B$15 - F30*$B$16)</t>
  </si>
  <si>
    <t xml:space="preserve">=(L4+3*M4)/($B$9*(1-H4*$AE$3*$B$5/1000) - L4*($B$11+$B$12) - M4*(2*$B$11+$B$13) - E4*$B$15 - F4*$B$16)</t>
  </si>
  <si>
    <t xml:space="preserve">Donnan term (equation 10): ionic strength (molal) instead of salt molality, which generalises the 1:1 expression to multivalent electrolytes</t>
  </si>
  <si>
    <t xml:space="preserve">=(L5+3*M5)/($B$9*(1-H5*$AE$3*$B$5/1000) - L5*($B$11+$B$12) - M5*(2*$B$11+$B$13) - E5*$B$15 - F5*$B$16)</t>
  </si>
  <si>
    <t xml:space="preserve">=(L6+3*M6)/($B$9*(1-H6*$AE$3*$B$5/1000) - L6*($B$11+$B$12) - M6*(2*$B$11+$B$13) - E6*$B$15 - F6*$B$16)</t>
  </si>
  <si>
    <t xml:space="preserve">=(L7+3*M7)/($B$9*(1-H7*$AE$3*$B$5/1000) - L7*($B$11+$B$12) - M7*(2*$B$11+$B$13) - E7*$B$15 - F7*$B$16)</t>
  </si>
  <si>
    <t xml:space="preserve">=(L8+3*M8)/($B$9*(1-H8*$AE$3*$B$5/1000) - L8*($B$11+$B$12) - M8*(2*$B$11+$B$13) - E8*$B$15 - F8*$B$16)</t>
  </si>
  <si>
    <t xml:space="preserve">=(L9+3*M9)/($B$9*(1-H9*$AE$3*$B$5/1000) - L9*($B$11+$B$12) - M9*(2*$B$11+$B$13) - E9*$B$15 - F9*$B$16)</t>
  </si>
  <si>
    <t xml:space="preserve">=(L10+3*M10)/($B$9*(1-H10*$AE$3*$B$5/1000) - L10*($B$11+$B$12) - M10*(2*$B$11+$B$13) - E10*$B$15 - F10*$B$16)</t>
  </si>
  <si>
    <t xml:space="preserve">=(L11+3*M11)/($B$9*(1-H11*$AE$3*$B$5/1000) - L11*($B$11+$B$12) - M11*(2*$B$11+$B$13) - E11*$B$15 - F11*$B$16)</t>
  </si>
  <si>
    <t xml:space="preserve">=(L12+3*M12)/($B$9*(1-H12*$AE$3*$B$5/1000) - L12*($B$11+$B$12) - M12*(2*$B$11+$B$13) - E12*$B$15 - F12*$B$16)</t>
  </si>
  <si>
    <t xml:space="preserve">=(L13+3*M13)/($B$9*(1-H13*$AE$3*$B$5/1000) - L13*($B$11+$B$12) - M13*(2*$B$11+$B$13) - E13*$B$15 - F13*$B$16)</t>
  </si>
  <si>
    <t xml:space="preserve">=(L14+3*M14)/($B$9*(1-H14*$AE$3*$B$5/1000) - L14*($B$11+$B$12) - M14*(2*$B$11+$B$13) - E14*$B$15 - F14*$B$16)</t>
  </si>
  <si>
    <t xml:space="preserve">=(L15+3*M15)/($B$9*(1-H15*$AE$3*$B$5/1000) - L15*($B$11+$B$12) - M15*(2*$B$11+$B$13) - E15*$B$15 - F15*$B$16)</t>
  </si>
  <si>
    <t xml:space="preserve">=(L16+3*M16)/($B$9*(1-H16*$AE$3*$B$5/1000) - L16*($B$11+$B$12) - M16*(2*$B$11+$B$13) - E16*$B$15 - F16*$B$16)</t>
  </si>
  <si>
    <t xml:space="preserve">=(L17+3*M17)/($B$9*(1-H17*$AE$3*$B$5/1000) - L17*($B$11+$B$12) - M17*(2*$B$11+$B$13) - E17*$B$15 - F17*$B$16)</t>
  </si>
  <si>
    <t xml:space="preserve">=(L18+3*M18)/($B$9*(1-H18*$AE$3*$B$5/1000) - L18*($B$11+$B$12) - M18*(2*$B$11+$B$13) - E18*$B$15 - F18*$B$16)</t>
  </si>
  <si>
    <t xml:space="preserve">=(L19+3*M19)/($B$9*(1-H19*$AE$3*$B$5/1000) - L19*($B$11+$B$12) - M19*(2*$B$11+$B$13) - E19*$B$15 - F19*$B$16)</t>
  </si>
  <si>
    <t xml:space="preserve">=(L20+3*M20)/($B$9*(1-H20*$AE$3*$B$5/1000) - L20*($B$11+$B$12) - M20*(2*$B$11+$B$13) - E20*$B$15 - F20*$B$16)</t>
  </si>
  <si>
    <t xml:space="preserve">=(L21+3*M21)/($B$9*(1-H21*$AE$3*$B$5/1000) - L21*($B$11+$B$12) - M21*(2*$B$11+$B$13) - E21*$B$15 - F21*$B$16)</t>
  </si>
  <si>
    <t xml:space="preserve">=(L22+3*M22)/($B$9*(1-H22*$AE$3*$B$5/1000) - L22*($B$11+$B$12) - M22*(2*$B$11+$B$13) - E22*$B$15 - F22*$B$16)</t>
  </si>
  <si>
    <t xml:space="preserve">=(L23+3*M23)/($B$9*(1-H23*$AE$3*$B$5/1000) - L23*($B$11+$B$12) - M23*(2*$B$11+$B$13) - E23*$B$15 - F23*$B$16)</t>
  </si>
  <si>
    <t xml:space="preserve">=(L24+3*M24)/($B$9*(1-H24*$AE$3*$B$5/1000) - L24*($B$11+$B$12) - M24*(2*$B$11+$B$13) - E24*$B$15 - F24*$B$16)</t>
  </si>
  <si>
    <t xml:space="preserve">=(L25+3*M25)/($B$9*(1-H25*$AE$3*$B$5/1000) - L25*($B$11+$B$12) - M25*(2*$B$11+$B$13) - E25*$B$15 - F25*$B$16)</t>
  </si>
  <si>
    <t xml:space="preserve">=(L26+3*M26)/($B$9*(1-H26*$AE$3*$B$5/1000) - L26*($B$11+$B$12) - M26*(2*$B$11+$B$13) - E26*$B$15 - F26*$B$16)</t>
  </si>
  <si>
    <t xml:space="preserve">=(L27+3*M27)/($B$9*(1-H27*$AE$3*$B$5/1000) - L27*($B$11+$B$12) - M27*(2*$B$11+$B$13) - E27*$B$15 - F27*$B$16)</t>
  </si>
  <si>
    <t xml:space="preserve">=(L28+3*M28)/($B$9*(1-H28*$AE$3*$B$5/1000) - L28*($B$11+$B$12) - M28*(2*$B$11+$B$13) - E28*$B$15 - F28*$B$16)</t>
  </si>
  <si>
    <t xml:space="preserve">=(L29+3*M29)/($B$9*(1-H29*$AE$3*$B$5/1000) - L29*($B$11+$B$12) - M29*(2*$B$11+$B$13) - E29*$B$15 - F29*$B$16)</t>
  </si>
  <si>
    <t xml:space="preserve">=(L30+3*M30)/($B$9*(1-H30*$AE$3*$B$5/1000) - L30*($B$11+$B$12) - M30*(2*$B$11+$B$13) - E30*$B$15 - F30*$B$16)</t>
  </si>
  <si>
    <t xml:space="preserve">N3</t>
  </si>
  <si>
    <t xml:space="preserve">mBuffer (mol/g)</t>
  </si>
  <si>
    <t xml:space="preserve">header</t>
  </si>
  <si>
    <t xml:space="preserve">Z4</t>
  </si>
  <si>
    <t xml:space="preserve">=X4*$B$9*18.01528/($B$9*18.01528 + H4+E4+F4+K4)</t>
  </si>
  <si>
    <t xml:space="preserve">=X4</t>
  </si>
  <si>
    <t xml:space="preserve">the original "molar" conversion equals gamma_m to within 1e-4; the column now states that it holds the molal value</t>
  </si>
  <si>
    <t xml:space="preserve">AA4</t>
  </si>
  <si>
    <t xml:space="preserve">=Y4*$B$9*18.01528/($B$9*18.01528 + H4+E4+F4+K4)</t>
  </si>
  <si>
    <t xml:space="preserve">=Y4</t>
  </si>
  <si>
    <t xml:space="preserve">Z5</t>
  </si>
  <si>
    <t xml:space="preserve">=X5*$B$9*18.01528/($B$9*18.01528 + H5+E5+F5+K5)</t>
  </si>
  <si>
    <t xml:space="preserve">=X5</t>
  </si>
  <si>
    <t xml:space="preserve">AA5</t>
  </si>
  <si>
    <t xml:space="preserve">=Y5*$B$9*18.01528/($B$9*18.01528 + H5+E5+F5+K5)</t>
  </si>
  <si>
    <t xml:space="preserve">=Y5</t>
  </si>
  <si>
    <t xml:space="preserve">Z6</t>
  </si>
  <si>
    <t xml:space="preserve">=X6*$B$9*18.01528/($B$9*18.01528 + H6+E6+F6+K6)</t>
  </si>
  <si>
    <t xml:space="preserve">=X6</t>
  </si>
  <si>
    <t xml:space="preserve">AA6</t>
  </si>
  <si>
    <t xml:space="preserve">=Y6*$B$9*18.01528/($B$9*18.01528 + H6+E6+F6+K6)</t>
  </si>
  <si>
    <t xml:space="preserve">=Y6</t>
  </si>
  <si>
    <t xml:space="preserve">Z7</t>
  </si>
  <si>
    <t xml:space="preserve">=X7*$B$9*18.01528/($B$9*18.01528 + H7+E7+F7+K7)</t>
  </si>
  <si>
    <t xml:space="preserve">=X7</t>
  </si>
  <si>
    <t xml:space="preserve">AA7</t>
  </si>
  <si>
    <t xml:space="preserve">=Y7*$B$9*18.01528/($B$9*18.01528 + H7+E7+F7+K7)</t>
  </si>
  <si>
    <t xml:space="preserve">=Y7</t>
  </si>
  <si>
    <t xml:space="preserve">Z8</t>
  </si>
  <si>
    <t xml:space="preserve">=X8*$B$9*18.01528/($B$9*18.01528 + H8+E8+F8+K8)</t>
  </si>
  <si>
    <t xml:space="preserve">=X8</t>
  </si>
  <si>
    <t xml:space="preserve">AA8</t>
  </si>
  <si>
    <t xml:space="preserve">=Y8*$B$9*18.01528/($B$9*18.01528 + H8+E8+F8+K8)</t>
  </si>
  <si>
    <t xml:space="preserve">=Y8</t>
  </si>
  <si>
    <t xml:space="preserve">Z9</t>
  </si>
  <si>
    <t xml:space="preserve">=X9*$B$9*18.01528/($B$9*18.01528 + H9+E9+F9+K9)</t>
  </si>
  <si>
    <t xml:space="preserve">=X9</t>
  </si>
  <si>
    <t xml:space="preserve">AA9</t>
  </si>
  <si>
    <t xml:space="preserve">=Y9*$B$9*18.01528/($B$9*18.01528 + H9+E9+F9+K9)</t>
  </si>
  <si>
    <t xml:space="preserve">=Y9</t>
  </si>
  <si>
    <t xml:space="preserve">Z10</t>
  </si>
  <si>
    <t xml:space="preserve">=X10*$B$9*18.01528/($B$9*18.01528 + H10+E10+F10+K10)</t>
  </si>
  <si>
    <t xml:space="preserve">=X10</t>
  </si>
  <si>
    <t xml:space="preserve">AA10</t>
  </si>
  <si>
    <t xml:space="preserve">=Y10*$B$9*18.01528/($B$9*18.01528 + H10+E10+F10+K10)</t>
  </si>
  <si>
    <t xml:space="preserve">=Y10</t>
  </si>
  <si>
    <t xml:space="preserve">Z11</t>
  </si>
  <si>
    <t xml:space="preserve">=X11*$B$9*18.01528/($B$9*18.01528 + H11+E11+F11+K11)</t>
  </si>
  <si>
    <t xml:space="preserve">=X11</t>
  </si>
  <si>
    <t xml:space="preserve">AA11</t>
  </si>
  <si>
    <t xml:space="preserve">=Y11*$B$9*18.01528/($B$9*18.01528 + H11+E11+F11+K11)</t>
  </si>
  <si>
    <t xml:space="preserve">=Y11</t>
  </si>
  <si>
    <t xml:space="preserve">Z12</t>
  </si>
  <si>
    <t xml:space="preserve">=X12*$B$9*18.01528/($B$9*18.01528 + H12+E12+F12+K12)</t>
  </si>
  <si>
    <t xml:space="preserve">=X12</t>
  </si>
  <si>
    <t xml:space="preserve">AA12</t>
  </si>
  <si>
    <t xml:space="preserve">=Y12*$B$9*18.01528/($B$9*18.01528 + H12+E12+F12+K12)</t>
  </si>
  <si>
    <t xml:space="preserve">=Y12</t>
  </si>
  <si>
    <t xml:space="preserve">Z13</t>
  </si>
  <si>
    <t xml:space="preserve">=X13*$B$9*18.01528/($B$9*18.01528 + H13+E13+F13+K13)</t>
  </si>
  <si>
    <t xml:space="preserve">=X13</t>
  </si>
  <si>
    <t xml:space="preserve">AA13</t>
  </si>
  <si>
    <t xml:space="preserve">=Y13*$B$9*18.01528/($B$9*18.01528 + H13+E13+F13+K13)</t>
  </si>
  <si>
    <t xml:space="preserve">=Y13</t>
  </si>
  <si>
    <t xml:space="preserve">Z14</t>
  </si>
  <si>
    <t xml:space="preserve">=X14*$B$9*18.01528/($B$9*18.01528 + H14+E14+F14+K14)</t>
  </si>
  <si>
    <t xml:space="preserve">=X14</t>
  </si>
  <si>
    <t xml:space="preserve">AA14</t>
  </si>
  <si>
    <t xml:space="preserve">=Y14*$B$9*18.01528/($B$9*18.01528 + H14+E14+F14+K14)</t>
  </si>
  <si>
    <t xml:space="preserve">=Y14</t>
  </si>
  <si>
    <t xml:space="preserve">Z15</t>
  </si>
  <si>
    <t xml:space="preserve">=X15*$B$9*18.01528/($B$9*18.01528 + H15+E15+F15+K15)</t>
  </si>
  <si>
    <t xml:space="preserve">=X15</t>
  </si>
  <si>
    <t xml:space="preserve">AA15</t>
  </si>
  <si>
    <t xml:space="preserve">=Y15*$B$9*18.01528/($B$9*18.01528 + H15+E15+F15+K15)</t>
  </si>
  <si>
    <t xml:space="preserve">=Y15</t>
  </si>
  <si>
    <t xml:space="preserve">Z16</t>
  </si>
  <si>
    <t xml:space="preserve">=X16*$B$9*18.01528/($B$9*18.01528 + H16+E16+F16+K16)</t>
  </si>
  <si>
    <t xml:space="preserve">=X16</t>
  </si>
  <si>
    <t xml:space="preserve">AA16</t>
  </si>
  <si>
    <t xml:space="preserve">=Y16*$B$9*18.01528/($B$9*18.01528 + H16+E16+F16+K16)</t>
  </si>
  <si>
    <t xml:space="preserve">=Y16</t>
  </si>
  <si>
    <t xml:space="preserve">Z17</t>
  </si>
  <si>
    <t xml:space="preserve">=X17*$B$9*18.01528/($B$9*18.01528 + H17+E17+F17+K17)</t>
  </si>
  <si>
    <t xml:space="preserve">=X17</t>
  </si>
  <si>
    <t xml:space="preserve">AA17</t>
  </si>
  <si>
    <t xml:space="preserve">=Y17*$B$9*18.01528/($B$9*18.01528 + H17+E17+F17+K17)</t>
  </si>
  <si>
    <t xml:space="preserve">=Y17</t>
  </si>
  <si>
    <t xml:space="preserve">Z18</t>
  </si>
  <si>
    <t xml:space="preserve">=X18*$B$9*18.01528/($B$9*18.01528 + H18+E18+F18+K18)</t>
  </si>
  <si>
    <t xml:space="preserve">=X18</t>
  </si>
  <si>
    <t xml:space="preserve">AA18</t>
  </si>
  <si>
    <t xml:space="preserve">=Y18*$B$9*18.01528/($B$9*18.01528 + H18+E18+F18+K18)</t>
  </si>
  <si>
    <t xml:space="preserve">=Y18</t>
  </si>
  <si>
    <t xml:space="preserve">Z19</t>
  </si>
  <si>
    <t xml:space="preserve">=X19*$B$9*18.01528/($B$9*18.01528 + H19+E19+F19+K19)</t>
  </si>
  <si>
    <t xml:space="preserve">=X19</t>
  </si>
  <si>
    <t xml:space="preserve">AA19</t>
  </si>
  <si>
    <t xml:space="preserve">=Y19*$B$9*18.01528/($B$9*18.01528 + H19+E19+F19+K19)</t>
  </si>
  <si>
    <t xml:space="preserve">=Y19</t>
  </si>
  <si>
    <t xml:space="preserve">Z20</t>
  </si>
  <si>
    <t xml:space="preserve">=X20*$B$9*18.01528/($B$9*18.01528 + H20+E20+F20+K20)</t>
  </si>
  <si>
    <t xml:space="preserve">=X20</t>
  </si>
  <si>
    <t xml:space="preserve">AA20</t>
  </si>
  <si>
    <t xml:space="preserve">=Y20*$B$9*18.01528/($B$9*18.01528 + H20+E20+F20+K20)</t>
  </si>
  <si>
    <t xml:space="preserve">=Y20</t>
  </si>
  <si>
    <t xml:space="preserve">Z21</t>
  </si>
  <si>
    <t xml:space="preserve">=X21*$B$9*18.01528/($B$9*18.01528 + H21+E21+F21+K21)</t>
  </si>
  <si>
    <t xml:space="preserve">=X21</t>
  </si>
  <si>
    <t xml:space="preserve">AA21</t>
  </si>
  <si>
    <t xml:space="preserve">=Y21*$B$9*18.01528/($B$9*18.01528 + H21+E21+F21+K21)</t>
  </si>
  <si>
    <t xml:space="preserve">=Y21</t>
  </si>
  <si>
    <t xml:space="preserve">Z22</t>
  </si>
  <si>
    <t xml:space="preserve">=X22*$B$9*18.01528/($B$9*18.01528 + H22+E22+F22+K22)</t>
  </si>
  <si>
    <t xml:space="preserve">=X22</t>
  </si>
  <si>
    <t xml:space="preserve">AA22</t>
  </si>
  <si>
    <t xml:space="preserve">=Y22*$B$9*18.01528/($B$9*18.01528 + H22+E22+F22+K22)</t>
  </si>
  <si>
    <t xml:space="preserve">=Y22</t>
  </si>
  <si>
    <t xml:space="preserve">Z23</t>
  </si>
  <si>
    <t xml:space="preserve">=X23*$B$9*18.01528/($B$9*18.01528 + H23+E23+F23+K23)</t>
  </si>
  <si>
    <t xml:space="preserve">=X23</t>
  </si>
  <si>
    <t xml:space="preserve">AA23</t>
  </si>
  <si>
    <t xml:space="preserve">=Y23*$B$9*18.01528/($B$9*18.01528 + H23+E23+F23+K23)</t>
  </si>
  <si>
    <t xml:space="preserve">=Y23</t>
  </si>
  <si>
    <t xml:space="preserve">Z24</t>
  </si>
  <si>
    <t xml:space="preserve">=X24*$B$9*18.01528/($B$9*18.01528 + H24+E24+F24+K24)</t>
  </si>
  <si>
    <t xml:space="preserve">=X24</t>
  </si>
  <si>
    <t xml:space="preserve">AA24</t>
  </si>
  <si>
    <t xml:space="preserve">=Y24*$B$9*18.01528/($B$9*18.01528 + H24+E24+F24+K24)</t>
  </si>
  <si>
    <t xml:space="preserve">=Y24</t>
  </si>
  <si>
    <t xml:space="preserve">Z25</t>
  </si>
  <si>
    <t xml:space="preserve">=X25*$B$9*18.01528/($B$9*18.01528 + H25+E25+F25+K25)</t>
  </si>
  <si>
    <t xml:space="preserve">=X25</t>
  </si>
  <si>
    <t xml:space="preserve">AA25</t>
  </si>
  <si>
    <t xml:space="preserve">=Y25*$B$9*18.01528/($B$9*18.01528 + H25+E25+F25+K25)</t>
  </si>
  <si>
    <t xml:space="preserve">=Y25</t>
  </si>
  <si>
    <t xml:space="preserve">Z26</t>
  </si>
  <si>
    <t xml:space="preserve">=X26*$B$9*18.01528/($B$9*18.01528 + H26+E26+F26+K26)</t>
  </si>
  <si>
    <t xml:space="preserve">=X26</t>
  </si>
  <si>
    <t xml:space="preserve">AA26</t>
  </si>
  <si>
    <t xml:space="preserve">=Y26*$B$9*18.01528/($B$9*18.01528 + H26+E26+F26+K26)</t>
  </si>
  <si>
    <t xml:space="preserve">=Y26</t>
  </si>
  <si>
    <t xml:space="preserve">Z27</t>
  </si>
  <si>
    <t xml:space="preserve">=X27*$B$9*18.01528/($B$9*18.01528 + H27+E27+F27+K27)</t>
  </si>
  <si>
    <t xml:space="preserve">=X27</t>
  </si>
  <si>
    <t xml:space="preserve">AA27</t>
  </si>
  <si>
    <t xml:space="preserve">=Y27*$B$9*18.01528/($B$9*18.01528 + H27+E27+F27+K27)</t>
  </si>
  <si>
    <t xml:space="preserve">=Y27</t>
  </si>
  <si>
    <t xml:space="preserve">Z28</t>
  </si>
  <si>
    <t xml:space="preserve">=X28*$B$9*18.01528/($B$9*18.01528 + H28+E28+F28+K28)</t>
  </si>
  <si>
    <t xml:space="preserve">=X28</t>
  </si>
  <si>
    <t xml:space="preserve">AA28</t>
  </si>
  <si>
    <t xml:space="preserve">=Y28*$B$9*18.01528/($B$9*18.01528 + H28+E28+F28+K28)</t>
  </si>
  <si>
    <t xml:space="preserve">=Y28</t>
  </si>
  <si>
    <t xml:space="preserve">Z29</t>
  </si>
  <si>
    <t xml:space="preserve">=X29*$B$9*18.01528/($B$9*18.01528 + H29+E29+F29+K29)</t>
  </si>
  <si>
    <t xml:space="preserve">=X29</t>
  </si>
  <si>
    <t xml:space="preserve">AA29</t>
  </si>
  <si>
    <t xml:space="preserve">=Y29*$B$9*18.01528/($B$9*18.01528 + H29+E29+F29+K29)</t>
  </si>
  <si>
    <t xml:space="preserve">=Y29</t>
  </si>
  <si>
    <t xml:space="preserve">Z30</t>
  </si>
  <si>
    <t xml:space="preserve">=X30*$B$9*18.01528/($B$9*18.01528 + H30+E30+F30+K30)</t>
  </si>
  <si>
    <t xml:space="preserve">=X30</t>
  </si>
  <si>
    <t xml:space="preserve">AA30</t>
  </si>
  <si>
    <t xml:space="preserve">=Y30*$B$9*18.01528/($B$9*18.01528 + H30+E30+F30+K30)</t>
  </si>
  <si>
    <t xml:space="preserve">=Y30</t>
  </si>
  <si>
    <t xml:space="preserve">Z3</t>
  </si>
  <si>
    <t xml:space="preserve">𝜸 (c)</t>
  </si>
  <si>
    <t xml:space="preserve">AA3</t>
  </si>
  <si>
    <t xml:space="preserve">𝜸 Agena (c)</t>
  </si>
  <si>
    <t xml:space="preserve">U5</t>
  </si>
  <si>
    <t xml:space="preserve">-504845.559747356</t>
  </si>
  <si>
    <t xml:space="preserve">-548215</t>
  </si>
  <si>
    <t xml:space="preserve">phi-1 fit: polynomial refitted (least squares, rows 4-12)</t>
  </si>
  <si>
    <t xml:space="preserve">U6</t>
  </si>
  <si>
    <t xml:space="preserve">823038360887.412</t>
  </si>
  <si>
    <t xml:space="preserve">1.20501e+12</t>
  </si>
  <si>
    <t xml:space="preserve">U7</t>
  </si>
  <si>
    <t xml:space="preserve">-7.35993659272233e+17</t>
  </si>
  <si>
    <t xml:space="preserve">-1.25373e+18</t>
  </si>
  <si>
    <t xml:space="preserve">U8</t>
  </si>
  <si>
    <t xml:space="preserve">2.27386836737479e+23</t>
  </si>
  <si>
    <t xml:space="preserve">4.20132e+23</t>
  </si>
  <si>
    <t xml:space="preserve">U14</t>
  </si>
  <si>
    <t xml:space="preserve">-350023.615643084</t>
  </si>
  <si>
    <t xml:space="preserve">-316853</t>
  </si>
  <si>
    <t xml:space="preserve">phi-1 fit: polynomial refitted (least squares, rows 13-21)</t>
  </si>
  <si>
    <t xml:space="preserve">U15</t>
  </si>
  <si>
    <t xml:space="preserve">444231349916.152</t>
  </si>
  <si>
    <t xml:space="preserve">4.41981e+11</t>
  </si>
  <si>
    <t xml:space="preserve">U16</t>
  </si>
  <si>
    <t xml:space="preserve">-4.18771931414528e+17</t>
  </si>
  <si>
    <t xml:space="preserve">-4.26645e+17</t>
  </si>
  <si>
    <t xml:space="preserve">U17</t>
  </si>
  <si>
    <t xml:space="preserve">1.51715372290834e+23</t>
  </si>
  <si>
    <t xml:space="preserve">1.56552e+23</t>
  </si>
  <si>
    <t xml:space="preserve">U23</t>
  </si>
  <si>
    <t xml:space="preserve">-350856.904991784</t>
  </si>
  <si>
    <t xml:space="preserve">-320720</t>
  </si>
  <si>
    <t xml:space="preserve">phi-1 fit: polynomial refitted (least squares, rows 22-30)</t>
  </si>
  <si>
    <t xml:space="preserve">U24</t>
  </si>
  <si>
    <t xml:space="preserve">397874173148.336</t>
  </si>
  <si>
    <t xml:space="preserve">3.92807e+11</t>
  </si>
  <si>
    <t xml:space="preserve">U25</t>
  </si>
  <si>
    <t xml:space="preserve">-3.37448070495372e+17</t>
  </si>
  <si>
    <t xml:space="preserve">-3.39741e+17</t>
  </si>
  <si>
    <t xml:space="preserve">U26</t>
  </si>
  <si>
    <t xml:space="preserve">1.12880199746935e+23</t>
  </si>
  <si>
    <t xml:space="preserve">1.14882e+23</t>
  </si>
</sst>
</file>

<file path=xl/styles.xml><?xml version="1.0" encoding="utf-8"?>
<styleSheet xmlns="http://schemas.openxmlformats.org/spreadsheetml/2006/main">
  <numFmts count="9">
    <numFmt numFmtId="164" formatCode="General"/>
    <numFmt numFmtId="165" formatCode="0.0E+00"/>
    <numFmt numFmtId="166" formatCode="0.00"/>
    <numFmt numFmtId="167" formatCode="0.00E+00"/>
    <numFmt numFmtId="168" formatCode="0.0"/>
    <numFmt numFmtId="169" formatCode="0.000"/>
    <numFmt numFmtId="170" formatCode="0.0000"/>
    <numFmt numFmtId="171" formatCode="0.000000"/>
    <numFmt numFmtId="172" formatCode="0.000000000"/>
  </numFmts>
  <fonts count="12">
    <font>
      <sz val="12"/>
      <color theme="1"/>
      <name val="Calibri"/>
      <family val="2"/>
      <charset val="1"/>
    </font>
    <font>
      <sz val="10"/>
      <name val="Arial"/>
      <family val="0"/>
    </font>
    <font>
      <sz val="10"/>
      <name val="Arial"/>
      <family val="0"/>
    </font>
    <font>
      <sz val="10"/>
      <name val="Arial"/>
      <family val="0"/>
    </font>
    <font>
      <sz val="12"/>
      <color rgb="FF000000"/>
      <name val="Calibri"/>
      <family val="2"/>
      <charset val="1"/>
    </font>
    <font>
      <sz val="14"/>
      <color rgb="FF595959"/>
      <name val="Calibri"/>
      <family val="2"/>
    </font>
    <font>
      <sz val="9"/>
      <color rgb="FF595959"/>
      <name val="Calibri"/>
      <family val="2"/>
    </font>
    <font>
      <sz val="10"/>
      <color rgb="FF595959"/>
      <name val="Calibri"/>
      <family val="2"/>
    </font>
    <font>
      <b val="true"/>
      <sz val="12"/>
      <name val="Arial"/>
      <family val="0"/>
      <charset val="1"/>
    </font>
    <font>
      <sz val="11"/>
      <name val="Arial"/>
      <family val="0"/>
      <charset val="1"/>
    </font>
    <font>
      <b val="true"/>
      <sz val="11"/>
      <name val="Arial"/>
      <family val="0"/>
      <charset val="1"/>
    </font>
    <font>
      <sz val="9"/>
      <name val="Arial"/>
      <family val="0"/>
      <charset val="1"/>
    </font>
  </fonts>
  <fills count="5">
    <fill>
      <patternFill patternType="none"/>
    </fill>
    <fill>
      <patternFill patternType="gray125"/>
    </fill>
    <fill>
      <patternFill patternType="solid">
        <fgColor theme="8" tint="0.7999"/>
        <bgColor rgb="FFD9D9D9"/>
      </patternFill>
    </fill>
    <fill>
      <patternFill patternType="solid">
        <fgColor theme="5" tint="0.7999"/>
        <bgColor rgb="FFFFF2CC"/>
      </patternFill>
    </fill>
    <fill>
      <patternFill patternType="solid">
        <fgColor theme="7" tint="0.7999"/>
        <bgColor rgb="FFFBE5D6"/>
      </patternFill>
    </fill>
  </fills>
  <borders count="10">
    <border diagonalUp="false" diagonalDown="false">
      <left/>
      <right/>
      <top/>
      <bottom/>
      <diagonal/>
    </border>
    <border diagonalUp="false" diagonalDown="false">
      <left style="thin"/>
      <right style="thin"/>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right style="thin"/>
      <top/>
      <bottom/>
      <diagonal/>
    </border>
    <border diagonalUp="false" diagonalDown="false">
      <left/>
      <right/>
      <top/>
      <bottom style="thin"/>
      <diagonal/>
    </border>
    <border diagonalUp="false" diagonalDown="false">
      <left style="thin"/>
      <right style="thin"/>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5" fontId="0" fillId="0" borderId="2" xfId="0" applyFont="false" applyBorder="true" applyAlignment="true" applyProtection="false">
      <alignment horizontal="center" vertical="center" textRotation="0" wrapText="false" indent="0" shrinkToFit="false"/>
      <protection locked="true" hidden="false"/>
    </xf>
    <xf numFmtId="166" fontId="0" fillId="0" borderId="2" xfId="0" applyFont="false" applyBorder="true" applyAlignment="true" applyProtection="false">
      <alignment horizontal="center" vertical="center" textRotation="0" wrapText="false" indent="0" shrinkToFit="false"/>
      <protection locked="true" hidden="false"/>
    </xf>
    <xf numFmtId="167" fontId="0" fillId="2" borderId="1" xfId="0" applyFont="false" applyBorder="true" applyAlignment="true" applyProtection="false">
      <alignment horizontal="center" vertical="center" textRotation="0" wrapText="false" indent="0" shrinkToFit="false"/>
      <protection locked="true" hidden="false"/>
    </xf>
    <xf numFmtId="168" fontId="0" fillId="2" borderId="1" xfId="0" applyFont="false" applyBorder="true" applyAlignment="true" applyProtection="false">
      <alignment horizontal="center" vertical="center" textRotation="0" wrapText="false" indent="0" shrinkToFit="false"/>
      <protection locked="true" hidden="false"/>
    </xf>
    <xf numFmtId="167" fontId="0" fillId="0" borderId="2" xfId="0" applyFont="false" applyBorder="true" applyAlignment="true" applyProtection="false">
      <alignment horizontal="center" vertical="center" textRotation="0" wrapText="false" indent="0" shrinkToFit="false"/>
      <protection locked="true" hidden="false"/>
    </xf>
    <xf numFmtId="169" fontId="0" fillId="0" borderId="2" xfId="0" applyFont="false" applyBorder="true" applyAlignment="true" applyProtection="false">
      <alignment horizontal="center" vertical="center" textRotation="0" wrapText="false" indent="0" shrinkToFit="false"/>
      <protection locked="true" hidden="false"/>
    </xf>
    <xf numFmtId="168" fontId="0" fillId="0" borderId="2" xfId="0" applyFont="false" applyBorder="true" applyAlignment="true" applyProtection="false">
      <alignment horizontal="center" vertical="center" textRotation="0" wrapText="false" indent="0" shrinkToFit="false"/>
      <protection locked="true" hidden="false"/>
    </xf>
    <xf numFmtId="170" fontId="0" fillId="0" borderId="2" xfId="0" applyFont="false" applyBorder="true" applyAlignment="true" applyProtection="false">
      <alignment horizontal="center" vertical="center" textRotation="0" wrapText="false" indent="0" shrinkToFit="false"/>
      <protection locked="true" hidden="false"/>
    </xf>
    <xf numFmtId="164" fontId="0" fillId="3" borderId="2" xfId="0" applyFont="false" applyBorder="true" applyAlignment="true" applyProtection="false">
      <alignment horizontal="center" vertical="center" textRotation="0" wrapText="false" indent="0" shrinkToFit="false"/>
      <protection locked="true" hidden="false"/>
    </xf>
    <xf numFmtId="170" fontId="0" fillId="2" borderId="1" xfId="0" applyFont="false" applyBorder="true" applyAlignment="true" applyProtection="false">
      <alignment horizontal="center" vertical="center" textRotation="0" wrapText="false" indent="0" shrinkToFit="false"/>
      <protection locked="true" hidden="false"/>
    </xf>
    <xf numFmtId="170" fontId="0" fillId="2" borderId="3" xfId="0" applyFont="fals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7" fontId="0" fillId="2" borderId="5" xfId="0" applyFont="fals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70" fontId="0" fillId="0" borderId="0" xfId="0" applyFont="false" applyBorder="false" applyAlignment="true" applyProtection="false">
      <alignment horizontal="center" vertical="center" textRotation="0" wrapText="false" indent="0" shrinkToFit="false"/>
      <protection locked="true" hidden="false"/>
    </xf>
    <xf numFmtId="167" fontId="0" fillId="3" borderId="0" xfId="0" applyFont="false" applyBorder="false" applyAlignment="true" applyProtection="false">
      <alignment horizontal="center" vertical="center" textRotation="0" wrapText="false" indent="0" shrinkToFit="false"/>
      <protection locked="true" hidden="false"/>
    </xf>
    <xf numFmtId="170" fontId="0" fillId="2" borderId="5" xfId="0" applyFont="false" applyBorder="true" applyAlignment="true" applyProtection="false">
      <alignment horizontal="center" vertical="center" textRotation="0" wrapText="false" indent="0" shrinkToFit="false"/>
      <protection locked="true" hidden="false"/>
    </xf>
    <xf numFmtId="170" fontId="0" fillId="2" borderId="6" xfId="0" applyFont="fals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5" fontId="0" fillId="0" borderId="7" xfId="0" applyFont="false" applyBorder="true" applyAlignment="true" applyProtection="false">
      <alignment horizontal="center" vertical="center" textRotation="0" wrapText="false" indent="0" shrinkToFit="false"/>
      <protection locked="true" hidden="false"/>
    </xf>
    <xf numFmtId="166" fontId="0" fillId="0" borderId="7" xfId="0" applyFont="false" applyBorder="true" applyAlignment="true" applyProtection="false">
      <alignment horizontal="center" vertical="center" textRotation="0" wrapText="false" indent="0" shrinkToFit="false"/>
      <protection locked="true" hidden="false"/>
    </xf>
    <xf numFmtId="167" fontId="0" fillId="2" borderId="8" xfId="0" applyFont="false" applyBorder="true" applyAlignment="true" applyProtection="false">
      <alignment horizontal="center" vertical="center" textRotation="0" wrapText="false" indent="0" shrinkToFit="false"/>
      <protection locked="true" hidden="false"/>
    </xf>
    <xf numFmtId="167" fontId="0" fillId="0" borderId="7" xfId="0" applyFont="false" applyBorder="true" applyAlignment="true" applyProtection="false">
      <alignment horizontal="center" vertical="center" textRotation="0" wrapText="false" indent="0" shrinkToFit="false"/>
      <protection locked="true" hidden="false"/>
    </xf>
    <xf numFmtId="169" fontId="0" fillId="0" borderId="7" xfId="0" applyFont="false" applyBorder="true" applyAlignment="true" applyProtection="false">
      <alignment horizontal="center" vertical="center" textRotation="0" wrapText="false" indent="0" shrinkToFit="false"/>
      <protection locked="true" hidden="false"/>
    </xf>
    <xf numFmtId="168" fontId="0" fillId="0" borderId="7" xfId="0" applyFont="false" applyBorder="true" applyAlignment="true" applyProtection="false">
      <alignment horizontal="center" vertical="center" textRotation="0" wrapText="false" indent="0" shrinkToFit="false"/>
      <protection locked="true" hidden="false"/>
    </xf>
    <xf numFmtId="170" fontId="0" fillId="0" borderId="7" xfId="0" applyFont="false" applyBorder="true" applyAlignment="true" applyProtection="false">
      <alignment horizontal="center" vertical="center" textRotation="0" wrapText="false" indent="0" shrinkToFit="false"/>
      <protection locked="true" hidden="false"/>
    </xf>
    <xf numFmtId="171" fontId="0" fillId="4" borderId="0" xfId="0" applyFont="false" applyBorder="false" applyAlignment="true" applyProtection="false">
      <alignment horizontal="center" vertical="center" textRotation="0" wrapText="false" indent="0" shrinkToFit="false"/>
      <protection locked="true" hidden="false"/>
    </xf>
    <xf numFmtId="170" fontId="0" fillId="2" borderId="8" xfId="0" applyFont="false" applyBorder="true" applyAlignment="true" applyProtection="false">
      <alignment horizontal="center" vertical="center" textRotation="0" wrapText="false" indent="0" shrinkToFit="false"/>
      <protection locked="true" hidden="false"/>
    </xf>
    <xf numFmtId="170" fontId="0" fillId="2" borderId="9" xfId="0" applyFont="false" applyBorder="true" applyAlignment="true" applyProtection="false">
      <alignment horizontal="center" vertical="center" textRotation="0" wrapText="false" indent="0" shrinkToFit="false"/>
      <protection locked="true" hidden="false"/>
    </xf>
    <xf numFmtId="164" fontId="4" fillId="2" borderId="8" xfId="0" applyFont="true" applyBorder="true" applyAlignment="true" applyProtection="false">
      <alignment horizontal="center" vertical="center" textRotation="0" wrapText="false" indent="0" shrinkToFit="false"/>
      <protection locked="true" hidden="false"/>
    </xf>
    <xf numFmtId="168" fontId="0" fillId="2" borderId="5" xfId="0" applyFont="fals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8" fontId="0" fillId="2" borderId="8" xfId="0" applyFont="false" applyBorder="true" applyAlignment="true" applyProtection="false">
      <alignment horizontal="center" vertical="center" textRotation="0" wrapText="false" indent="0" shrinkToFit="false"/>
      <protection locked="true" hidden="false"/>
    </xf>
    <xf numFmtId="171" fontId="0" fillId="4" borderId="7" xfId="0" applyFont="false" applyBorder="true" applyAlignment="true" applyProtection="false">
      <alignment horizontal="center"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E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595959"/>
      <rgbColor rgb="FFA5A5A5"/>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pH=7  I=1M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NaHPO4!$J$13:$J$21</c:f>
              <c:numCache>
                <c:formatCode>0.00E+00</c:formatCode>
                <c:ptCount val="9"/>
                <c:pt idx="0">
                  <c:v>2.43263933722887E-007</c:v>
                </c:pt>
                <c:pt idx="1">
                  <c:v>3.69803623625883E-007</c:v>
                </c:pt>
                <c:pt idx="2">
                  <c:v>4.93006127654796E-007</c:v>
                </c:pt>
                <c:pt idx="3">
                  <c:v>6.14713915035002E-007</c:v>
                </c:pt>
                <c:pt idx="4">
                  <c:v>7.39300617176028E-007</c:v>
                </c:pt>
                <c:pt idx="5">
                  <c:v>8.64275337986385E-007</c:v>
                </c:pt>
                <c:pt idx="6">
                  <c:v>9.91532803024521E-007</c:v>
                </c:pt>
                <c:pt idx="7">
                  <c:v>1.12109286289378E-006</c:v>
                </c:pt>
                <c:pt idx="8">
                  <c:v>1.24408554414992E-006</c:v>
                </c:pt>
              </c:numCache>
            </c:numRef>
          </c:xVal>
          <c:yVal>
            <c:numRef>
              <c:f>NaHPO4!$S$13:$S$21</c:f>
              <c:numCache>
                <c:formatCode>0.0000</c:formatCode>
                <c:ptCount val="9"/>
                <c:pt idx="0">
                  <c:v>-0.0610567518618955</c:v>
                </c:pt>
                <c:pt idx="1">
                  <c:v>-0.0716624227024317</c:v>
                </c:pt>
                <c:pt idx="2">
                  <c:v>-0.0877391714493079</c:v>
                </c:pt>
                <c:pt idx="3">
                  <c:v>-0.104501562617702</c:v>
                </c:pt>
                <c:pt idx="4">
                  <c:v>-0.123302628106809</c:v>
                </c:pt>
                <c:pt idx="5">
                  <c:v>-0.131325996373817</c:v>
                </c:pt>
                <c:pt idx="6">
                  <c:v>-0.142394697768626</c:v>
                </c:pt>
                <c:pt idx="7">
                  <c:v>-0.153045291075667</c:v>
                </c:pt>
                <c:pt idx="8">
                  <c:v>-0.157279364859542</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NaHPO4!$J$13:$J$21</c:f>
              <c:numCache>
                <c:formatCode>0.00E+00</c:formatCode>
                <c:ptCount val="9"/>
                <c:pt idx="0">
                  <c:v>2.43263933722887E-007</c:v>
                </c:pt>
                <c:pt idx="1">
                  <c:v>3.69803623625883E-007</c:v>
                </c:pt>
                <c:pt idx="2">
                  <c:v>4.93006127654796E-007</c:v>
                </c:pt>
                <c:pt idx="3">
                  <c:v>6.14713915035002E-007</c:v>
                </c:pt>
                <c:pt idx="4">
                  <c:v>7.39300617176028E-007</c:v>
                </c:pt>
                <c:pt idx="5">
                  <c:v>8.64275337986385E-007</c:v>
                </c:pt>
                <c:pt idx="6">
                  <c:v>9.91532803024521E-007</c:v>
                </c:pt>
                <c:pt idx="7">
                  <c:v>1.12109286289378E-006</c:v>
                </c:pt>
                <c:pt idx="8">
                  <c:v>1.24408554414992E-006</c:v>
                </c:pt>
              </c:numCache>
            </c:numRef>
          </c:xVal>
          <c:yVal>
            <c:numRef>
              <c:f>NaHPO4!$T$13:$T$21</c:f>
              <c:numCache>
                <c:formatCode>0.0000</c:formatCode>
                <c:ptCount val="9"/>
                <c:pt idx="0">
                  <c:v>-0.0565172123420427</c:v>
                </c:pt>
                <c:pt idx="1">
                  <c:v>-0.0753789370898731</c:v>
                </c:pt>
                <c:pt idx="2">
                  <c:v>-0.090660014288172</c:v>
                </c:pt>
                <c:pt idx="3">
                  <c:v>-0.104509917070149</c:v>
                </c:pt>
                <c:pt idx="4">
                  <c:v>-0.118307445605643</c:v>
                </c:pt>
                <c:pt idx="5">
                  <c:v>-0.131787042090986</c:v>
                </c:pt>
                <c:pt idx="6">
                  <c:v>-0.144223891420032</c:v>
                </c:pt>
                <c:pt idx="7">
                  <c:v>-0.153578902727419</c:v>
                </c:pt>
                <c:pt idx="8">
                  <c:v>-0.156610065287489</c:v>
                </c:pt>
              </c:numCache>
            </c:numRef>
          </c:yVal>
          <c:smooth val="0"/>
        </c:ser>
        <c:axId val="83230734"/>
        <c:axId val="33444634"/>
      </c:scatterChart>
      <c:valAx>
        <c:axId val="83230734"/>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3444634"/>
        <c:crosses val="autoZero"/>
        <c:crossBetween val="midCat"/>
      </c:valAx>
      <c:valAx>
        <c:axId val="33444634"/>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3230734"/>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pH=8  I=1M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NaHPO4!$J$22:$J$30</c:f>
              <c:numCache>
                <c:formatCode>0.00E+00</c:formatCode>
                <c:ptCount val="9"/>
                <c:pt idx="0">
                  <c:v>2.39550692769993E-007</c:v>
                </c:pt>
                <c:pt idx="1">
                  <c:v>3.64837450592998E-007</c:v>
                </c:pt>
                <c:pt idx="2">
                  <c:v>4.86156555192889E-007</c:v>
                </c:pt>
                <c:pt idx="3">
                  <c:v>6.09094731234987E-007</c:v>
                </c:pt>
                <c:pt idx="4">
                  <c:v>7.34292177645204E-007</c:v>
                </c:pt>
                <c:pt idx="5">
                  <c:v>8.60510421014754E-007</c:v>
                </c:pt>
                <c:pt idx="6">
                  <c:v>9.81448426738776E-007</c:v>
                </c:pt>
                <c:pt idx="7">
                  <c:v>1.10338366100828E-006</c:v>
                </c:pt>
                <c:pt idx="8">
                  <c:v>1.23013178003037E-006</c:v>
                </c:pt>
              </c:numCache>
            </c:numRef>
          </c:xVal>
          <c:yVal>
            <c:numRef>
              <c:f>NaHPO4!$S$22:$S$30</c:f>
              <c:numCache>
                <c:formatCode>0.0000</c:formatCode>
                <c:ptCount val="9"/>
                <c:pt idx="0">
                  <c:v>-0.0572475186928609</c:v>
                </c:pt>
                <c:pt idx="1">
                  <c:v>-0.0877471114941214</c:v>
                </c:pt>
                <c:pt idx="2">
                  <c:v>-0.0849849226425125</c:v>
                </c:pt>
                <c:pt idx="3">
                  <c:v>-0.112721094431929</c:v>
                </c:pt>
                <c:pt idx="4">
                  <c:v>-0.123343306930804</c:v>
                </c:pt>
                <c:pt idx="5">
                  <c:v>-0.144697471668048</c:v>
                </c:pt>
                <c:pt idx="6">
                  <c:v>-0.150893527125657</c:v>
                </c:pt>
                <c:pt idx="7">
                  <c:v>-0.156776291466426</c:v>
                </c:pt>
                <c:pt idx="8">
                  <c:v>-0.171536761934652</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NaHPO4!$J$22:$J$30</c:f>
              <c:numCache>
                <c:formatCode>0.00E+00</c:formatCode>
                <c:ptCount val="9"/>
                <c:pt idx="0">
                  <c:v>2.39550692769993E-007</c:v>
                </c:pt>
                <c:pt idx="1">
                  <c:v>3.64837450592998E-007</c:v>
                </c:pt>
                <c:pt idx="2">
                  <c:v>4.86156555192889E-007</c:v>
                </c:pt>
                <c:pt idx="3">
                  <c:v>6.09094731234987E-007</c:v>
                </c:pt>
                <c:pt idx="4">
                  <c:v>7.34292177645204E-007</c:v>
                </c:pt>
                <c:pt idx="5">
                  <c:v>8.60510421014754E-007</c:v>
                </c:pt>
                <c:pt idx="6">
                  <c:v>9.81448426738776E-007</c:v>
                </c:pt>
                <c:pt idx="7">
                  <c:v>1.10338366100828E-006</c:v>
                </c:pt>
                <c:pt idx="8">
                  <c:v>1.23013178003037E-006</c:v>
                </c:pt>
              </c:numCache>
            </c:numRef>
          </c:xVal>
          <c:yVal>
            <c:numRef>
              <c:f>NaHPO4!$T$22:$T$30</c:f>
              <c:numCache>
                <c:formatCode>0.0000</c:formatCode>
                <c:ptCount val="9"/>
                <c:pt idx="0">
                  <c:v>-0.0585796672500906</c:v>
                </c:pt>
                <c:pt idx="1">
                  <c:v>-0.0791888317840269</c:v>
                </c:pt>
                <c:pt idx="2">
                  <c:v>-0.0957006865236727</c:v>
                </c:pt>
                <c:pt idx="3">
                  <c:v>-0.110578830891177</c:v>
                </c:pt>
                <c:pt idx="4">
                  <c:v>-0.124818220302347</c:v>
                </c:pt>
                <c:pt idx="5">
                  <c:v>-0.138606659780394</c:v>
                </c:pt>
                <c:pt idx="6">
                  <c:v>-0.150992559428469</c:v>
                </c:pt>
                <c:pt idx="7">
                  <c:v>-0.161755437743865</c:v>
                </c:pt>
                <c:pt idx="8">
                  <c:v>-0.169476537481555</c:v>
                </c:pt>
              </c:numCache>
            </c:numRef>
          </c:yVal>
          <c:smooth val="0"/>
        </c:ser>
        <c:axId val="9918272"/>
        <c:axId val="78981230"/>
      </c:scatterChart>
      <c:valAx>
        <c:axId val="9918272"/>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8981230"/>
        <c:crosses val="autoZero"/>
        <c:crossBetween val="midCat"/>
      </c:valAx>
      <c:valAx>
        <c:axId val="78981230"/>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918272"/>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0777725783809078"/>
          <c:y val="0.0305693839452396"/>
          <c:w val="0.891764155357979"/>
          <c:h val="0.84590852520224"/>
        </c:manualLayout>
      </c:layout>
      <c:scatterChart>
        <c:scatterStyle val="lineMarker"/>
        <c:varyColors val="0"/>
        <c:ser>
          <c:idx val="0"/>
          <c:order val="0"/>
          <c:tx>
            <c:strRef>
              <c:f>"pH=4,I=1.5M"</c:f>
              <c:strCache>
                <c:ptCount val="1"/>
                <c:pt idx="0">
                  <c:v>pH=4,I=1.5M</c:v>
                </c:pt>
              </c:strCache>
            </c:strRef>
          </c:tx>
          <c:spPr>
            <a:solidFill>
              <a:srgbClr val="0070c0"/>
            </a:solidFill>
            <a:ln cap="rnd" w="19080">
              <a:solidFill>
                <a:srgbClr val="0070c0"/>
              </a:solidFill>
              <a:round/>
            </a:ln>
          </c:spPr>
          <c:marker>
            <c:symbol val="circle"/>
            <c:size val="5"/>
            <c:spPr>
              <a:solidFill>
                <a:srgbClr val="0070c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NaHPO4!$I$4:$I$12</c:f>
              <c:numCache>
                <c:formatCode>0.0</c:formatCode>
                <c:ptCount val="9"/>
                <c:pt idx="0">
                  <c:v>235.882352941176</c:v>
                </c:pt>
                <c:pt idx="1">
                  <c:v>358.823529411765</c:v>
                </c:pt>
                <c:pt idx="2">
                  <c:v>477.647058823529</c:v>
                </c:pt>
                <c:pt idx="3">
                  <c:v>595.882352941177</c:v>
                </c:pt>
                <c:pt idx="4">
                  <c:v>716.470588235294</c:v>
                </c:pt>
                <c:pt idx="5">
                  <c:v>837.647058823529</c:v>
                </c:pt>
                <c:pt idx="6">
                  <c:v>956.470588235294</c:v>
                </c:pt>
                <c:pt idx="7">
                  <c:v>1076.47058823529</c:v>
                </c:pt>
                <c:pt idx="8">
                  <c:v>1195.88235294118</c:v>
                </c:pt>
              </c:numCache>
            </c:numRef>
          </c:xVal>
          <c:yVal>
            <c:numRef>
              <c:f>NaHPO4!$Z$4:$Z$12</c:f>
              <c:numCache>
                <c:formatCode>0.0000</c:formatCode>
                <c:ptCount val="9"/>
                <c:pt idx="0">
                  <c:v>0.839152719357757</c:v>
                </c:pt>
                <c:pt idx="1">
                  <c:v>0.781217927102692</c:v>
                </c:pt>
                <c:pt idx="2">
                  <c:v>0.757299097590054</c:v>
                </c:pt>
                <c:pt idx="3">
                  <c:v>0.730495469655466</c:v>
                </c:pt>
                <c:pt idx="4">
                  <c:v>0.70468445858584</c:v>
                </c:pt>
                <c:pt idx="5">
                  <c:v>0.684675011670642</c:v>
                </c:pt>
                <c:pt idx="6">
                  <c:v>0.623726402671865</c:v>
                </c:pt>
                <c:pt idx="7">
                  <c:v>0.604939016377313</c:v>
                </c:pt>
                <c:pt idx="8">
                  <c:v>0.579251600794425</c:v>
                </c:pt>
              </c:numCache>
            </c:numRef>
          </c:yVal>
          <c:smooth val="0"/>
        </c:ser>
        <c:ser>
          <c:idx val="1"/>
          <c:order val="1"/>
          <c:tx>
            <c:strRef>
              <c:f>"pH=7,I=1M"</c:f>
              <c:strCache>
                <c:ptCount val="1"/>
                <c:pt idx="0">
                  <c:v>pH=7,I=1M</c:v>
                </c:pt>
              </c:strCache>
            </c:strRef>
          </c:tx>
          <c:spPr>
            <a:solidFill>
              <a:srgbClr val="ff0000"/>
            </a:solidFill>
            <a:ln cap="rnd" w="19080">
              <a:solidFill>
                <a:srgbClr val="ff0000"/>
              </a:solidFill>
              <a:round/>
            </a:ln>
          </c:spPr>
          <c:marker>
            <c:symbol val="circle"/>
            <c:size val="5"/>
            <c:spPr>
              <a:solidFill>
                <a:srgbClr val="ff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NaHPO4!$I$13:$I$21</c:f>
              <c:numCache>
                <c:formatCode>0.0</c:formatCode>
                <c:ptCount val="9"/>
                <c:pt idx="0">
                  <c:v>231.764705882353</c:v>
                </c:pt>
                <c:pt idx="1">
                  <c:v>351.764705882353</c:v>
                </c:pt>
                <c:pt idx="2">
                  <c:v>468.235294117647</c:v>
                </c:pt>
                <c:pt idx="3">
                  <c:v>582.941176470588</c:v>
                </c:pt>
                <c:pt idx="4">
                  <c:v>700</c:v>
                </c:pt>
                <c:pt idx="5">
                  <c:v>817.058823529412</c:v>
                </c:pt>
                <c:pt idx="6">
                  <c:v>935.882352941177</c:v>
                </c:pt>
                <c:pt idx="7">
                  <c:v>1056.47058823529</c:v>
                </c:pt>
                <c:pt idx="8">
                  <c:v>1170.58823529412</c:v>
                </c:pt>
              </c:numCache>
            </c:numRef>
          </c:xVal>
          <c:yVal>
            <c:numRef>
              <c:f>NaHPO4!$Z$13:$Z$21</c:f>
              <c:numCache>
                <c:formatCode>0.0000</c:formatCode>
                <c:ptCount val="9"/>
                <c:pt idx="0">
                  <c:v>0.880761666913801</c:v>
                </c:pt>
                <c:pt idx="1">
                  <c:v>0.847830586757832</c:v>
                </c:pt>
                <c:pt idx="2">
                  <c:v>0.814675134727001</c:v>
                </c:pt>
                <c:pt idx="3">
                  <c:v>0.784103087603649</c:v>
                </c:pt>
                <c:pt idx="4">
                  <c:v>0.753866398715571</c:v>
                </c:pt>
                <c:pt idx="5">
                  <c:v>0.733391915141119</c:v>
                </c:pt>
                <c:pt idx="6">
                  <c:v>0.711696073763382</c:v>
                </c:pt>
                <c:pt idx="7">
                  <c:v>0.691372213788172</c:v>
                </c:pt>
                <c:pt idx="8">
                  <c:v>0.677384152374622</c:v>
                </c:pt>
              </c:numCache>
            </c:numRef>
          </c:yVal>
          <c:smooth val="0"/>
        </c:ser>
        <c:ser>
          <c:idx val="2"/>
          <c:order val="2"/>
          <c:tx>
            <c:strRef>
              <c:f>"pH=8,I=1M"</c:f>
              <c:strCache>
                <c:ptCount val="1"/>
                <c:pt idx="0">
                  <c:v>pH=8,I=1M</c:v>
                </c:pt>
              </c:strCache>
            </c:strRef>
          </c:tx>
          <c:spPr>
            <a:solidFill>
              <a:srgbClr val="00b050"/>
            </a:solidFill>
            <a:ln cap="rnd" w="19080">
              <a:solidFill>
                <a:srgbClr val="00b050"/>
              </a:solidFill>
              <a:round/>
            </a:ln>
          </c:spPr>
          <c:marker>
            <c:symbol val="circle"/>
            <c:size val="5"/>
            <c:spPr>
              <a:solidFill>
                <a:srgbClr val="00b05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NaHPO4!$I$22:$I$30</c:f>
              <c:numCache>
                <c:formatCode>0.0</c:formatCode>
                <c:ptCount val="9"/>
                <c:pt idx="0">
                  <c:v>228.235294117647</c:v>
                </c:pt>
                <c:pt idx="1">
                  <c:v>347.058823529412</c:v>
                </c:pt>
                <c:pt idx="2">
                  <c:v>461.764705882353</c:v>
                </c:pt>
                <c:pt idx="3">
                  <c:v>577.647058823529</c:v>
                </c:pt>
                <c:pt idx="4">
                  <c:v>695.294117647059</c:v>
                </c:pt>
                <c:pt idx="5">
                  <c:v>813.529411764706</c:v>
                </c:pt>
                <c:pt idx="6">
                  <c:v>926.470588235294</c:v>
                </c:pt>
                <c:pt idx="7">
                  <c:v>1040</c:v>
                </c:pt>
                <c:pt idx="8">
                  <c:v>1157.64705882353</c:v>
                </c:pt>
              </c:numCache>
            </c:numRef>
          </c:xVal>
          <c:yVal>
            <c:numRef>
              <c:f>NaHPO4!$Z$22:$Z$30</c:f>
              <c:numCache>
                <c:formatCode>0.0000</c:formatCode>
                <c:ptCount val="9"/>
                <c:pt idx="0">
                  <c:v>0.88314318691098</c:v>
                </c:pt>
                <c:pt idx="1">
                  <c:v>0.832263654397953</c:v>
                </c:pt>
                <c:pt idx="2">
                  <c:v>0.813919697262298</c:v>
                </c:pt>
                <c:pt idx="3">
                  <c:v>0.773489838946151</c:v>
                </c:pt>
                <c:pt idx="4">
                  <c:v>0.748686514378947</c:v>
                </c:pt>
                <c:pt idx="5">
                  <c:v>0.717731170424266</c:v>
                </c:pt>
                <c:pt idx="6">
                  <c:v>0.699847613939737</c:v>
                </c:pt>
                <c:pt idx="7">
                  <c:v>0.683110388817</c:v>
                </c:pt>
                <c:pt idx="8">
                  <c:v>0.661065625914021</c:v>
                </c:pt>
              </c:numCache>
            </c:numRef>
          </c:yVal>
          <c:smooth val="0"/>
        </c:ser>
        <c:axId val="43364567"/>
        <c:axId val="76539040"/>
      </c:scatterChart>
      <c:valAx>
        <c:axId val="43364567"/>
        <c:scaling>
          <c:orientation val="minMax"/>
        </c:scaling>
        <c:delete val="0"/>
        <c:axPos val="b"/>
        <c:title>
          <c:tx>
            <c:rich>
              <a:bodyPr rot="0"/>
              <a:lstStyle/>
              <a:p>
                <a:pPr>
                  <a:defRPr b="0" lang="en-GB" sz="1000" spc="-1" strike="noStrike">
                    <a:solidFill>
                      <a:srgbClr val="595959"/>
                    </a:solidFill>
                    <a:latin typeface="Calibri"/>
                  </a:defRPr>
                </a:pPr>
                <a:r>
                  <a:rPr b="0" lang="en-GB" sz="1000" spc="-1" strike="noStrike">
                    <a:solidFill>
                      <a:srgbClr val="595959"/>
                    </a:solidFill>
                    <a:latin typeface="Calibri"/>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6539040"/>
        <c:crosses val="autoZero"/>
        <c:crossBetween val="midCat"/>
      </c:valAx>
      <c:valAx>
        <c:axId val="76539040"/>
        <c:scaling>
          <c:orientation val="minMax"/>
          <c:max val="1"/>
          <c:min val="0.5"/>
        </c:scaling>
        <c:delete val="0"/>
        <c:axPos val="l"/>
        <c:majorGridlines>
          <c:spPr>
            <a:ln w="9360">
              <a:solidFill>
                <a:srgbClr val="d9d9d9"/>
              </a:solidFill>
              <a:round/>
            </a:ln>
          </c:spPr>
        </c:majorGridlines>
        <c:title>
          <c:tx>
            <c:rich>
              <a:bodyPr rot="-5400000"/>
              <a:lstStyle/>
              <a:p>
                <a:pPr>
                  <a:defRPr b="0" lang="en-GB" sz="1000" spc="-1" strike="noStrike">
                    <a:solidFill>
                      <a:srgbClr val="595959"/>
                    </a:solidFill>
                    <a:latin typeface="Calibri"/>
                  </a:defRPr>
                </a:pPr>
                <a:r>
                  <a:rPr b="0" lang="en-GB" sz="1000" spc="-1" strike="noStrike">
                    <a:solidFill>
                      <a:srgbClr val="595959"/>
                    </a:solidFill>
                    <a:latin typeface="Calibri"/>
                  </a:rPr>
                  <a:t>𝜸</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3364567"/>
        <c:crosses val="autoZero"/>
        <c:crossBetween val="midCat"/>
        <c:majorUnit val="0.1"/>
      </c:valAx>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Activity Coefficient Agena</a:t>
            </a:r>
          </a:p>
        </c:rich>
      </c:tx>
      <c:overlay val="0"/>
      <c:spPr>
        <a:noFill/>
        <a:ln w="0">
          <a:noFill/>
        </a:ln>
      </c:spPr>
    </c:title>
    <c:autoTitleDeleted val="0"/>
    <c:plotArea>
      <c:scatterChart>
        <c:scatterStyle val="line"/>
        <c:varyColors val="0"/>
        <c:ser>
          <c:idx val="0"/>
          <c:order val="0"/>
          <c:tx>
            <c:strRef>
              <c:f>"pH=4,I=1.5M"</c:f>
              <c:strCache>
                <c:ptCount val="1"/>
                <c:pt idx="0">
                  <c:v>pH=4,I=1.5M</c:v>
                </c:pt>
              </c:strCache>
            </c:strRef>
          </c:tx>
          <c:spPr>
            <a:solidFill>
              <a:srgbClr val="4472c4"/>
            </a:solidFill>
            <a:ln cap="rnd" w="19080">
              <a:solidFill>
                <a:srgbClr val="4472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NaHPO4!$I$4:$I$9</c:f>
              <c:numCache>
                <c:formatCode>0.0</c:formatCode>
                <c:ptCount val="6"/>
                <c:pt idx="0">
                  <c:v>235.882352941176</c:v>
                </c:pt>
                <c:pt idx="1">
                  <c:v>358.823529411765</c:v>
                </c:pt>
                <c:pt idx="2">
                  <c:v>477.647058823529</c:v>
                </c:pt>
                <c:pt idx="3">
                  <c:v>595.882352941177</c:v>
                </c:pt>
                <c:pt idx="4">
                  <c:v>716.470588235294</c:v>
                </c:pt>
                <c:pt idx="5">
                  <c:v>837.647058823529</c:v>
                </c:pt>
              </c:numCache>
            </c:numRef>
          </c:xVal>
          <c:yVal>
            <c:numRef>
              <c:f>NaHPO4!$AA$4:$AA$9</c:f>
              <c:numCache>
                <c:formatCode>0.0000</c:formatCode>
                <c:ptCount val="6"/>
                <c:pt idx="0">
                  <c:v>0.968656678661834</c:v>
                </c:pt>
                <c:pt idx="1">
                  <c:v>0.952635819652242</c:v>
                </c:pt>
                <c:pt idx="2">
                  <c:v>0.937354241881174</c:v>
                </c:pt>
                <c:pt idx="3">
                  <c:v>0.922344217642043</c:v>
                </c:pt>
                <c:pt idx="4">
                  <c:v>0.907234879376229</c:v>
                </c:pt>
                <c:pt idx="5">
                  <c:v>0.892252739406328</c:v>
                </c:pt>
              </c:numCache>
            </c:numRef>
          </c:yVal>
          <c:smooth val="1"/>
        </c:ser>
        <c:ser>
          <c:idx val="1"/>
          <c:order val="1"/>
          <c:tx>
            <c:strRef>
              <c:f>"pH=7,I=1M"</c:f>
              <c:strCache>
                <c:ptCount val="1"/>
                <c:pt idx="0">
                  <c:v>pH=7,I=1M</c:v>
                </c:pt>
              </c:strCache>
            </c:strRef>
          </c:tx>
          <c:spPr>
            <a:solidFill>
              <a:srgbClr val="a5a5a5"/>
            </a:solidFill>
            <a:ln cap="rnd" w="19080">
              <a:solidFill>
                <a:srgbClr val="a5a5a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NaHPO4!$I$13:$I$21</c:f>
              <c:numCache>
                <c:formatCode>0.0</c:formatCode>
                <c:ptCount val="9"/>
                <c:pt idx="0">
                  <c:v>231.764705882353</c:v>
                </c:pt>
                <c:pt idx="1">
                  <c:v>351.764705882353</c:v>
                </c:pt>
                <c:pt idx="2">
                  <c:v>468.235294117647</c:v>
                </c:pt>
                <c:pt idx="3">
                  <c:v>582.941176470588</c:v>
                </c:pt>
                <c:pt idx="4">
                  <c:v>700</c:v>
                </c:pt>
                <c:pt idx="5">
                  <c:v>817.058823529412</c:v>
                </c:pt>
                <c:pt idx="6">
                  <c:v>935.882352941177</c:v>
                </c:pt>
                <c:pt idx="7">
                  <c:v>1056.47058823529</c:v>
                </c:pt>
                <c:pt idx="8">
                  <c:v>1170.58823529412</c:v>
                </c:pt>
              </c:numCache>
            </c:numRef>
          </c:xVal>
          <c:yVal>
            <c:numRef>
              <c:f>NaHPO4!$AA$13:$AA$21</c:f>
              <c:numCache>
                <c:formatCode>0.0000</c:formatCode>
                <c:ptCount val="9"/>
                <c:pt idx="0">
                  <c:v>0.952166675750259</c:v>
                </c:pt>
                <c:pt idx="1">
                  <c:v>0.928196683133466</c:v>
                </c:pt>
                <c:pt idx="2">
                  <c:v>0.905438735021999</c:v>
                </c:pt>
                <c:pt idx="3">
                  <c:v>0.883504821731716</c:v>
                </c:pt>
                <c:pt idx="4">
                  <c:v>0.861602313143846</c:v>
                </c:pt>
                <c:pt idx="5">
                  <c:v>0.840177089156749</c:v>
                </c:pt>
                <c:pt idx="6">
                  <c:v>0.818907897334461</c:v>
                </c:pt>
                <c:pt idx="7">
                  <c:v>0.797806910127642</c:v>
                </c:pt>
                <c:pt idx="8">
                  <c:v>0.77827882042792</c:v>
                </c:pt>
              </c:numCache>
            </c:numRef>
          </c:yVal>
          <c:smooth val="1"/>
        </c:ser>
        <c:ser>
          <c:idx val="2"/>
          <c:order val="2"/>
          <c:tx>
            <c:strRef>
              <c:f>"pH=8,I=1M"</c:f>
              <c:strCache>
                <c:ptCount val="1"/>
                <c:pt idx="0">
                  <c:v>pH=8,I=1M</c:v>
                </c:pt>
              </c:strCache>
            </c:strRef>
          </c:tx>
          <c:spPr>
            <a:solidFill>
              <a:srgbClr val="5b9bd5"/>
            </a:solidFill>
            <a:ln cap="rnd" w="19080">
              <a:solidFill>
                <a:srgbClr val="5b9bd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NaHPO4!$I$22:$I$30</c:f>
              <c:numCache>
                <c:formatCode>0.0</c:formatCode>
                <c:ptCount val="9"/>
                <c:pt idx="0">
                  <c:v>228.235294117647</c:v>
                </c:pt>
                <c:pt idx="1">
                  <c:v>347.058823529412</c:v>
                </c:pt>
                <c:pt idx="2">
                  <c:v>461.764705882353</c:v>
                </c:pt>
                <c:pt idx="3">
                  <c:v>577.647058823529</c:v>
                </c:pt>
                <c:pt idx="4">
                  <c:v>695.294117647059</c:v>
                </c:pt>
                <c:pt idx="5">
                  <c:v>813.529411764706</c:v>
                </c:pt>
                <c:pt idx="6">
                  <c:v>926.470588235294</c:v>
                </c:pt>
                <c:pt idx="7">
                  <c:v>1040</c:v>
                </c:pt>
                <c:pt idx="8">
                  <c:v>1157.64705882353</c:v>
                </c:pt>
              </c:numCache>
            </c:numRef>
          </c:xVal>
          <c:yVal>
            <c:numRef>
              <c:f>NaHPO4!$AA$22:$AA$30</c:f>
              <c:numCache>
                <c:formatCode>0.0000</c:formatCode>
                <c:ptCount val="9"/>
                <c:pt idx="0">
                  <c:v>0.946978374859887</c:v>
                </c:pt>
                <c:pt idx="1">
                  <c:v>0.920376966496315</c:v>
                </c:pt>
                <c:pt idx="2">
                  <c:v>0.895330333138829</c:v>
                </c:pt>
                <c:pt idx="3">
                  <c:v>0.870644664309172</c:v>
                </c:pt>
                <c:pt idx="4">
                  <c:v>0.846204720604733</c:v>
                </c:pt>
                <c:pt idx="5">
                  <c:v>0.822259921811242</c:v>
                </c:pt>
                <c:pt idx="6">
                  <c:v>0.799952720844348</c:v>
                </c:pt>
                <c:pt idx="7">
                  <c:v>0.778074214412248</c:v>
                </c:pt>
                <c:pt idx="8">
                  <c:v>0.755966180572144</c:v>
                </c:pt>
              </c:numCache>
            </c:numRef>
          </c:yVal>
          <c:smooth val="1"/>
        </c:ser>
        <c:axId val="69873179"/>
        <c:axId val="8301260"/>
      </c:scatterChart>
      <c:valAx>
        <c:axId val="69873179"/>
        <c:scaling>
          <c:orientation val="minMax"/>
        </c:scaling>
        <c:delete val="0"/>
        <c:axPos val="b"/>
        <c:title>
          <c:tx>
            <c:rich>
              <a:bodyPr rot="0"/>
              <a:lstStyle/>
              <a:p>
                <a:pPr>
                  <a:defRPr b="0" lang="en-GB" sz="1000" spc="-1" strike="noStrike">
                    <a:solidFill>
                      <a:srgbClr val="595959"/>
                    </a:solidFill>
                    <a:latin typeface="Calibri"/>
                  </a:defRPr>
                </a:pPr>
                <a:r>
                  <a:rPr b="0" lang="en-GB" sz="1000" spc="-1" strike="noStrike">
                    <a:solidFill>
                      <a:srgbClr val="595959"/>
                    </a:solidFill>
                    <a:latin typeface="Calibri"/>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301260"/>
        <c:crosses val="autoZero"/>
        <c:crossBetween val="midCat"/>
      </c:valAx>
      <c:valAx>
        <c:axId val="8301260"/>
        <c:scaling>
          <c:orientation val="minMax"/>
          <c:max val="1.1"/>
          <c:min val="0"/>
        </c:scaling>
        <c:delete val="0"/>
        <c:axPos val="l"/>
        <c:majorGridlines>
          <c:spPr>
            <a:ln w="9360">
              <a:solidFill>
                <a:srgbClr val="d9d9d9"/>
              </a:solidFill>
              <a:round/>
            </a:ln>
          </c:spPr>
        </c:majorGridlines>
        <c:title>
          <c:tx>
            <c:rich>
              <a:bodyPr rot="-5400000"/>
              <a:lstStyle/>
              <a:p>
                <a:pPr>
                  <a:defRPr b="0" lang="en-GB" sz="1000" spc="-1" strike="noStrike">
                    <a:solidFill>
                      <a:srgbClr val="595959"/>
                    </a:solidFill>
                    <a:latin typeface="Calibri"/>
                  </a:defRPr>
                </a:pPr>
                <a:r>
                  <a:rPr b="0" lang="en-GB" sz="1000" spc="-1" strike="noStrike">
                    <a:solidFill>
                      <a:srgbClr val="595959"/>
                    </a:solidFill>
                    <a:latin typeface="Calibri"/>
                  </a:rPr>
                  <a:t>𝜸m</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69873179"/>
        <c:crosses val="autoZero"/>
        <c:crossBetween val="midCat"/>
        <c:majorUnit val="0.1"/>
      </c:valAx>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pH=4  I=1M.5</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NaHPO4!$J$4:$J$12</c:f>
              <c:numCache>
                <c:formatCode>0.00E+00</c:formatCode>
                <c:ptCount val="9"/>
                <c:pt idx="0">
                  <c:v>2.51589977869349E-007</c:v>
                </c:pt>
                <c:pt idx="1">
                  <c:v>3.83350098626928E-007</c:v>
                </c:pt>
                <c:pt idx="2">
                  <c:v>5.11111523485204E-007</c:v>
                </c:pt>
                <c:pt idx="3">
                  <c:v>6.38646674232044E-007</c:v>
                </c:pt>
                <c:pt idx="4">
                  <c:v>7.6913922920913E-007</c:v>
                </c:pt>
                <c:pt idx="5">
                  <c:v>9.00697037343335E-007</c:v>
                </c:pt>
                <c:pt idx="6">
                  <c:v>1.04828617091278E-006</c:v>
                </c:pt>
                <c:pt idx="7">
                  <c:v>1.1817601091617E-006</c:v>
                </c:pt>
                <c:pt idx="8">
                  <c:v>1.31501950702856E-006</c:v>
                </c:pt>
              </c:numCache>
            </c:numRef>
          </c:xVal>
          <c:yVal>
            <c:numRef>
              <c:f>NaHPO4!$S$4:$S$12</c:f>
              <c:numCache>
                <c:formatCode>0.0000</c:formatCode>
                <c:ptCount val="9"/>
                <c:pt idx="0">
                  <c:v>-0.0693398448374931</c:v>
                </c:pt>
                <c:pt idx="1">
                  <c:v>-0.104010384492966</c:v>
                </c:pt>
                <c:pt idx="2">
                  <c:v>-0.106562026492808</c:v>
                </c:pt>
                <c:pt idx="3">
                  <c:v>-0.118274403447042</c:v>
                </c:pt>
                <c:pt idx="4">
                  <c:v>-0.131386094527397</c:v>
                </c:pt>
                <c:pt idx="5">
                  <c:v>-0.137582825706921</c:v>
                </c:pt>
                <c:pt idx="6">
                  <c:v>-0.204872713598916</c:v>
                </c:pt>
                <c:pt idx="7">
                  <c:v>-0.211340357822755</c:v>
                </c:pt>
                <c:pt idx="8">
                  <c:v>-0.230754930711865</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NaHPO4!$J$4:$J$12</c:f>
              <c:numCache>
                <c:formatCode>0.00E+00</c:formatCode>
                <c:ptCount val="9"/>
                <c:pt idx="0">
                  <c:v>2.51589977869349E-007</c:v>
                </c:pt>
                <c:pt idx="1">
                  <c:v>3.83350098626928E-007</c:v>
                </c:pt>
                <c:pt idx="2">
                  <c:v>5.11111523485204E-007</c:v>
                </c:pt>
                <c:pt idx="3">
                  <c:v>6.38646674232044E-007</c:v>
                </c:pt>
                <c:pt idx="4">
                  <c:v>7.6913922920913E-007</c:v>
                </c:pt>
                <c:pt idx="5">
                  <c:v>9.00697037343335E-007</c:v>
                </c:pt>
                <c:pt idx="6">
                  <c:v>1.04828617091278E-006</c:v>
                </c:pt>
                <c:pt idx="7">
                  <c:v>1.1817601091617E-006</c:v>
                </c:pt>
                <c:pt idx="8">
                  <c:v>1.31501950702856E-006</c:v>
                </c:pt>
              </c:numCache>
            </c:numRef>
          </c:xVal>
          <c:yVal>
            <c:numRef>
              <c:f>NaHPO4!$T$4:$T$12</c:f>
              <c:numCache>
                <c:formatCode>0.0000</c:formatCode>
                <c:ptCount val="9"/>
                <c:pt idx="0">
                  <c:v>-0.0799335387793978</c:v>
                </c:pt>
                <c:pt idx="1">
                  <c:v>-0.0946298218208583</c:v>
                </c:pt>
                <c:pt idx="2">
                  <c:v>-0.10413446804945</c:v>
                </c:pt>
                <c:pt idx="3">
                  <c:v>-0.115312721549829</c:v>
                </c:pt>
                <c:pt idx="4">
                  <c:v>-0.132219657337321</c:v>
                </c:pt>
                <c:pt idx="5">
                  <c:v>-0.155793131446034</c:v>
                </c:pt>
                <c:pt idx="6">
                  <c:v>-0.187398943198549</c:v>
                </c:pt>
                <c:pt idx="7">
                  <c:v>-0.214724864935567</c:v>
                </c:pt>
                <c:pt idx="8">
                  <c:v>-0.231772205258711</c:v>
                </c:pt>
              </c:numCache>
            </c:numRef>
          </c:yVal>
          <c:smooth val="0"/>
        </c:ser>
        <c:axId val="20798591"/>
        <c:axId val="30101550"/>
      </c:scatterChart>
      <c:valAx>
        <c:axId val="20798591"/>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0101550"/>
        <c:crosses val="autoZero"/>
        <c:crossBetween val="midCat"/>
      </c:valAx>
      <c:valAx>
        <c:axId val="30101550"/>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0798591"/>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159480</xdr:colOff>
      <xdr:row>30</xdr:row>
      <xdr:rowOff>155160</xdr:rowOff>
    </xdr:from>
    <xdr:to>
      <xdr:col>19</xdr:col>
      <xdr:colOff>497520</xdr:colOff>
      <xdr:row>44</xdr:row>
      <xdr:rowOff>131760</xdr:rowOff>
    </xdr:to>
    <xdr:graphicFrame>
      <xdr:nvGraphicFramePr>
        <xdr:cNvPr id="0" name="Chart 1"/>
        <xdr:cNvGraphicFramePr/>
      </xdr:nvGraphicFramePr>
      <xdr:xfrm>
        <a:off x="10814040" y="6156000"/>
        <a:ext cx="4716000" cy="2777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541800</xdr:colOff>
      <xdr:row>30</xdr:row>
      <xdr:rowOff>148320</xdr:rowOff>
    </xdr:from>
    <xdr:to>
      <xdr:col>26</xdr:col>
      <xdr:colOff>611640</xdr:colOff>
      <xdr:row>44</xdr:row>
      <xdr:rowOff>124920</xdr:rowOff>
    </xdr:to>
    <xdr:graphicFrame>
      <xdr:nvGraphicFramePr>
        <xdr:cNvPr id="1" name="Chart 2"/>
        <xdr:cNvGraphicFramePr/>
      </xdr:nvGraphicFramePr>
      <xdr:xfrm>
        <a:off x="15574320" y="6149160"/>
        <a:ext cx="4678560" cy="2777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30</xdr:col>
      <xdr:colOff>218880</xdr:colOff>
      <xdr:row>16</xdr:row>
      <xdr:rowOff>159480</xdr:rowOff>
    </xdr:from>
    <xdr:to>
      <xdr:col>39</xdr:col>
      <xdr:colOff>246240</xdr:colOff>
      <xdr:row>39</xdr:row>
      <xdr:rowOff>186840</xdr:rowOff>
    </xdr:to>
    <xdr:graphicFrame>
      <xdr:nvGraphicFramePr>
        <xdr:cNvPr id="2" name="Chart 3"/>
        <xdr:cNvGraphicFramePr/>
      </xdr:nvGraphicFramePr>
      <xdr:xfrm>
        <a:off x="23082840" y="3359880"/>
        <a:ext cx="7692840" cy="4627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39</xdr:col>
      <xdr:colOff>268200</xdr:colOff>
      <xdr:row>16</xdr:row>
      <xdr:rowOff>155160</xdr:rowOff>
    </xdr:from>
    <xdr:to>
      <xdr:col>48</xdr:col>
      <xdr:colOff>394560</xdr:colOff>
      <xdr:row>39</xdr:row>
      <xdr:rowOff>182520</xdr:rowOff>
    </xdr:to>
    <xdr:graphicFrame>
      <xdr:nvGraphicFramePr>
        <xdr:cNvPr id="3" name="Chart 4"/>
        <xdr:cNvGraphicFramePr/>
      </xdr:nvGraphicFramePr>
      <xdr:xfrm>
        <a:off x="30797640" y="3355560"/>
        <a:ext cx="7470360" cy="46278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437400</xdr:colOff>
      <xdr:row>30</xdr:row>
      <xdr:rowOff>113040</xdr:rowOff>
    </xdr:from>
    <xdr:to>
      <xdr:col>13</xdr:col>
      <xdr:colOff>97920</xdr:colOff>
      <xdr:row>44</xdr:row>
      <xdr:rowOff>89640</xdr:rowOff>
    </xdr:to>
    <xdr:graphicFrame>
      <xdr:nvGraphicFramePr>
        <xdr:cNvPr id="4" name="Chart 5"/>
        <xdr:cNvGraphicFramePr/>
      </xdr:nvGraphicFramePr>
      <xdr:xfrm>
        <a:off x="6050880" y="6113880"/>
        <a:ext cx="4701600" cy="27770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3"/>
  <sheetViews>
    <sheetView showFormulas="false" showGridLines="true" showRowColHeaders="true" showZeros="true" rightToLeft="false" tabSelected="true" showOutlineSymbols="true" defaultGridColor="true" view="normal" topLeftCell="S1" colorId="64" zoomScale="90" zoomScaleNormal="90" zoomScalePageLayoutView="100" workbookViewId="0">
      <selection pane="topLeft" activeCell="AM13" activeCellId="0" sqref="AM13"/>
    </sheetView>
  </sheetViews>
  <sheetFormatPr defaultColWidth="10.62109375" defaultRowHeight="15.75" zeroHeight="false" outlineLevelRow="0" outlineLevelCol="0"/>
  <cols>
    <col collapsed="false" customWidth="true" hidden="false" outlineLevel="0" max="1" min="1" style="1" width="12.33"/>
    <col collapsed="false" customWidth="true" hidden="false" outlineLevel="0" max="4" min="4" style="1" width="5.66"/>
    <col collapsed="false" customWidth="true" hidden="false" outlineLevel="0" max="6" min="5" style="1" width="7.82"/>
    <col collapsed="false" customWidth="true" hidden="false" outlineLevel="0" max="7" min="7" style="1" width="8"/>
    <col collapsed="false" customWidth="true" hidden="false" outlineLevel="0" max="9" min="8" style="1" width="10.17"/>
    <col collapsed="false" customWidth="true" hidden="false" outlineLevel="0" max="11" min="11" style="1" width="14.16"/>
    <col collapsed="false" customWidth="true" hidden="false" outlineLevel="0" max="13" min="12" style="1" width="15.33"/>
    <col collapsed="false" customWidth="true" hidden="false" outlineLevel="0" max="14" min="14" style="1" width="14.82"/>
    <col collapsed="false" customWidth="true" hidden="false" outlineLevel="0" max="15" min="15" style="1" width="9.83"/>
    <col collapsed="false" customWidth="true" hidden="false" outlineLevel="0" max="16" min="16" style="1" width="9.66"/>
    <col collapsed="false" customWidth="true" hidden="false" outlineLevel="0" max="18" min="17" style="1" width="7.33"/>
    <col collapsed="false" customWidth="true" hidden="false" outlineLevel="0" max="20" min="19" style="1" width="8"/>
    <col collapsed="false" customWidth="true" hidden="false" outlineLevel="0" max="21" min="21" style="1" width="10.83"/>
    <col collapsed="false" customWidth="true" hidden="false" outlineLevel="0" max="22" min="22" style="1" width="5.66"/>
    <col collapsed="false" customWidth="true" hidden="false" outlineLevel="0" max="23" min="23" style="1" width="5.16"/>
    <col collapsed="false" customWidth="true" hidden="false" outlineLevel="0" max="24" min="24" style="1" width="7.33"/>
    <col collapsed="false" customWidth="true" hidden="false" outlineLevel="0" max="27" min="25" style="1" width="11.5"/>
    <col collapsed="false" customWidth="true" hidden="false" outlineLevel="0" max="29" min="29" style="1" width="5.16"/>
    <col collapsed="false" customWidth="true" hidden="false" outlineLevel="0" max="30" min="30" style="1" width="14.66"/>
    <col collapsed="false" customWidth="true" hidden="false" outlineLevel="0" max="31" min="31" style="1" width="11.5"/>
    <col collapsed="false" customWidth="true" hidden="false" outlineLevel="0" max="32" min="32" style="1" width="11.66"/>
    <col collapsed="false" customWidth="true" hidden="false" outlineLevel="0" max="33" min="33" style="1" width="11.84"/>
    <col collapsed="false" customWidth="true" hidden="false" outlineLevel="0" max="34" min="34" style="1" width="11.66"/>
  </cols>
  <sheetData>
    <row r="1" customFormat="false" ht="15.75" hidden="false" customHeight="true" outlineLevel="0" collapsed="false">
      <c r="A1" s="1" t="s">
        <v>0</v>
      </c>
      <c r="B1" s="1" t="n">
        <v>8.31446261815324</v>
      </c>
    </row>
    <row r="2" customFormat="false" ht="15.75" hidden="false" customHeight="true" outlineLevel="0" collapsed="false">
      <c r="A2" s="1" t="s">
        <v>1</v>
      </c>
      <c r="B2" s="1" t="n">
        <f aca="false">25+273.15</f>
        <v>298.15</v>
      </c>
      <c r="G2" s="2"/>
      <c r="H2" s="2"/>
      <c r="I2" s="2"/>
      <c r="J2" s="2"/>
      <c r="K2" s="2"/>
      <c r="L2" s="2"/>
      <c r="M2" s="2"/>
      <c r="N2" s="2"/>
      <c r="O2" s="2"/>
      <c r="P2" s="2"/>
      <c r="Q2" s="2"/>
      <c r="R2" s="2"/>
      <c r="S2" s="2"/>
      <c r="T2" s="2"/>
      <c r="U2" s="2"/>
      <c r="V2" s="2"/>
      <c r="W2" s="2"/>
      <c r="X2" s="2"/>
      <c r="Y2" s="2"/>
      <c r="Z2" s="2"/>
      <c r="AA2" s="2"/>
      <c r="AC2" s="1" t="s">
        <v>2</v>
      </c>
      <c r="AD2" s="1" t="s">
        <v>3</v>
      </c>
      <c r="AE2" s="1" t="s">
        <v>4</v>
      </c>
    </row>
    <row r="3" customFormat="false" ht="15.75" hidden="false" customHeight="true" outlineLevel="0" collapsed="false">
      <c r="D3" s="3" t="s">
        <v>2</v>
      </c>
      <c r="E3" s="4" t="s">
        <v>5</v>
      </c>
      <c r="F3" s="4" t="s">
        <v>6</v>
      </c>
      <c r="G3" s="4" t="s">
        <v>7</v>
      </c>
      <c r="H3" s="3" t="s">
        <v>8</v>
      </c>
      <c r="I3" s="3"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3" t="s">
        <v>24</v>
      </c>
      <c r="Y3" s="3" t="s">
        <v>25</v>
      </c>
      <c r="Z3" s="3" t="s">
        <v>26</v>
      </c>
      <c r="AA3" s="5" t="s">
        <v>27</v>
      </c>
      <c r="AC3" s="1" t="n">
        <v>4</v>
      </c>
      <c r="AD3" s="1" t="n">
        <v>17</v>
      </c>
      <c r="AE3" s="1" t="n">
        <f aca="false">AD3*1000</f>
        <v>17000</v>
      </c>
    </row>
    <row r="4" customFormat="false" ht="15.75" hidden="false" customHeight="true" outlineLevel="0" collapsed="false">
      <c r="D4" s="6" t="n">
        <v>4</v>
      </c>
      <c r="E4" s="7" t="n">
        <f aca="false">10^-D4</f>
        <v>0.0001</v>
      </c>
      <c r="F4" s="7" t="n">
        <f aca="false">0.00000000000001/E4</f>
        <v>1E-010</v>
      </c>
      <c r="G4" s="8" t="n">
        <v>4.01</v>
      </c>
      <c r="H4" s="9" t="n">
        <f aca="false">G4/$AE$3</f>
        <v>0.000235882352941176</v>
      </c>
      <c r="I4" s="10" t="n">
        <f aca="false">1000000*H4</f>
        <v>235.882352941176</v>
      </c>
      <c r="J4" s="11" t="n">
        <f aca="false">H4/($B$9*(1-H4*$AE$3*$B$5/1000) - L4*($B$11+$B$12) - M4*(2*$B$11+$B$13) - E4*$B$15 - F4*$B$16)</f>
        <v>2.51589977869349E-007</v>
      </c>
      <c r="K4" s="8" t="n">
        <f aca="false">1.5/3</f>
        <v>0.5</v>
      </c>
      <c r="L4" s="12" t="n">
        <f aca="false">M4*E4/(10^-$B$19)</f>
        <v>0.327910252956198</v>
      </c>
      <c r="M4" s="12" t="n">
        <f aca="false">(10^-$B$19)*K4/(E4+(10^-$B$19))</f>
        <v>0.172089747043802</v>
      </c>
      <c r="N4" s="11" t="n">
        <f aca="false">(L4+3*M4)/($B$9*(1-H4*$AE$3*$B$5/1000) - L4*($B$11+$B$12) - M4*(2*$B$11+$B$13) - E4*$B$15 - F4*$B$16)</f>
        <v>0.00090039419052354</v>
      </c>
      <c r="O4" s="8" t="n">
        <v>4.4</v>
      </c>
      <c r="P4" s="8" t="n">
        <f aca="false">O4*133.322</f>
        <v>586.6168</v>
      </c>
      <c r="Q4" s="13" t="n">
        <f aca="false">$B$1*$B$2*$B$9*1000*(J4+0.25*$AD$14*$AD$14*J4*J4/N4)</f>
        <v>630.323321296127</v>
      </c>
      <c r="R4" s="14" t="n">
        <f aca="false">P4/Q4</f>
        <v>0.930660155162507</v>
      </c>
      <c r="S4" s="14" t="n">
        <f aca="false">R4-1</f>
        <v>-0.0693398448374931</v>
      </c>
      <c r="T4" s="14" t="n">
        <f aca="false">$U$4+$U$5*J4+$U$6*J4*J4+$U$7*J4*J4*J4+$U$8*J4*J4*J4*J4</f>
        <v>-0.0799335387793978</v>
      </c>
      <c r="U4" s="15" t="n">
        <v>0</v>
      </c>
      <c r="V4" s="8" t="n">
        <f aca="false">S4-T4</f>
        <v>0.0105936939419046</v>
      </c>
      <c r="W4" s="8" t="n">
        <f aca="false">V4*V4</f>
        <v>0.000112226351334747</v>
      </c>
      <c r="X4" s="16" t="n">
        <f aca="false">EXP(S4+$U$5*J4+$U$6*J4*J4/2+$U$7*J4*J4*J4/3+$U$8*J4*J4*J4*J4/4)</f>
        <v>0.839152719357757</v>
      </c>
      <c r="Y4" s="16" t="n">
        <f aca="false">EXP(2*$AG$11*J4)</f>
        <v>0.968656678661834</v>
      </c>
      <c r="Z4" s="16" t="n">
        <f aca="false">X4</f>
        <v>0.839152719357757</v>
      </c>
      <c r="AA4" s="17" t="n">
        <f aca="false">Y4</f>
        <v>0.968656678661834</v>
      </c>
      <c r="AC4" s="1" t="n">
        <v>7</v>
      </c>
      <c r="AD4" s="1" t="n">
        <v>17</v>
      </c>
      <c r="AE4" s="1" t="n">
        <f aca="false">AD4*1000</f>
        <v>17000</v>
      </c>
    </row>
    <row r="5" customFormat="false" ht="15.75" hidden="false" customHeight="true" outlineLevel="0" collapsed="false">
      <c r="A5" s="1" t="s">
        <v>28</v>
      </c>
      <c r="B5" s="1" t="n">
        <v>0.742</v>
      </c>
      <c r="C5" s="1" t="s">
        <v>29</v>
      </c>
      <c r="D5" s="6"/>
      <c r="E5" s="18" t="n">
        <f aca="false">E4</f>
        <v>0.0001</v>
      </c>
      <c r="F5" s="18" t="n">
        <f aca="false">0.00000000000001/E5</f>
        <v>1E-010</v>
      </c>
      <c r="G5" s="19" t="n">
        <v>6.1</v>
      </c>
      <c r="H5" s="20" t="n">
        <f aca="false">G5/$AE$3</f>
        <v>0.000358823529411765</v>
      </c>
      <c r="I5" s="20" t="n">
        <f aca="false">1000000*H5</f>
        <v>358.823529411765</v>
      </c>
      <c r="J5" s="21" t="n">
        <f aca="false">H5/($B$9*(1-H5*$AE$3*$B$5/1000) - L5*($B$11+$B$12) - M5*(2*$B$11+$B$13) - E5*$B$15 - F5*$B$16)</f>
        <v>3.83350098626928E-007</v>
      </c>
      <c r="K5" s="19" t="n">
        <f aca="false">1.5/3</f>
        <v>0.5</v>
      </c>
      <c r="L5" s="22" t="n">
        <f aca="false">M5*E5/(10^-$B$19)</f>
        <v>0.327910252956198</v>
      </c>
      <c r="M5" s="22" t="n">
        <f aca="false">(10^-$B$19)*K5/(E5+(10^-$B$19))</f>
        <v>0.172089747043802</v>
      </c>
      <c r="N5" s="21" t="n">
        <f aca="false">(L5+3*M5)/($B$9*(1-H5*$AE$3*$B$5/1000) - L5*($B$11+$B$12) - M5*(2*$B$11+$B$13) - E5*$B$15 - F5*$B$16)</f>
        <v>0.000901881470392513</v>
      </c>
      <c r="O5" s="19" t="n">
        <v>6.5</v>
      </c>
      <c r="P5" s="19" t="n">
        <f aca="false">O5*133.322</f>
        <v>866.593</v>
      </c>
      <c r="Q5" s="23" t="n">
        <f aca="false">$B$1*$B$2*$B$9*1000*(J5+0.25*$AD$14*$AD$14*J5*J5/N5)</f>
        <v>967.190897083781</v>
      </c>
      <c r="R5" s="24" t="n">
        <f aca="false">P5/Q5</f>
        <v>0.895989615507034</v>
      </c>
      <c r="S5" s="24" t="n">
        <f aca="false">R5-1</f>
        <v>-0.104010384492966</v>
      </c>
      <c r="T5" s="24" t="n">
        <f aca="false">$U$4+$U$5*J5+$U$6*J5*J5+$U$7*J5*J5*J5+$U$8*J5*J5*J5*J5</f>
        <v>-0.0946298218208583</v>
      </c>
      <c r="U5" s="25" t="n">
        <v>-548215.281141388</v>
      </c>
      <c r="V5" s="19" t="n">
        <f aca="false">S5-T5</f>
        <v>-0.00938056267210773</v>
      </c>
      <c r="W5" s="19" t="n">
        <f aca="false">V5*V5</f>
        <v>8.79949560453408E-005</v>
      </c>
      <c r="X5" s="26" t="n">
        <f aca="false">EXP(S5+$U$5*J5+$U$6*J5*J5/2+$U$7*J5*J5*J5/3+$U$8*J5*J5*J5*J5/4)</f>
        <v>0.781217927102692</v>
      </c>
      <c r="Y5" s="26" t="n">
        <f aca="false">EXP(2*$AG$11*J5)</f>
        <v>0.952635819652242</v>
      </c>
      <c r="Z5" s="26" t="n">
        <f aca="false">X5</f>
        <v>0.781217927102692</v>
      </c>
      <c r="AA5" s="27" t="n">
        <f aca="false">Y5</f>
        <v>0.952635819652242</v>
      </c>
      <c r="AC5" s="1" t="n">
        <v>8</v>
      </c>
      <c r="AD5" s="1" t="n">
        <v>17</v>
      </c>
      <c r="AE5" s="1" t="n">
        <f aca="false">AD5*1000</f>
        <v>17000</v>
      </c>
    </row>
    <row r="6" customFormat="false" ht="15.75" hidden="false" customHeight="true" outlineLevel="0" collapsed="false">
      <c r="A6" s="1" t="s">
        <v>30</v>
      </c>
      <c r="B6" s="1" t="s">
        <v>31</v>
      </c>
      <c r="D6" s="6"/>
      <c r="E6" s="18" t="n">
        <f aca="false">E5</f>
        <v>0.0001</v>
      </c>
      <c r="F6" s="18" t="n">
        <f aca="false">0.00000000000001/E6</f>
        <v>1E-010</v>
      </c>
      <c r="G6" s="19" t="n">
        <v>8.12</v>
      </c>
      <c r="H6" s="20" t="n">
        <f aca="false">G6/$AE$3</f>
        <v>0.000477647058823529</v>
      </c>
      <c r="I6" s="20" t="n">
        <f aca="false">1000000*H6</f>
        <v>477.647058823529</v>
      </c>
      <c r="J6" s="21" t="n">
        <f aca="false">H6/($B$9*(1-H6*$AE$3*$B$5/1000) - L6*($B$11+$B$12) - M6*(2*$B$11+$B$13) - E6*$B$15 - F6*$B$16)</f>
        <v>5.11111523485204E-007</v>
      </c>
      <c r="K6" s="19" t="n">
        <f aca="false">1.5/3</f>
        <v>0.5</v>
      </c>
      <c r="L6" s="22" t="n">
        <f aca="false">M6*E6/(10^-$B$19)</f>
        <v>0.327910252956198</v>
      </c>
      <c r="M6" s="22" t="n">
        <f aca="false">(10^-$B$19)*K6/(E6+(10^-$B$19))</f>
        <v>0.172089747043802</v>
      </c>
      <c r="N6" s="21" t="n">
        <f aca="false">(L6+3*M6)/($B$9*(1-H6*$AE$3*$B$5/1000) - L6*($B$11+$B$12) - M6*(2*$B$11+$B$13) - E6*$B$15 - F6*$B$16)</f>
        <v>0.000903323613843281</v>
      </c>
      <c r="O6" s="19" t="n">
        <v>8.7</v>
      </c>
      <c r="P6" s="19" t="n">
        <f aca="false">O6*133.322</f>
        <v>1159.9014</v>
      </c>
      <c r="Q6" s="23" t="n">
        <f aca="false">$B$1*$B$2*$B$9*1000*(J6+0.25*$AD$14*$AD$14*J6*J6/N6)</f>
        <v>1298.24502024109</v>
      </c>
      <c r="R6" s="24" t="n">
        <f aca="false">P6/Q6</f>
        <v>0.893437973507192</v>
      </c>
      <c r="S6" s="24" t="n">
        <f aca="false">R6-1</f>
        <v>-0.106562026492808</v>
      </c>
      <c r="T6" s="24" t="n">
        <f aca="false">$U$4+$U$5*J6+$U$6*J6*J6+$U$7*J6*J6*J6+$U$8*J6*J6*J6*J6</f>
        <v>-0.10413446804945</v>
      </c>
      <c r="U6" s="25" t="n">
        <v>1205012379500.41</v>
      </c>
      <c r="V6" s="19" t="n">
        <f aca="false">S6-T6</f>
        <v>-0.0024275584433588</v>
      </c>
      <c r="W6" s="19" t="n">
        <f aca="false">V6*V6</f>
        <v>5.89303999592262E-006</v>
      </c>
      <c r="X6" s="26" t="n">
        <f aca="false">EXP(S6+$U$5*J6+$U$6*J6*J6/2+$U$7*J6*J6*J6/3+$U$8*J6*J6*J6*J6/4)</f>
        <v>0.757299097590054</v>
      </c>
      <c r="Y6" s="26" t="n">
        <f aca="false">EXP(2*$AG$11*J6)</f>
        <v>0.937354241881174</v>
      </c>
      <c r="Z6" s="26" t="n">
        <f aca="false">X6</f>
        <v>0.757299097590054</v>
      </c>
      <c r="AA6" s="27" t="n">
        <f aca="false">Y6</f>
        <v>0.937354241881174</v>
      </c>
    </row>
    <row r="7" customFormat="false" ht="15.75" hidden="false" customHeight="true" outlineLevel="0" collapsed="false">
      <c r="A7" s="1" t="s">
        <v>32</v>
      </c>
      <c r="D7" s="6"/>
      <c r="E7" s="18" t="n">
        <f aca="false">E6</f>
        <v>0.0001</v>
      </c>
      <c r="F7" s="18" t="n">
        <f aca="false">0.00000000000001/E7</f>
        <v>1E-010</v>
      </c>
      <c r="G7" s="19" t="n">
        <v>10.13</v>
      </c>
      <c r="H7" s="20" t="n">
        <f aca="false">G7/$AE$3</f>
        <v>0.000595882352941177</v>
      </c>
      <c r="I7" s="20" t="n">
        <f aca="false">1000000*H7</f>
        <v>595.882352941177</v>
      </c>
      <c r="J7" s="21" t="n">
        <f aca="false">H7/($B$9*(1-H7*$AE$3*$B$5/1000) - L7*($B$11+$B$12) - M7*(2*$B$11+$B$13) - E7*$B$15 - F7*$B$16)</f>
        <v>6.38646674232044E-007</v>
      </c>
      <c r="K7" s="19" t="n">
        <f aca="false">1.5/3</f>
        <v>0.5</v>
      </c>
      <c r="L7" s="22" t="n">
        <f aca="false">M7*E7/(10^-$B$19)</f>
        <v>0.327910252956198</v>
      </c>
      <c r="M7" s="22" t="n">
        <f aca="false">(10^-$B$19)*K7/(E7+(10^-$B$19))</f>
        <v>0.172089747043802</v>
      </c>
      <c r="N7" s="21" t="n">
        <f aca="false">(L7+3*M7)/($B$9*(1-H7*$AE$3*$B$5/1000) - L7*($B$11+$B$12) - M7*(2*$B$11+$B$13) - E7*$B$15 - F7*$B$16)</f>
        <v>0.000904763203160607</v>
      </c>
      <c r="O7" s="19" t="n">
        <v>10.8</v>
      </c>
      <c r="P7" s="19" t="n">
        <f aca="false">O7*133.322</f>
        <v>1439.8776</v>
      </c>
      <c r="Q7" s="23" t="n">
        <f aca="false">$B$1*$B$2*$B$9*1000*(J7+0.25*$AD$14*$AD$14*J7*J7/N7)</f>
        <v>1633.02234349224</v>
      </c>
      <c r="R7" s="24" t="n">
        <f aca="false">P7/Q7</f>
        <v>0.881725596552958</v>
      </c>
      <c r="S7" s="24" t="n">
        <f aca="false">R7-1</f>
        <v>-0.118274403447042</v>
      </c>
      <c r="T7" s="24" t="n">
        <f aca="false">$U$4+$U$5*J7+$U$6*J7*J7+$U$7*J7*J7*J7+$U$8*J7*J7*J7*J7</f>
        <v>-0.115312721549829</v>
      </c>
      <c r="U7" s="25" t="n">
        <v>-1.25372831709432E+018</v>
      </c>
      <c r="V7" s="19" t="n">
        <f aca="false">S7-T7</f>
        <v>-0.00296168189721348</v>
      </c>
      <c r="W7" s="19" t="n">
        <f aca="false">V7*V7</f>
        <v>8.77155966028203E-006</v>
      </c>
      <c r="X7" s="26" t="n">
        <f aca="false">EXP(S7+$U$5*J7+$U$6*J7*J7/2+$U$7*J7*J7*J7/3+$U$8*J7*J7*J7*J7/4)</f>
        <v>0.730495469655466</v>
      </c>
      <c r="Y7" s="26" t="n">
        <f aca="false">EXP(2*$AG$11*J7)</f>
        <v>0.922344217642043</v>
      </c>
      <c r="Z7" s="26" t="n">
        <f aca="false">X7</f>
        <v>0.730495469655466</v>
      </c>
      <c r="AA7" s="27" t="n">
        <f aca="false">Y7</f>
        <v>0.922344217642043</v>
      </c>
      <c r="AC7" s="1" t="s">
        <v>2</v>
      </c>
      <c r="AD7" s="1" t="s">
        <v>33</v>
      </c>
      <c r="AE7" s="1" t="s">
        <v>34</v>
      </c>
    </row>
    <row r="8" customFormat="false" ht="15.75" hidden="false" customHeight="true" outlineLevel="0" collapsed="false">
      <c r="D8" s="6"/>
      <c r="E8" s="18" t="n">
        <f aca="false">E7</f>
        <v>0.0001</v>
      </c>
      <c r="F8" s="18" t="n">
        <f aca="false">0.00000000000001/E8</f>
        <v>1E-010</v>
      </c>
      <c r="G8" s="19" t="n">
        <v>12.18</v>
      </c>
      <c r="H8" s="20" t="n">
        <f aca="false">G8/$AE$3</f>
        <v>0.000716470588235294</v>
      </c>
      <c r="I8" s="20" t="n">
        <f aca="false">1000000*H8</f>
        <v>716.470588235294</v>
      </c>
      <c r="J8" s="21" t="n">
        <f aca="false">H8/($B$9*(1-H8*$AE$3*$B$5/1000) - L8*($B$11+$B$12) - M8*(2*$B$11+$B$13) - E8*$B$15 - F8*$B$16)</f>
        <v>7.6913922920913E-007</v>
      </c>
      <c r="K8" s="19" t="n">
        <f aca="false">1.5/3</f>
        <v>0.5</v>
      </c>
      <c r="L8" s="22" t="n">
        <f aca="false">M8*E8/(10^-$B$19)</f>
        <v>0.327910252956198</v>
      </c>
      <c r="M8" s="22" t="n">
        <f aca="false">(10^-$B$19)*K8/(E8+(10^-$B$19))</f>
        <v>0.172089747043802</v>
      </c>
      <c r="N8" s="21" t="n">
        <f aca="false">(L8+3*M8)/($B$9*(1-H8*$AE$3*$B$5/1000) - L8*($B$11+$B$12) - M8*(2*$B$11+$B$13) - E8*$B$15 - F8*$B$16)</f>
        <v>0.000906236175020016</v>
      </c>
      <c r="O8" s="19" t="n">
        <v>12.9</v>
      </c>
      <c r="P8" s="19" t="n">
        <f aca="false">O8*133.322</f>
        <v>1719.8538</v>
      </c>
      <c r="Q8" s="23" t="n">
        <f aca="false">$B$1*$B$2*$B$9*1000*(J8+0.25*$AD$14*$AD$14*J8*J8/N8)</f>
        <v>1979.9980050564</v>
      </c>
      <c r="R8" s="24" t="n">
        <f aca="false">P8/Q8</f>
        <v>0.868613905472603</v>
      </c>
      <c r="S8" s="24" t="n">
        <f aca="false">R8-1</f>
        <v>-0.131386094527397</v>
      </c>
      <c r="T8" s="24" t="n">
        <f aca="false">$U$4+$U$5*J8+$U$6*J8*J8+$U$7*J8*J8*J8+$U$8*J8*J8*J8*J8</f>
        <v>-0.132219657337321</v>
      </c>
      <c r="U8" s="25" t="n">
        <v>4.20131784677575E+023</v>
      </c>
      <c r="V8" s="19" t="n">
        <f aca="false">S8-T8</f>
        <v>0.000833562809924721</v>
      </c>
      <c r="W8" s="19" t="n">
        <f aca="false">V8*V8</f>
        <v>6.94826958089596E-007</v>
      </c>
      <c r="X8" s="26" t="n">
        <f aca="false">EXP(S8+$U$5*J8+$U$6*J8*J8/2+$U$7*J8*J8*J8/3+$U$8*J8*J8*J8*J8/4)</f>
        <v>0.70468445858584</v>
      </c>
      <c r="Y8" s="26" t="n">
        <f aca="false">EXP(2*$AG$11*J8)</f>
        <v>0.907234879376229</v>
      </c>
      <c r="Z8" s="26" t="n">
        <f aca="false">X8</f>
        <v>0.70468445858584</v>
      </c>
      <c r="AA8" s="27" t="n">
        <f aca="false">Y8</f>
        <v>0.907234879376229</v>
      </c>
      <c r="AC8" s="1" t="n">
        <v>4</v>
      </c>
      <c r="AD8" s="28" t="n">
        <v>-0.000176</v>
      </c>
      <c r="AE8" s="28" t="n">
        <f aca="false">AD8*AE3</f>
        <v>-2.992</v>
      </c>
    </row>
    <row r="9" customFormat="false" ht="15.75" hidden="false" customHeight="true" outlineLevel="0" collapsed="false">
      <c r="A9" s="1" t="s">
        <v>35</v>
      </c>
      <c r="B9" s="1" t="n">
        <v>997</v>
      </c>
      <c r="C9" s="1" t="s">
        <v>36</v>
      </c>
      <c r="D9" s="6"/>
      <c r="E9" s="18" t="n">
        <f aca="false">E8</f>
        <v>0.0001</v>
      </c>
      <c r="F9" s="18" t="n">
        <f aca="false">0.00000000000001/E9</f>
        <v>1E-010</v>
      </c>
      <c r="G9" s="19" t="n">
        <v>14.24</v>
      </c>
      <c r="H9" s="20" t="n">
        <f aca="false">G9/$AE$3</f>
        <v>0.000837647058823529</v>
      </c>
      <c r="I9" s="20" t="n">
        <f aca="false">1000000*H9</f>
        <v>837.647058823529</v>
      </c>
      <c r="J9" s="21" t="n">
        <f aca="false">H9/($B$9*(1-H9*$AE$3*$B$5/1000) - L9*($B$11+$B$12) - M9*(2*$B$11+$B$13) - E9*$B$15 - F9*$B$16)</f>
        <v>9.00697037343335E-007</v>
      </c>
      <c r="K9" s="19" t="n">
        <f aca="false">1.5/3</f>
        <v>0.5</v>
      </c>
      <c r="L9" s="22" t="n">
        <f aca="false">M9*E9/(10^-$B$19)</f>
        <v>0.327910252956198</v>
      </c>
      <c r="M9" s="22" t="n">
        <f aca="false">(10^-$B$19)*K9/(E9+(10^-$B$19))</f>
        <v>0.172089747043802</v>
      </c>
      <c r="N9" s="21" t="n">
        <f aca="false">(L9+3*M9)/($B$9*(1-H9*$AE$3*$B$5/1000) - L9*($B$11+$B$12) - M9*(2*$B$11+$B$13) - E9*$B$15 - F9*$B$16)</f>
        <v>0.000907721171227663</v>
      </c>
      <c r="O9" s="19" t="n">
        <v>15.1</v>
      </c>
      <c r="P9" s="19" t="n">
        <f aca="false">O9*133.322</f>
        <v>2013.1622</v>
      </c>
      <c r="Q9" s="23" t="n">
        <f aca="false">$B$1*$B$2*$B$9*1000*(J9+0.25*$AD$14*$AD$14*J9*J9/N9)</f>
        <v>2334.32526624969</v>
      </c>
      <c r="R9" s="24" t="n">
        <f aca="false">P9/Q9</f>
        <v>0.86241717429308</v>
      </c>
      <c r="S9" s="24" t="n">
        <f aca="false">R9-1</f>
        <v>-0.137582825706921</v>
      </c>
      <c r="T9" s="24" t="n">
        <f aca="false">$U$4+$U$5*J9+$U$6*J9*J9+$U$7*J9*J9*J9+$U$8*J9*J9*J9*J9</f>
        <v>-0.155793131446034</v>
      </c>
      <c r="U9" s="25"/>
      <c r="V9" s="19" t="n">
        <f aca="false">S9-T9</f>
        <v>0.0182103057391134</v>
      </c>
      <c r="W9" s="19" t="n">
        <f aca="false">V9*V9</f>
        <v>0.000331615235111985</v>
      </c>
      <c r="X9" s="26" t="n">
        <f aca="false">EXP(S9+$U$5*J9+$U$6*J9*J9/2+$U$7*J9*J9*J9/3+$U$8*J9*J9*J9*J9/4)</f>
        <v>0.684675011670642</v>
      </c>
      <c r="Y9" s="26" t="n">
        <f aca="false">EXP(2*$AG$11*J9)</f>
        <v>0.892252739406328</v>
      </c>
      <c r="Z9" s="26" t="n">
        <f aca="false">X9</f>
        <v>0.684675011670642</v>
      </c>
      <c r="AA9" s="27" t="n">
        <f aca="false">Y9</f>
        <v>0.892252739406328</v>
      </c>
      <c r="AC9" s="1" t="n">
        <v>7</v>
      </c>
      <c r="AD9" s="28" t="n">
        <v>-0.000306</v>
      </c>
      <c r="AE9" s="28" t="n">
        <f aca="false">AD9*AE4</f>
        <v>-5.202</v>
      </c>
    </row>
    <row r="10" customFormat="false" ht="15.75" hidden="false" customHeight="true" outlineLevel="0" collapsed="false">
      <c r="D10" s="6"/>
      <c r="E10" s="18" t="n">
        <f aca="false">10^-D10</f>
        <v>1</v>
      </c>
      <c r="F10" s="18" t="n">
        <f aca="false">0.00000000000001/E10</f>
        <v>1E-014</v>
      </c>
      <c r="G10" s="19" t="n">
        <v>16.26</v>
      </c>
      <c r="H10" s="20" t="n">
        <f aca="false">G10/$AE$3</f>
        <v>0.000956470588235294</v>
      </c>
      <c r="I10" s="20" t="n">
        <f aca="false">1000000*H10</f>
        <v>956.470588235294</v>
      </c>
      <c r="J10" s="21" t="n">
        <f aca="false">H10/($B$9*(1-H10*$AE$3*$B$5/1000) - L10*($B$11+$B$12) - M10*(2*$B$11+$B$13) - E10*$B$15 - F10*$B$16)</f>
        <v>1.04828617091278E-006</v>
      </c>
      <c r="K10" s="19" t="n">
        <f aca="false">1.5/3</f>
        <v>0.5</v>
      </c>
      <c r="L10" s="22" t="n">
        <f aca="false">M10*E10/(10^-$B$19)</f>
        <v>0.49997376100403</v>
      </c>
      <c r="M10" s="22" t="n">
        <f aca="false">(10^-$B$19)*K10/(E10+(10^-$B$19))</f>
        <v>2.62389959704051E-005</v>
      </c>
      <c r="N10" s="21" t="n">
        <f aca="false">(L10+3*M10)/($B$9*(1-H10*$AE$3*$B$5/1000) - L10*($B$11+$B$12) - M10*(2*$B$11+$B$13) - E10*$B$15 - F10*$B$16)</f>
        <v>0.000548054591387671</v>
      </c>
      <c r="O10" s="19" t="n">
        <v>16.9</v>
      </c>
      <c r="P10" s="19" t="n">
        <f aca="false">O10*133.322</f>
        <v>2253.1418</v>
      </c>
      <c r="Q10" s="23" t="n">
        <f aca="false">$B$1*$B$2*$B$9*1000*(J10+0.25*$AD$14*$AD$14*J10*J10/N10)</f>
        <v>2833.68693105503</v>
      </c>
      <c r="R10" s="24" t="n">
        <f aca="false">P10/Q10</f>
        <v>0.795127286401084</v>
      </c>
      <c r="S10" s="24" t="n">
        <f aca="false">R10-1</f>
        <v>-0.204872713598916</v>
      </c>
      <c r="T10" s="24" t="n">
        <f aca="false">$U$4+$U$5*J10+$U$6*J10*J10+$U$7*J10*J10*J10+$U$8*J10*J10*J10*J10</f>
        <v>-0.187398943198549</v>
      </c>
      <c r="U10" s="25"/>
      <c r="V10" s="19" t="n">
        <f aca="false">S10-T10</f>
        <v>-0.0174737704003677</v>
      </c>
      <c r="W10" s="19" t="n">
        <f aca="false">V10*V10</f>
        <v>0.000305332652004766</v>
      </c>
      <c r="X10" s="26" t="n">
        <f aca="false">EXP(S10+$U$5*J10+$U$6*J10*J10/2+$U$7*J10*J10*J10/3+$U$8*J10*J10*J10*J10/4)</f>
        <v>0.623726402671865</v>
      </c>
      <c r="Y10" s="26" t="n">
        <f aca="false">EXP(2*$AG$11*J10)</f>
        <v>0.875739190200597</v>
      </c>
      <c r="Z10" s="26" t="n">
        <f aca="false">X10</f>
        <v>0.623726402671865</v>
      </c>
      <c r="AA10" s="27" t="n">
        <f aca="false">Y10</f>
        <v>0.875739190200597</v>
      </c>
      <c r="AC10" s="1" t="n">
        <v>8</v>
      </c>
      <c r="AD10" s="28" t="n">
        <v>-0.000351</v>
      </c>
      <c r="AE10" s="28" t="n">
        <f aca="false">AD10*AE5</f>
        <v>-5.967</v>
      </c>
      <c r="AF10" s="1" t="s">
        <v>37</v>
      </c>
      <c r="AG10" s="1" t="s">
        <v>38</v>
      </c>
    </row>
    <row r="11" customFormat="false" ht="15.75" hidden="false" customHeight="true" outlineLevel="0" collapsed="false">
      <c r="A11" s="1" t="s">
        <v>39</v>
      </c>
      <c r="B11" s="1" t="n">
        <v>18.04</v>
      </c>
      <c r="D11" s="6"/>
      <c r="E11" s="18" t="n">
        <f aca="false">E10</f>
        <v>1</v>
      </c>
      <c r="F11" s="18" t="n">
        <f aca="false">0.00000000000001/E11</f>
        <v>1E-014</v>
      </c>
      <c r="G11" s="19" t="n">
        <v>18.3</v>
      </c>
      <c r="H11" s="20" t="n">
        <f aca="false">G11/$AE$3</f>
        <v>0.00107647058823529</v>
      </c>
      <c r="I11" s="20" t="n">
        <f aca="false">1000000*H11</f>
        <v>1076.47058823529</v>
      </c>
      <c r="J11" s="21" t="n">
        <f aca="false">H11/($B$9*(1-H11*$AE$3*$B$5/1000) - L11*($B$11+$B$12) - M11*(2*$B$11+$B$13) - E11*$B$15 - F11*$B$16)</f>
        <v>1.1817601091617E-006</v>
      </c>
      <c r="K11" s="19" t="n">
        <f aca="false">1.5/3</f>
        <v>0.5</v>
      </c>
      <c r="L11" s="22" t="n">
        <f aca="false">M11*E11/(10^-$B$19)</f>
        <v>0.49997376100403</v>
      </c>
      <c r="M11" s="22" t="n">
        <f aca="false">(10^-$B$19)*K11/(E11+(10^-$B$19))</f>
        <v>2.62389959704051E-005</v>
      </c>
      <c r="N11" s="21" t="n">
        <f aca="false">(L11+3*M11)/($B$9*(1-H11*$AE$3*$B$5/1000) - L11*($B$11+$B$12) - M11*(2*$B$11+$B$13) - E11*$B$15 - F11*$B$16)</f>
        <v>0.000548962579597358</v>
      </c>
      <c r="O11" s="19" t="n">
        <v>19.1</v>
      </c>
      <c r="P11" s="19" t="n">
        <f aca="false">O11*133.322</f>
        <v>2546.4502</v>
      </c>
      <c r="Q11" s="23" t="n">
        <f aca="false">$B$1*$B$2*$B$9*1000*(J11+0.25*$AD$14*$AD$14*J11*J11/N11)</f>
        <v>3228.83290055269</v>
      </c>
      <c r="R11" s="24" t="n">
        <f aca="false">P11/Q11</f>
        <v>0.788659642177245</v>
      </c>
      <c r="S11" s="24" t="n">
        <f aca="false">R11-1</f>
        <v>-0.211340357822755</v>
      </c>
      <c r="T11" s="24" t="n">
        <f aca="false">$U$4+$U$5*J11+$U$6*J11*J11+$U$7*J11*J11*J11+$U$8*J11*J11*J11*J11</f>
        <v>-0.214724864935567</v>
      </c>
      <c r="U11" s="25"/>
      <c r="V11" s="19" t="n">
        <f aca="false">S11-T11</f>
        <v>0.00338450711281113</v>
      </c>
      <c r="W11" s="19" t="n">
        <f aca="false">V11*V11</f>
        <v>1.14548883966691E-005</v>
      </c>
      <c r="X11" s="26" t="n">
        <f aca="false">EXP(S11+$U$5*J11+$U$6*J11*J11/2+$U$7*J11*J11*J11/3+$U$8*J11*J11*J11*J11/4)</f>
        <v>0.604939016377313</v>
      </c>
      <c r="Y11" s="26" t="n">
        <f aca="false">EXP(2*$AG$11*J11)</f>
        <v>0.861068308202888</v>
      </c>
      <c r="Z11" s="26" t="n">
        <f aca="false">X11</f>
        <v>0.604939016377313</v>
      </c>
      <c r="AA11" s="27" t="n">
        <f aca="false">Y11</f>
        <v>0.861068308202888</v>
      </c>
      <c r="AF11" s="28" t="n">
        <f aca="false">AE8*AE3</f>
        <v>-50864</v>
      </c>
      <c r="AG11" s="28" t="n">
        <f aca="false">(AF11-$B$5*AE3)*$B$9/1000</f>
        <v>-63287.566</v>
      </c>
    </row>
    <row r="12" customFormat="false" ht="15.75" hidden="false" customHeight="true" outlineLevel="0" collapsed="false">
      <c r="A12" s="1" t="s">
        <v>40</v>
      </c>
      <c r="B12" s="1" t="n">
        <v>89.028</v>
      </c>
      <c r="D12" s="6"/>
      <c r="E12" s="29" t="n">
        <f aca="false">E11</f>
        <v>1</v>
      </c>
      <c r="F12" s="29" t="n">
        <f aca="false">0.00000000000001/E12</f>
        <v>1E-014</v>
      </c>
      <c r="G12" s="30" t="n">
        <v>20.33</v>
      </c>
      <c r="H12" s="31" t="n">
        <f aca="false">G12/$AE$3</f>
        <v>0.00119588235294118</v>
      </c>
      <c r="I12" s="31" t="n">
        <f aca="false">1000000*H12</f>
        <v>1195.88235294118</v>
      </c>
      <c r="J12" s="32" t="n">
        <f aca="false">H12/($B$9*(1-H12*$AE$3*$B$5/1000) - L12*($B$11+$B$12) - M12*(2*$B$11+$B$13) - E12*$B$15 - F12*$B$16)</f>
        <v>1.31501950702856E-006</v>
      </c>
      <c r="K12" s="30" t="n">
        <f aca="false">1.5/3</f>
        <v>0.5</v>
      </c>
      <c r="L12" s="33" t="n">
        <f aca="false">M12*E12/(10^-$B$19)</f>
        <v>0.49997376100403</v>
      </c>
      <c r="M12" s="33" t="n">
        <f aca="false">(10^-$B$19)*K12/(E12+(10^-$B$19))</f>
        <v>2.62389959704051E-005</v>
      </c>
      <c r="N12" s="32" t="n">
        <f aca="false">(L12+3*M12)/($B$9*(1-H12*$AE$3*$B$5/1000) - L12*($B$11+$B$12) - M12*(2*$B$11+$B$13) - E12*$B$15 - F12*$B$16)</f>
        <v>0.000549869108345071</v>
      </c>
      <c r="O12" s="30" t="n">
        <v>20.95</v>
      </c>
      <c r="P12" s="30" t="n">
        <f aca="false">O12*133.322</f>
        <v>2793.0959</v>
      </c>
      <c r="Q12" s="34" t="n">
        <f aca="false">$B$1*$B$2*$B$9*1000*(J12+0.25*$AD$14*$AD$14*J12*J12/N12)</f>
        <v>3630.95717023543</v>
      </c>
      <c r="R12" s="35" t="n">
        <f aca="false">P12/Q12</f>
        <v>0.769245069288135</v>
      </c>
      <c r="S12" s="35" t="n">
        <f aca="false">R12-1</f>
        <v>-0.230754930711865</v>
      </c>
      <c r="T12" s="35" t="n">
        <f aca="false">$U$4+$U$5*J12+$U$6*J12*J12+$U$7*J12*J12*J12+$U$8*J12*J12*J12*J12</f>
        <v>-0.231772205258711</v>
      </c>
      <c r="U12" s="36" t="n">
        <f aca="false">SUM(W4:W12)</f>
        <v>0.000865018357011463</v>
      </c>
      <c r="V12" s="30" t="n">
        <f aca="false">S12-T12</f>
        <v>0.00101727454684586</v>
      </c>
      <c r="W12" s="30" t="n">
        <f aca="false">V12*V12</f>
        <v>1.03484750366045E-006</v>
      </c>
      <c r="X12" s="37" t="n">
        <f aca="false">EXP(S12+$U$5*J12+$U$6*J12*J12/2+$U$7*J12*J12*J12/3+$U$8*J12*J12*J12*J12/4)</f>
        <v>0.579251600794425</v>
      </c>
      <c r="Y12" s="37" t="n">
        <f aca="false">EXP(2*$AG$11*J12)</f>
        <v>0.846666192493631</v>
      </c>
      <c r="Z12" s="37" t="n">
        <f aca="false">X12</f>
        <v>0.579251600794425</v>
      </c>
      <c r="AA12" s="38" t="n">
        <f aca="false">Y12</f>
        <v>0.846666192493631</v>
      </c>
      <c r="AC12" s="1" t="s">
        <v>2</v>
      </c>
      <c r="AD12" s="1" t="s">
        <v>41</v>
      </c>
      <c r="AF12" s="28" t="n">
        <f aca="false">AE9*AE4</f>
        <v>-88434</v>
      </c>
      <c r="AG12" s="28" t="n">
        <f aca="false">(AF12-$B$5*AE4)*$B$9/1000</f>
        <v>-100744.856</v>
      </c>
    </row>
    <row r="13" customFormat="false" ht="15.75" hidden="false" customHeight="true" outlineLevel="0" collapsed="false">
      <c r="A13" s="1" t="s">
        <v>42</v>
      </c>
      <c r="B13" s="1" t="n">
        <v>88.02</v>
      </c>
      <c r="D13" s="39" t="n">
        <v>7</v>
      </c>
      <c r="E13" s="18" t="n">
        <f aca="false">10^-D13</f>
        <v>1E-007</v>
      </c>
      <c r="F13" s="18" t="n">
        <f aca="false">0.00000000000001/E13</f>
        <v>1E-007</v>
      </c>
      <c r="G13" s="19" t="n">
        <v>3.94</v>
      </c>
      <c r="H13" s="20" t="n">
        <f aca="false">G13/$AE$3</f>
        <v>0.000231764705882353</v>
      </c>
      <c r="I13" s="40" t="n">
        <f aca="false">1000000*H13</f>
        <v>231.764705882353</v>
      </c>
      <c r="J13" s="21" t="n">
        <f aca="false">H13/($B$9*(1-H13*$AE$4*$B$5/1000) - L13*($B$11+$B$12) - M13*(2*$B$11+$B$13) - E13*$B$15 - F13*$B$16)</f>
        <v>2.43263933722887E-007</v>
      </c>
      <c r="K13" s="19" t="n">
        <v>0.333333333333333</v>
      </c>
      <c r="L13" s="22" t="n">
        <f aca="false">M13*E13/(10^-$B$19)</f>
        <v>0.000633945614189253</v>
      </c>
      <c r="M13" s="22" t="n">
        <f aca="false">(10^-$B$19)*K13/(E13+(10^-$B$19))</f>
        <v>0.332699387719144</v>
      </c>
      <c r="N13" s="21" t="n">
        <f aca="false">(L13+3*M13)/($B$9*(1-H13*$AE$3*$B$5/1000) - L13*($B$11+$B$12) - M13*(2*$B$11+$B$13) - E13*$B$15 - F13*$B$16)</f>
        <v>0.00104828515882167</v>
      </c>
      <c r="O13" s="19" t="n">
        <v>4.25</v>
      </c>
      <c r="P13" s="19" t="n">
        <f aca="false">O13*133.322</f>
        <v>566.6185</v>
      </c>
      <c r="Q13" s="23" t="n">
        <f aca="false">$B$1*$B$2*$B$9*1000*(J13+0.25*$AD$15*$AD$15*J13*J13/N13)</f>
        <v>603.464055067851</v>
      </c>
      <c r="R13" s="24" t="n">
        <f aca="false">P13/Q13</f>
        <v>0.938943248138105</v>
      </c>
      <c r="S13" s="24" t="n">
        <f aca="false">R13-1</f>
        <v>-0.0610567518618955</v>
      </c>
      <c r="T13" s="24" t="n">
        <f aca="false">$U$13+$U$14*J13+$U$15*J13*J13+$U$16*J13*J13*J13+$U$17*J13*J13*J13*J13</f>
        <v>-0.0565172123420427</v>
      </c>
      <c r="U13" s="41" t="n">
        <v>0</v>
      </c>
      <c r="V13" s="19" t="n">
        <f aca="false">S13-T13</f>
        <v>-0.00453953951985282</v>
      </c>
      <c r="W13" s="19" t="n">
        <f aca="false">V13*V13</f>
        <v>2.06074190523056E-005</v>
      </c>
      <c r="X13" s="26" t="n">
        <f aca="false">EXP(S13+$U$14*J13+$U$15*J13*J13/2+$U$16*J13*J13*J13/3+$U$17*J13*J13*J13*J13/4)</f>
        <v>0.880761666913801</v>
      </c>
      <c r="Y13" s="26" t="n">
        <f aca="false">EXP(2*$AG$12*J13)</f>
        <v>0.952166675750259</v>
      </c>
      <c r="Z13" s="26" t="n">
        <f aca="false">X13</f>
        <v>0.880761666913801</v>
      </c>
      <c r="AA13" s="26" t="n">
        <f aca="false">Y13</f>
        <v>0.952166675750259</v>
      </c>
      <c r="AC13" s="1" t="n">
        <v>4</v>
      </c>
      <c r="AD13" s="42" t="n">
        <v>14</v>
      </c>
      <c r="AF13" s="28" t="n">
        <f aca="false">AE10*AE5</f>
        <v>-101439</v>
      </c>
      <c r="AG13" s="28" t="n">
        <f aca="false">(AF13-$B$5*AE5)*$B$9/1000</f>
        <v>-113710.841</v>
      </c>
    </row>
    <row r="14" customFormat="false" ht="15.75" hidden="false" customHeight="true" outlineLevel="0" collapsed="false">
      <c r="D14" s="39"/>
      <c r="E14" s="18" t="n">
        <f aca="false">E13</f>
        <v>1E-007</v>
      </c>
      <c r="F14" s="18" t="n">
        <f aca="false">0.00000000000001/E14</f>
        <v>1E-007</v>
      </c>
      <c r="G14" s="19" t="n">
        <v>5.98</v>
      </c>
      <c r="H14" s="20" t="n">
        <f aca="false">G14/$AE$3</f>
        <v>0.000351764705882353</v>
      </c>
      <c r="I14" s="40" t="n">
        <f aca="false">1000000*H14</f>
        <v>351.764705882353</v>
      </c>
      <c r="J14" s="21" t="n">
        <f aca="false">H14/($B$9*(1-H14*$AE$4*$B$5/1000) - L14*($B$11+$B$12) - M14*(2*$B$11+$B$13) - E14*$B$15 - F14*$B$16)</f>
        <v>3.69803623625883E-007</v>
      </c>
      <c r="K14" s="19" t="n">
        <f aca="false">K13</f>
        <v>0.333333333333333</v>
      </c>
      <c r="L14" s="22" t="n">
        <f aca="false">M14*E14/(10^-$B$19)</f>
        <v>0.000633945614189253</v>
      </c>
      <c r="M14" s="22" t="n">
        <f aca="false">(10^-$B$19)*K14/(E14+(10^-$B$19))</f>
        <v>0.332699387719144</v>
      </c>
      <c r="N14" s="21" t="n">
        <f aca="false">(L14+3*M14)/($B$9*(1-H14*$AE$3*$B$5/1000) - L14*($B$11+$B$12) - M14*(2*$B$11+$B$13) - E14*$B$15 - F14*$B$16)</f>
        <v>0.00104994829407015</v>
      </c>
      <c r="O14" s="19" t="n">
        <v>6.4</v>
      </c>
      <c r="P14" s="19" t="n">
        <f aca="false">O14*133.322</f>
        <v>853.2608</v>
      </c>
      <c r="Q14" s="23" t="n">
        <f aca="false">$B$1*$B$2*$B$9*1000*(J14+0.25*$AD$15*$AD$15*J14*J14/N14)</f>
        <v>919.127719125493</v>
      </c>
      <c r="R14" s="24" t="n">
        <f aca="false">P14/Q14</f>
        <v>0.928337577297568</v>
      </c>
      <c r="S14" s="24" t="n">
        <f aca="false">R14-1</f>
        <v>-0.0716624227024317</v>
      </c>
      <c r="T14" s="24" t="n">
        <f aca="false">$U$13+$U$14*J14+$U$15*J14*J14+$U$16*J14*J14*J14+$U$17*J14*J14*J14*J14</f>
        <v>-0.0753789370898731</v>
      </c>
      <c r="U14" s="25" t="n">
        <v>-316852.890671595</v>
      </c>
      <c r="V14" s="19" t="n">
        <f aca="false">S14-T14</f>
        <v>0.00371651438744133</v>
      </c>
      <c r="W14" s="19" t="n">
        <f aca="false">V14*V14</f>
        <v>1.38124791920584E-005</v>
      </c>
      <c r="X14" s="26" t="n">
        <f aca="false">EXP(S14+$U$14*J14+$U$15*J14*J14/2+$U$16*J14*J14*J14/3+$U$17*J14*J14*J14*J14/4)</f>
        <v>0.847830586757832</v>
      </c>
      <c r="Y14" s="26" t="n">
        <f aca="false">EXP(2*$AG$12*J14)</f>
        <v>0.928196683133466</v>
      </c>
      <c r="Z14" s="26" t="n">
        <f aca="false">X14</f>
        <v>0.847830586757832</v>
      </c>
      <c r="AA14" s="26" t="n">
        <f aca="false">Y14</f>
        <v>0.928196683133466</v>
      </c>
      <c r="AC14" s="1" t="n">
        <v>4</v>
      </c>
      <c r="AD14" s="42" t="n">
        <v>14</v>
      </c>
    </row>
    <row r="15" customFormat="false" ht="15.75" hidden="false" customHeight="true" outlineLevel="0" collapsed="false">
      <c r="A15" s="1" t="s">
        <v>43</v>
      </c>
      <c r="B15" s="1" t="n">
        <v>19.0232</v>
      </c>
      <c r="D15" s="39"/>
      <c r="E15" s="18" t="n">
        <f aca="false">E14</f>
        <v>1E-007</v>
      </c>
      <c r="F15" s="18" t="n">
        <f aca="false">0.00000000000001/E15</f>
        <v>1E-007</v>
      </c>
      <c r="G15" s="19" t="n">
        <v>7.96</v>
      </c>
      <c r="H15" s="20" t="n">
        <f aca="false">G15/$AE$3</f>
        <v>0.000468235294117647</v>
      </c>
      <c r="I15" s="40" t="n">
        <f aca="false">1000000*H15</f>
        <v>468.235294117647</v>
      </c>
      <c r="J15" s="21" t="n">
        <f aca="false">H15/($B$9*(1-H15*$AE$4*$B$5/1000) - L15*($B$11+$B$12) - M15*(2*$B$11+$B$13) - E15*$B$15 - F15*$B$16)</f>
        <v>4.93006127654796E-007</v>
      </c>
      <c r="K15" s="19" t="n">
        <f aca="false">K14</f>
        <v>0.333333333333333</v>
      </c>
      <c r="L15" s="22" t="n">
        <f aca="false">M15*E15/(10^-$B$19)</f>
        <v>0.000633945614189253</v>
      </c>
      <c r="M15" s="22" t="n">
        <f aca="false">(10^-$B$19)*K15/(E15+(10^-$B$19))</f>
        <v>0.332699387719144</v>
      </c>
      <c r="N15" s="21" t="n">
        <f aca="false">(L15+3*M15)/($B$9*(1-H15*$AE$3*$B$5/1000) - L15*($B$11+$B$12) - M15*(2*$B$11+$B$13) - E15*$B$15 - F15*$B$16)</f>
        <v>0.00105156756804901</v>
      </c>
      <c r="O15" s="19" t="n">
        <v>8.4</v>
      </c>
      <c r="P15" s="19" t="n">
        <f aca="false">O15*133.322</f>
        <v>1119.9048</v>
      </c>
      <c r="Q15" s="23" t="n">
        <f aca="false">$B$1*$B$2*$B$9*1000*(J15+0.25*$AD$15*$AD$15*J15*J15/N15)</f>
        <v>1227.61469631354</v>
      </c>
      <c r="R15" s="24" t="n">
        <f aca="false">P15/Q15</f>
        <v>0.912260828550692</v>
      </c>
      <c r="S15" s="24" t="n">
        <f aca="false">R15-1</f>
        <v>-0.0877391714493079</v>
      </c>
      <c r="T15" s="24" t="n">
        <f aca="false">$U$13+$U$14*J15+$U$15*J15*J15+$U$16*J15*J15*J15+$U$17*J15*J15*J15*J15</f>
        <v>-0.090660014288172</v>
      </c>
      <c r="U15" s="25" t="n">
        <v>441981418581.216</v>
      </c>
      <c r="V15" s="19" t="n">
        <f aca="false">S15-T15</f>
        <v>0.00292084283886414</v>
      </c>
      <c r="W15" s="19" t="n">
        <f aca="false">V15*V15</f>
        <v>8.53132288934392E-006</v>
      </c>
      <c r="X15" s="26" t="n">
        <f aca="false">EXP(S15+$U$14*J15+$U$15*J15*J15/2+$U$16*J15*J15*J15/3+$U$17*J15*J15*J15*J15/4)</f>
        <v>0.814675134727001</v>
      </c>
      <c r="Y15" s="26" t="n">
        <f aca="false">EXP(2*$AG$12*J15)</f>
        <v>0.905438735021999</v>
      </c>
      <c r="Z15" s="26" t="n">
        <f aca="false">X15</f>
        <v>0.814675134727001</v>
      </c>
      <c r="AA15" s="26" t="n">
        <f aca="false">Y15</f>
        <v>0.905438735021999</v>
      </c>
      <c r="AC15" s="1" t="n">
        <v>7</v>
      </c>
      <c r="AD15" s="42" t="n">
        <v>8</v>
      </c>
    </row>
    <row r="16" customFormat="false" ht="15.75" hidden="false" customHeight="true" outlineLevel="0" collapsed="false">
      <c r="A16" s="1" t="s">
        <v>44</v>
      </c>
      <c r="B16" s="1" t="n">
        <v>17.007</v>
      </c>
      <c r="D16" s="39"/>
      <c r="E16" s="18" t="n">
        <f aca="false">E15</f>
        <v>1E-007</v>
      </c>
      <c r="F16" s="18" t="n">
        <f aca="false">0.00000000000001/E16</f>
        <v>1E-007</v>
      </c>
      <c r="G16" s="19" t="n">
        <v>9.91</v>
      </c>
      <c r="H16" s="20" t="n">
        <f aca="false">G16/$AE$3</f>
        <v>0.000582941176470588</v>
      </c>
      <c r="I16" s="40" t="n">
        <f aca="false">1000000*H16</f>
        <v>582.941176470588</v>
      </c>
      <c r="J16" s="21" t="n">
        <f aca="false">H16/($B$9*(1-H16*$AE$4*$B$5/1000) - L16*($B$11+$B$12) - M16*(2*$B$11+$B$13) - E16*$B$15 - F16*$B$16)</f>
        <v>6.14713915035002E-007</v>
      </c>
      <c r="K16" s="19" t="n">
        <f aca="false">K15</f>
        <v>0.333333333333333</v>
      </c>
      <c r="L16" s="22" t="n">
        <f aca="false">M16*E16/(10^-$B$19)</f>
        <v>0.000633945614189253</v>
      </c>
      <c r="M16" s="22" t="n">
        <f aca="false">(10^-$B$19)*K16/(E16+(10^-$B$19))</f>
        <v>0.332699387719144</v>
      </c>
      <c r="N16" s="21" t="n">
        <f aca="false">(L16+3*M16)/($B$9*(1-H16*$AE$3*$B$5/1000) - L16*($B$11+$B$12) - M16*(2*$B$11+$B$13) - E16*$B$15 - F16*$B$16)</f>
        <v>0.00105316719668222</v>
      </c>
      <c r="O16" s="19" t="n">
        <v>10.3</v>
      </c>
      <c r="P16" s="19" t="n">
        <f aca="false">O16*133.322</f>
        <v>1373.2166</v>
      </c>
      <c r="Q16" s="23" t="n">
        <f aca="false">$B$1*$B$2*$B$9*1000*(J16+0.25*$AD$15*$AD$15*J16*J16/N16)</f>
        <v>1533.46621576935</v>
      </c>
      <c r="R16" s="24" t="n">
        <f aca="false">P16/Q16</f>
        <v>0.895498437382298</v>
      </c>
      <c r="S16" s="24" t="n">
        <f aca="false">R16-1</f>
        <v>-0.104501562617702</v>
      </c>
      <c r="T16" s="24" t="n">
        <f aca="false">$U$13+$U$14*J16+$U$15*J16*J16+$U$16*J16*J16*J16+$U$17*J16*J16*J16*J16</f>
        <v>-0.104509917070149</v>
      </c>
      <c r="U16" s="25" t="n">
        <v>-4.26644700875676E+017</v>
      </c>
      <c r="V16" s="19" t="n">
        <f aca="false">S16-T16</f>
        <v>8.3544524470125E-006</v>
      </c>
      <c r="W16" s="19" t="n">
        <f aca="false">V16*V16</f>
        <v>6.97968756893931E-011</v>
      </c>
      <c r="X16" s="26" t="n">
        <f aca="false">EXP(S16+$U$14*J16+$U$15*J16*J16/2+$U$16*J16*J16*J16/3+$U$17*J16*J16*J16*J16/4)</f>
        <v>0.784103087603649</v>
      </c>
      <c r="Y16" s="26" t="n">
        <f aca="false">EXP(2*$AG$12*J16)</f>
        <v>0.883504821731716</v>
      </c>
      <c r="Z16" s="26" t="n">
        <f aca="false">X16</f>
        <v>0.784103087603649</v>
      </c>
      <c r="AA16" s="26" t="n">
        <f aca="false">Y16</f>
        <v>0.883504821731716</v>
      </c>
      <c r="AC16" s="1" t="n">
        <v>7</v>
      </c>
      <c r="AD16" s="42" t="n">
        <v>8</v>
      </c>
    </row>
    <row r="17" customFormat="false" ht="15.75" hidden="false" customHeight="true" outlineLevel="0" collapsed="false">
      <c r="D17" s="39"/>
      <c r="E17" s="18" t="n">
        <f aca="false">E16</f>
        <v>1E-007</v>
      </c>
      <c r="F17" s="18" t="n">
        <f aca="false">0.00000000000001/E17</f>
        <v>1E-007</v>
      </c>
      <c r="G17" s="19" t="n">
        <v>11.9</v>
      </c>
      <c r="H17" s="20" t="n">
        <f aca="false">G17/$AE$3</f>
        <v>0.0007</v>
      </c>
      <c r="I17" s="40" t="n">
        <f aca="false">1000000*H17</f>
        <v>700</v>
      </c>
      <c r="J17" s="21" t="n">
        <f aca="false">H17/($B$9*(1-H17*$AE$4*$B$5/1000) - L17*($B$11+$B$12) - M17*(2*$B$11+$B$13) - E17*$B$15 - F17*$B$16)</f>
        <v>7.39300617176028E-007</v>
      </c>
      <c r="K17" s="19" t="n">
        <f aca="false">K16</f>
        <v>0.333333333333333</v>
      </c>
      <c r="L17" s="22" t="n">
        <f aca="false">M17*E17/(10^-$B$19)</f>
        <v>0.000633945614189253</v>
      </c>
      <c r="M17" s="22" t="n">
        <f aca="false">(10^-$B$19)*K17/(E17+(10^-$B$19))</f>
        <v>0.332699387719144</v>
      </c>
      <c r="N17" s="21" t="n">
        <f aca="false">(L17+3*M17)/($B$9*(1-H17*$AE$3*$B$5/1000) - L17*($B$11+$B$12) - M17*(2*$B$11+$B$13) - E17*$B$15 - F17*$B$16)</f>
        <v>0.00105480466344053</v>
      </c>
      <c r="O17" s="19" t="n">
        <v>12.15</v>
      </c>
      <c r="P17" s="19" t="n">
        <f aca="false">O17*133.322</f>
        <v>1619.8623</v>
      </c>
      <c r="Q17" s="23" t="n">
        <f aca="false">$B$1*$B$2*$B$9*1000*(J17+0.25*$AD$15*$AD$15*J17*J17/N17)</f>
        <v>1847.68695781758</v>
      </c>
      <c r="R17" s="24" t="n">
        <f aca="false">P17/Q17</f>
        <v>0.876697371893191</v>
      </c>
      <c r="S17" s="24" t="n">
        <f aca="false">R17-1</f>
        <v>-0.123302628106809</v>
      </c>
      <c r="T17" s="24" t="n">
        <f aca="false">$U$13+$U$14*J17+$U$15*J17*J17+$U$16*J17*J17*J17+$U$17*J17*J17*J17*J17</f>
        <v>-0.118307445605643</v>
      </c>
      <c r="U17" s="25" t="n">
        <v>1.56551730004037E+023</v>
      </c>
      <c r="V17" s="19" t="n">
        <f aca="false">S17-T17</f>
        <v>-0.004995182501166</v>
      </c>
      <c r="W17" s="19" t="n">
        <f aca="false">V17*V17</f>
        <v>2.4951848219955E-005</v>
      </c>
      <c r="X17" s="26" t="n">
        <f aca="false">EXP(S17+$U$14*J17+$U$15*J17*J17/2+$U$16*J17*J17*J17/3+$U$17*J17*J17*J17*J17/4)</f>
        <v>0.753866398715571</v>
      </c>
      <c r="Y17" s="26" t="n">
        <f aca="false">EXP(2*$AG$12*J17)</f>
        <v>0.861602313143846</v>
      </c>
      <c r="Z17" s="26" t="n">
        <f aca="false">X17</f>
        <v>0.753866398715571</v>
      </c>
      <c r="AA17" s="26" t="n">
        <f aca="false">Y17</f>
        <v>0.861602313143846</v>
      </c>
      <c r="AC17" s="1" t="n">
        <v>8</v>
      </c>
      <c r="AD17" s="42" t="n">
        <v>7.5</v>
      </c>
    </row>
    <row r="18" customFormat="false" ht="15.75" hidden="false" customHeight="true" outlineLevel="0" collapsed="false">
      <c r="D18" s="39"/>
      <c r="E18" s="18" t="n">
        <f aca="false">E17</f>
        <v>1E-007</v>
      </c>
      <c r="F18" s="18" t="n">
        <f aca="false">0.00000000000001/E18</f>
        <v>1E-007</v>
      </c>
      <c r="G18" s="19" t="n">
        <v>13.89</v>
      </c>
      <c r="H18" s="20" t="n">
        <f aca="false">G18/$AE$3</f>
        <v>0.000817058823529412</v>
      </c>
      <c r="I18" s="40" t="n">
        <f aca="false">1000000*H18</f>
        <v>817.058823529412</v>
      </c>
      <c r="J18" s="21" t="n">
        <f aca="false">H18/($B$9*(1-H18*$AE$4*$B$5/1000) - L18*($B$11+$B$12) - M18*(2*$B$11+$B$13) - E18*$B$15 - F18*$B$16)</f>
        <v>8.64275337986385E-007</v>
      </c>
      <c r="K18" s="19" t="n">
        <f aca="false">K17</f>
        <v>0.333333333333333</v>
      </c>
      <c r="L18" s="22" t="n">
        <f aca="false">M18*E18/(10^-$B$19)</f>
        <v>0.000633945614189253</v>
      </c>
      <c r="M18" s="22" t="n">
        <f aca="false">(10^-$B$19)*K18/(E18+(10^-$B$19))</f>
        <v>0.332699387719144</v>
      </c>
      <c r="N18" s="21" t="n">
        <f aca="false">(L18+3*M18)/($B$9*(1-H18*$AE$3*$B$5/1000) - L18*($B$11+$B$12) - M18*(2*$B$11+$B$13) - E18*$B$15 - F18*$B$16)</f>
        <v>0.00105644723000213</v>
      </c>
      <c r="O18" s="19" t="n">
        <v>14.1</v>
      </c>
      <c r="P18" s="19" t="n">
        <f aca="false">O18*133.322</f>
        <v>1879.8402</v>
      </c>
      <c r="Q18" s="23" t="n">
        <f aca="false">$B$1*$B$2*$B$9*1000*(J18+0.25*$AD$15*$AD$15*J18*J18/N18)</f>
        <v>2164.03413956538</v>
      </c>
      <c r="R18" s="24" t="n">
        <f aca="false">P18/Q18</f>
        <v>0.868674003626183</v>
      </c>
      <c r="S18" s="24" t="n">
        <f aca="false">R18-1</f>
        <v>-0.131325996373817</v>
      </c>
      <c r="T18" s="24" t="n">
        <f aca="false">$U$13+$U$14*J18+$U$15*J18*J18+$U$16*J18*J18*J18+$U$17*J18*J18*J18*J18</f>
        <v>-0.131787042090986</v>
      </c>
      <c r="U18" s="25"/>
      <c r="V18" s="19" t="n">
        <f aca="false">S18-T18</f>
        <v>0.000461045717168734</v>
      </c>
      <c r="W18" s="19" t="n">
        <f aca="false">V18*V18</f>
        <v>2.12563153319633E-007</v>
      </c>
      <c r="X18" s="26" t="n">
        <f aca="false">EXP(S18+$U$14*J18+$U$15*J18*J18/2+$U$16*J18*J18*J18/3+$U$17*J18*J18*J18*J18/4)</f>
        <v>0.733391915141119</v>
      </c>
      <c r="Y18" s="26" t="n">
        <f aca="false">EXP(2*$AG$12*J18)</f>
        <v>0.840177089156749</v>
      </c>
      <c r="Z18" s="26" t="n">
        <f aca="false">X18</f>
        <v>0.733391915141119</v>
      </c>
      <c r="AA18" s="26" t="n">
        <f aca="false">Y18</f>
        <v>0.840177089156749</v>
      </c>
      <c r="AC18" s="1" t="n">
        <v>8</v>
      </c>
      <c r="AD18" s="42" t="n">
        <v>7.5</v>
      </c>
    </row>
    <row r="19" customFormat="false" ht="15.75" hidden="false" customHeight="true" outlineLevel="0" collapsed="false">
      <c r="A19" s="1" t="s">
        <v>45</v>
      </c>
      <c r="B19" s="1" t="n">
        <v>4.28</v>
      </c>
      <c r="D19" s="39"/>
      <c r="E19" s="18" t="n">
        <f aca="false">E18</f>
        <v>1E-007</v>
      </c>
      <c r="F19" s="18" t="n">
        <f aca="false">0.00000000000001/E19</f>
        <v>1E-007</v>
      </c>
      <c r="G19" s="19" t="n">
        <v>15.91</v>
      </c>
      <c r="H19" s="20" t="n">
        <f aca="false">G19/$AE$3</f>
        <v>0.000935882352941177</v>
      </c>
      <c r="I19" s="40" t="n">
        <f aca="false">1000000*H19</f>
        <v>935.882352941177</v>
      </c>
      <c r="J19" s="21" t="n">
        <f aca="false">H19/($B$9*(1-H19*$AE$4*$B$5/1000) - L19*($B$11+$B$12) - M19*(2*$B$11+$B$13) - E19*$B$15 - F19*$B$16)</f>
        <v>9.91532803024521E-007</v>
      </c>
      <c r="K19" s="19" t="n">
        <f aca="false">K18</f>
        <v>0.333333333333333</v>
      </c>
      <c r="L19" s="22" t="n">
        <f aca="false">M19*E19/(10^-$B$19)</f>
        <v>0.000633945614189253</v>
      </c>
      <c r="M19" s="22" t="n">
        <f aca="false">(10^-$B$19)*K19/(E19+(10^-$B$19))</f>
        <v>0.332699387719144</v>
      </c>
      <c r="N19" s="21" t="n">
        <f aca="false">(L19+3*M19)/($B$9*(1-H19*$AE$3*$B$5/1000) - L19*($B$11+$B$12) - M19*(2*$B$11+$B$13) - E19*$B$15 - F19*$B$16)</f>
        <v>0.00105811979910594</v>
      </c>
      <c r="O19" s="19" t="n">
        <v>16</v>
      </c>
      <c r="P19" s="19" t="n">
        <f aca="false">O19*133.322</f>
        <v>2133.152</v>
      </c>
      <c r="Q19" s="23" t="n">
        <f aca="false">$B$1*$B$2*$B$9*1000*(J19+0.25*$AD$15*$AD$15*J19*J19/N19)</f>
        <v>2487.33536797152</v>
      </c>
      <c r="R19" s="24" t="n">
        <f aca="false">P19/Q19</f>
        <v>0.857605302231374</v>
      </c>
      <c r="S19" s="24" t="n">
        <f aca="false">R19-1</f>
        <v>-0.142394697768626</v>
      </c>
      <c r="T19" s="24" t="n">
        <f aca="false">$U$13+$U$14*J19+$U$15*J19*J19+$U$16*J19*J19*J19+$U$17*J19*J19*J19*J19</f>
        <v>-0.144223891420032</v>
      </c>
      <c r="U19" s="25"/>
      <c r="V19" s="19" t="n">
        <f aca="false">S19-T19</f>
        <v>0.00182919365140599</v>
      </c>
      <c r="W19" s="19" t="n">
        <f aca="false">V19*V19</f>
        <v>3.34594941434398E-006</v>
      </c>
      <c r="X19" s="26" t="n">
        <f aca="false">EXP(S19+$U$14*J19+$U$15*J19*J19/2+$U$16*J19*J19*J19/3+$U$17*J19*J19*J19*J19/4)</f>
        <v>0.711696073763382</v>
      </c>
      <c r="Y19" s="26" t="n">
        <f aca="false">EXP(2*$AG$12*J19)</f>
        <v>0.818907897334461</v>
      </c>
      <c r="Z19" s="26" t="n">
        <f aca="false">X19</f>
        <v>0.711696073763382</v>
      </c>
      <c r="AA19" s="26" t="n">
        <f aca="false">Y19</f>
        <v>0.818907897334461</v>
      </c>
      <c r="AD19" s="42"/>
    </row>
    <row r="20" customFormat="false" ht="15.75" hidden="false" customHeight="true" outlineLevel="0" collapsed="false">
      <c r="D20" s="39"/>
      <c r="E20" s="18" t="n">
        <f aca="false">E19</f>
        <v>1E-007</v>
      </c>
      <c r="F20" s="18" t="n">
        <f aca="false">0.00000000000001/E20</f>
        <v>1E-007</v>
      </c>
      <c r="G20" s="19" t="n">
        <v>17.96</v>
      </c>
      <c r="H20" s="20" t="n">
        <f aca="false">G20/$AE$3</f>
        <v>0.00105647058823529</v>
      </c>
      <c r="I20" s="40" t="n">
        <f aca="false">1000000*H20</f>
        <v>1056.47058823529</v>
      </c>
      <c r="J20" s="21" t="n">
        <f aca="false">H20/($B$9*(1-H20*$AE$4*$B$5/1000) - L20*($B$11+$B$12) - M20*(2*$B$11+$B$13) - E20*$B$15 - F20*$B$16)</f>
        <v>1.12109286289378E-006</v>
      </c>
      <c r="K20" s="19" t="n">
        <f aca="false">K19</f>
        <v>0.333333333333333</v>
      </c>
      <c r="L20" s="22" t="n">
        <f aca="false">M20*E20/(10^-$B$19)</f>
        <v>0.000633945614189253</v>
      </c>
      <c r="M20" s="22" t="n">
        <f aca="false">(10^-$B$19)*K20/(E20+(10^-$B$19))</f>
        <v>0.332699387719144</v>
      </c>
      <c r="N20" s="21" t="n">
        <f aca="false">(L20+3*M20)/($B$9*(1-H20*$AE$3*$B$5/1000) - L20*($B$11+$B$12) - M20*(2*$B$11+$B$13) - E20*$B$15 - F20*$B$16)</f>
        <v>0.00105982263165224</v>
      </c>
      <c r="O20" s="19" t="n">
        <v>17.9</v>
      </c>
      <c r="P20" s="19" t="n">
        <f aca="false">O20*133.322</f>
        <v>2386.4638</v>
      </c>
      <c r="Q20" s="23" t="n">
        <f aca="false">$B$1*$B$2*$B$9*1000*(J20+0.25*$AD$15*$AD$15*J20*J20/N20)</f>
        <v>2817.69942932475</v>
      </c>
      <c r="R20" s="24" t="n">
        <f aca="false">P20/Q20</f>
        <v>0.846954708924333</v>
      </c>
      <c r="S20" s="24" t="n">
        <f aca="false">R20-1</f>
        <v>-0.153045291075667</v>
      </c>
      <c r="T20" s="24" t="n">
        <f aca="false">$U$13+$U$14*J20+$U$15*J20*J20+$U$16*J20*J20*J20+$U$17*J20*J20*J20*J20</f>
        <v>-0.153578902727419</v>
      </c>
      <c r="U20" s="25"/>
      <c r="V20" s="19" t="n">
        <f aca="false">S20-T20</f>
        <v>0.000533611651751864</v>
      </c>
      <c r="W20" s="19" t="n">
        <f aca="false">V20*V20</f>
        <v>2.84741394885353E-007</v>
      </c>
      <c r="X20" s="26" t="n">
        <f aca="false">EXP(S20+$U$14*J20+$U$15*J20*J20/2+$U$16*J20*J20*J20/3+$U$17*J20*J20*J20*J20/4)</f>
        <v>0.691372213788172</v>
      </c>
      <c r="Y20" s="26" t="n">
        <f aca="false">EXP(2*$AG$12*J20)</f>
        <v>0.797806910127642</v>
      </c>
      <c r="Z20" s="26" t="n">
        <f aca="false">X20</f>
        <v>0.691372213788172</v>
      </c>
      <c r="AA20" s="26" t="n">
        <f aca="false">Y20</f>
        <v>0.797806910127642</v>
      </c>
      <c r="AD20" s="42"/>
    </row>
    <row r="21" customFormat="false" ht="15.75" hidden="false" customHeight="true" outlineLevel="0" collapsed="false">
      <c r="D21" s="39"/>
      <c r="E21" s="29" t="n">
        <f aca="false">E20</f>
        <v>1E-007</v>
      </c>
      <c r="F21" s="29" t="n">
        <f aca="false">0.00000000000001/E21</f>
        <v>1E-007</v>
      </c>
      <c r="G21" s="30" t="n">
        <v>19.9</v>
      </c>
      <c r="H21" s="31" t="n">
        <f aca="false">G21/$AE$3</f>
        <v>0.00117058823529412</v>
      </c>
      <c r="I21" s="43" t="n">
        <f aca="false">1000000*H21</f>
        <v>1170.58823529412</v>
      </c>
      <c r="J21" s="32" t="n">
        <f aca="false">H21/($B$9*(1-H21*$AE$4*$B$5/1000) - L21*($B$11+$B$12) - M21*(2*$B$11+$B$13) - E21*$B$15 - F21*$B$16)</f>
        <v>1.24408554414992E-006</v>
      </c>
      <c r="K21" s="30" t="n">
        <f aca="false">K20</f>
        <v>0.333333333333333</v>
      </c>
      <c r="L21" s="33" t="n">
        <f aca="false">M21*E21/(10^-$B$19)</f>
        <v>0.000633945614189253</v>
      </c>
      <c r="M21" s="33" t="n">
        <f aca="false">(10^-$B$19)*K21/(E21+(10^-$B$19))</f>
        <v>0.332699387719144</v>
      </c>
      <c r="N21" s="32" t="n">
        <f aca="false">(L21+3*M21)/($B$9*(1-H21*$AE$3*$B$5/1000) - L21*($B$11+$B$12) - M21*(2*$B$11+$B$13) - E21*$B$15 - F21*$B$16)</f>
        <v>0.00106143914789042</v>
      </c>
      <c r="O21" s="30" t="n">
        <v>19.8</v>
      </c>
      <c r="P21" s="30" t="n">
        <f aca="false">O21*133.322</f>
        <v>2639.7756</v>
      </c>
      <c r="Q21" s="34" t="n">
        <f aca="false">$B$1*$B$2*$B$9*1000*(J21+0.25*$AD$15*$AD$15*J21*J21/N21)</f>
        <v>3132.44447794971</v>
      </c>
      <c r="R21" s="35" t="n">
        <f aca="false">P21/Q21</f>
        <v>0.842720635140458</v>
      </c>
      <c r="S21" s="35" t="n">
        <f aca="false">R21-1</f>
        <v>-0.157279364859542</v>
      </c>
      <c r="T21" s="35" t="n">
        <f aca="false">$U$13+$U$14*J21+$U$15*J21*J21+$U$16*J21*J21*J21+$U$17*J21*J21*J21*J21</f>
        <v>-0.156610065287489</v>
      </c>
      <c r="U21" s="44" t="n">
        <f aca="false">SUM(W13:W21)</f>
        <v>7.2194355030238E-005</v>
      </c>
      <c r="V21" s="30" t="n">
        <f aca="false">S21-T21</f>
        <v>-0.000669299572053084</v>
      </c>
      <c r="W21" s="30" t="n">
        <f aca="false">V21*V21</f>
        <v>4.47961917150441E-007</v>
      </c>
      <c r="X21" s="37" t="n">
        <f aca="false">EXP(S21+$U$14*J21+$U$15*J21*J21/2+$U$16*J21*J21*J21/3+$U$17*J21*J21*J21*J21/4)</f>
        <v>0.677384152374622</v>
      </c>
      <c r="Y21" s="37" t="n">
        <f aca="false">EXP(2*$AG$12*J21)</f>
        <v>0.77827882042792</v>
      </c>
      <c r="Z21" s="37" t="n">
        <f aca="false">X21</f>
        <v>0.677384152374622</v>
      </c>
      <c r="AA21" s="37" t="n">
        <f aca="false">Y21</f>
        <v>0.77827882042792</v>
      </c>
      <c r="AD21" s="42"/>
    </row>
    <row r="22" customFormat="false" ht="15.75" hidden="false" customHeight="true" outlineLevel="0" collapsed="false">
      <c r="D22" s="45" t="n">
        <v>8</v>
      </c>
      <c r="E22" s="7" t="n">
        <f aca="false">10^-D22</f>
        <v>1E-008</v>
      </c>
      <c r="F22" s="7" t="n">
        <f aca="false">0.00000000000001/E22</f>
        <v>1E-006</v>
      </c>
      <c r="G22" s="8" t="n">
        <v>3.88</v>
      </c>
      <c r="H22" s="9" t="n">
        <f aca="false">G22/$AE$3</f>
        <v>0.000228235294117647</v>
      </c>
      <c r="I22" s="10" t="n">
        <f aca="false">1000000*H22</f>
        <v>228.235294117647</v>
      </c>
      <c r="J22" s="11" t="n">
        <f aca="false">H22/($B$9*(1-H22*$AE$5*$B$5/1000) - L22*($B$11+$B$12) - M22*(2*$B$11+$B$13) - E22*$B$15 - F22*$B$16)</f>
        <v>2.39550692769993E-007</v>
      </c>
      <c r="K22" s="8" t="n">
        <v>0.333333333333333</v>
      </c>
      <c r="L22" s="12" t="n">
        <f aca="false">M22*E22/(10^-$B$19)</f>
        <v>6.35032569692798E-005</v>
      </c>
      <c r="M22" s="12" t="n">
        <f aca="false">(10^-$B$19)*K22/(E22+(10^-$B$19))</f>
        <v>0.333269830076364</v>
      </c>
      <c r="N22" s="11" t="n">
        <f aca="false">(L22+3*M22)/($B$9*(1-H22*$AE$3*$B$5/1000) - L22*($B$11+$B$12) - M22*(2*$B$11+$B$13) - E22*$B$15 - F22*$B$16)</f>
        <v>0.00104944447438584</v>
      </c>
      <c r="O22" s="8" t="n">
        <v>4.2</v>
      </c>
      <c r="P22" s="8" t="n">
        <f aca="false">O22*133.322</f>
        <v>559.9524</v>
      </c>
      <c r="Q22" s="13" t="n">
        <f aca="false">$B$1*$B$2*$B$9*1000*(J22+0.25*$AD$17*$AD$17*J22*J22/N22)</f>
        <v>593.954840854535</v>
      </c>
      <c r="R22" s="14" t="n">
        <f aca="false">P22/Q22</f>
        <v>0.942752481307139</v>
      </c>
      <c r="S22" s="14" t="n">
        <f aca="false">R22-1</f>
        <v>-0.0572475186928609</v>
      </c>
      <c r="T22" s="14" t="n">
        <f aca="false">$U$22+$U$23*J22+$U$24*J22*J22+$U$25*J22*J22*J22+$U$26*J22*J22*J22*J22</f>
        <v>-0.0585796672500906</v>
      </c>
      <c r="U22" s="15" t="n">
        <v>0</v>
      </c>
      <c r="V22" s="8" t="n">
        <f aca="false">S22-T22</f>
        <v>0.00133214855722969</v>
      </c>
      <c r="W22" s="8" t="n">
        <f aca="false">V22*V22</f>
        <v>1.77461977852915E-006</v>
      </c>
      <c r="X22" s="16" t="n">
        <f aca="false">EXP(S22+$U$23*J22+$U$24*J22*J22/2+$U$25*J22*J22*J22/3+$U$26*J22*J22*J22*J22/4)</f>
        <v>0.88314318691098</v>
      </c>
      <c r="Y22" s="16" t="n">
        <f aca="false">EXP(2*$AG$13*J22)</f>
        <v>0.946978374859887</v>
      </c>
      <c r="Z22" s="16" t="n">
        <f aca="false">X22</f>
        <v>0.88314318691098</v>
      </c>
      <c r="AA22" s="16" t="n">
        <f aca="false">Y22</f>
        <v>0.946978374859887</v>
      </c>
      <c r="AD22" s="42"/>
    </row>
    <row r="23" customFormat="false" ht="15.75" hidden="false" customHeight="true" outlineLevel="0" collapsed="false">
      <c r="D23" s="45"/>
      <c r="E23" s="18" t="n">
        <f aca="false">E22</f>
        <v>1E-008</v>
      </c>
      <c r="F23" s="18" t="n">
        <f aca="false">0.00000000000001/E23</f>
        <v>1E-006</v>
      </c>
      <c r="G23" s="19" t="n">
        <v>5.9</v>
      </c>
      <c r="H23" s="20" t="n">
        <f aca="false">G23/$AE$3</f>
        <v>0.000347058823529412</v>
      </c>
      <c r="I23" s="40" t="n">
        <f aca="false">1000000*H23</f>
        <v>347.058823529412</v>
      </c>
      <c r="J23" s="21" t="n">
        <f aca="false">H23/($B$9*(1-H23*$AE$5*$B$5/1000) - L23*($B$11+$B$12) - M23*(2*$B$11+$B$13) - E23*$B$15 - F23*$B$16)</f>
        <v>3.64837450592998E-007</v>
      </c>
      <c r="K23" s="19" t="n">
        <f aca="false">K22</f>
        <v>0.333333333333333</v>
      </c>
      <c r="L23" s="22" t="n">
        <f aca="false">M23*E23/(10^-$B$19)</f>
        <v>6.35032569692798E-005</v>
      </c>
      <c r="M23" s="22" t="n">
        <f aca="false">(10^-$B$19)*K23/(E23+(10^-$B$19))</f>
        <v>0.333269830076364</v>
      </c>
      <c r="N23" s="21" t="n">
        <f aca="false">(L23+3*M23)/($B$9*(1-H23*$AE$3*$B$5/1000) - L23*($B$11+$B$12) - M23*(2*$B$11+$B$13) - E23*$B$15 - F23*$B$16)</f>
        <v>0.0010510930399363</v>
      </c>
      <c r="O23" s="19" t="n">
        <v>6.2</v>
      </c>
      <c r="P23" s="19" t="n">
        <f aca="false">O23*133.322</f>
        <v>826.5964</v>
      </c>
      <c r="Q23" s="23" t="n">
        <f aca="false">$B$1*$B$2*$B$9*1000*(J23+0.25*$AD$17*$AD$17*J23*J23/N23)</f>
        <v>906.104448026282</v>
      </c>
      <c r="R23" s="24" t="n">
        <f aca="false">P23/Q23</f>
        <v>0.912252888505879</v>
      </c>
      <c r="S23" s="24" t="n">
        <f aca="false">R23-1</f>
        <v>-0.0877471114941214</v>
      </c>
      <c r="T23" s="24" t="n">
        <f aca="false">$U$22+$U$23*J23+$U$24*J23*J23+$U$25*J23*J23*J23+$U$26*J23*J23*J23*J23</f>
        <v>-0.0791888317840269</v>
      </c>
      <c r="U23" s="25" t="n">
        <v>-320720.243477874</v>
      </c>
      <c r="V23" s="19" t="n">
        <f aca="false">S23-T23</f>
        <v>-0.00855827971009454</v>
      </c>
      <c r="W23" s="19" t="n">
        <f aca="false">V23*V23</f>
        <v>7.32441515962159E-005</v>
      </c>
      <c r="X23" s="26" t="n">
        <f aca="false">EXP(S23+$U$23*J23+$U$24*J23*J23/2+$U$25*J23*J23*J23/3+$U$26*J23*J23*J23*J23/4)</f>
        <v>0.832263654397953</v>
      </c>
      <c r="Y23" s="26" t="n">
        <f aca="false">EXP(2*$AG$13*J23)</f>
        <v>0.920376966496315</v>
      </c>
      <c r="Z23" s="26" t="n">
        <f aca="false">X23</f>
        <v>0.832263654397953</v>
      </c>
      <c r="AA23" s="26" t="n">
        <f aca="false">Y23</f>
        <v>0.920376966496315</v>
      </c>
      <c r="AD23" s="42"/>
    </row>
    <row r="24" customFormat="false" ht="15.75" hidden="false" customHeight="true" outlineLevel="0" collapsed="false">
      <c r="D24" s="45"/>
      <c r="E24" s="18" t="n">
        <f aca="false">E23</f>
        <v>1E-008</v>
      </c>
      <c r="F24" s="18" t="n">
        <f aca="false">0.00000000000001/E24</f>
        <v>1E-006</v>
      </c>
      <c r="G24" s="19" t="n">
        <v>7.85</v>
      </c>
      <c r="H24" s="20" t="n">
        <f aca="false">G24/$AE$3</f>
        <v>0.000461764705882353</v>
      </c>
      <c r="I24" s="40" t="n">
        <f aca="false">1000000*H24</f>
        <v>461.764705882353</v>
      </c>
      <c r="J24" s="21" t="n">
        <f aca="false">H24/($B$9*(1-H24*$AE$5*$B$5/1000) - L24*($B$11+$B$12) - M24*(2*$B$11+$B$13) - E24*$B$15 - F24*$B$16)</f>
        <v>4.86156555192889E-007</v>
      </c>
      <c r="K24" s="19" t="n">
        <f aca="false">K23</f>
        <v>0.333333333333333</v>
      </c>
      <c r="L24" s="22" t="n">
        <f aca="false">M24*E24/(10^-$B$19)</f>
        <v>6.35032569692798E-005</v>
      </c>
      <c r="M24" s="22" t="n">
        <f aca="false">(10^-$B$19)*K24/(E24+(10^-$B$19))</f>
        <v>0.333269830076364</v>
      </c>
      <c r="N24" s="21" t="n">
        <f aca="false">(L24+3*M24)/($B$9*(1-H24*$AE$3*$B$5/1000) - L24*($B$11+$B$12) - M24*(2*$B$11+$B$13) - E24*$B$15 - F24*$B$16)</f>
        <v>0.00105268939776318</v>
      </c>
      <c r="O24" s="19" t="n">
        <v>8.3</v>
      </c>
      <c r="P24" s="19" t="n">
        <f aca="false">O24*133.322</f>
        <v>1106.5726</v>
      </c>
      <c r="Q24" s="23" t="n">
        <f aca="false">$B$1*$B$2*$B$9*1000*(J24+0.25*$AD$17*$AD$17*J24*J24/N24)</f>
        <v>1209.34903411179</v>
      </c>
      <c r="R24" s="24" t="n">
        <f aca="false">P24/Q24</f>
        <v>0.915015077357488</v>
      </c>
      <c r="S24" s="24" t="n">
        <f aca="false">R24-1</f>
        <v>-0.0849849226425125</v>
      </c>
      <c r="T24" s="24" t="n">
        <f aca="false">$U$22+$U$23*J24+$U$24*J24*J24+$U$25*J24*J24*J24+$U$26*J24*J24*J24*J24</f>
        <v>-0.0957006865236727</v>
      </c>
      <c r="U24" s="25" t="n">
        <v>392806772322.351</v>
      </c>
      <c r="V24" s="19" t="n">
        <f aca="false">S24-T24</f>
        <v>0.0107157638811603</v>
      </c>
      <c r="W24" s="19" t="n">
        <f aca="false">V24*V24</f>
        <v>0.000114827595556779</v>
      </c>
      <c r="X24" s="26" t="n">
        <f aca="false">EXP(S24+$U$23*J24+$U$24*J24*J24/2+$U$25*J24*J24*J24/3+$U$26*J24*J24*J24*J24/4)</f>
        <v>0.813919697262298</v>
      </c>
      <c r="Y24" s="26" t="n">
        <f aca="false">EXP(2*$AG$13*J24)</f>
        <v>0.895330333138829</v>
      </c>
      <c r="Z24" s="26" t="n">
        <f aca="false">X24</f>
        <v>0.813919697262298</v>
      </c>
      <c r="AA24" s="26" t="n">
        <f aca="false">Y24</f>
        <v>0.895330333138829</v>
      </c>
    </row>
    <row r="25" customFormat="false" ht="15.75" hidden="false" customHeight="true" outlineLevel="0" collapsed="false">
      <c r="D25" s="45"/>
      <c r="E25" s="18" t="n">
        <f aca="false">E24</f>
        <v>1E-008</v>
      </c>
      <c r="F25" s="18" t="n">
        <f aca="false">0.00000000000001/E25</f>
        <v>1E-006</v>
      </c>
      <c r="G25" s="19" t="n">
        <v>9.82</v>
      </c>
      <c r="H25" s="20" t="n">
        <f aca="false">G25/$AE$3</f>
        <v>0.000577647058823529</v>
      </c>
      <c r="I25" s="40" t="n">
        <f aca="false">1000000*H25</f>
        <v>577.647058823529</v>
      </c>
      <c r="J25" s="21" t="n">
        <f aca="false">H25/($B$9*(1-H25*$AE$5*$B$5/1000) - L25*($B$11+$B$12) - M25*(2*$B$11+$B$13) - E25*$B$15 - F25*$B$16)</f>
        <v>6.09094731234987E-007</v>
      </c>
      <c r="K25" s="19" t="n">
        <f aca="false">K24</f>
        <v>0.333333333333333</v>
      </c>
      <c r="L25" s="22" t="n">
        <f aca="false">M25*E25/(10^-$B$19)</f>
        <v>6.35032569692798E-005</v>
      </c>
      <c r="M25" s="22" t="n">
        <f aca="false">(10^-$B$19)*K25/(E25+(10^-$B$19))</f>
        <v>0.333269830076364</v>
      </c>
      <c r="N25" s="21" t="n">
        <f aca="false">(L25+3*M25)/($B$9*(1-H25*$AE$3*$B$5/1000) - L25*($B$11+$B$12) - M25*(2*$B$11+$B$13) - E25*$B$15 - F25*$B$16)</f>
        <v>0.00105430705987991</v>
      </c>
      <c r="O25" s="19" t="n">
        <v>10.1</v>
      </c>
      <c r="P25" s="19" t="n">
        <f aca="false">O25*133.322</f>
        <v>1346.5522</v>
      </c>
      <c r="Q25" s="23" t="n">
        <f aca="false">$B$1*$B$2*$B$9*1000*(J25+0.25*$AD$17*$AD$17*J25*J25/N25)</f>
        <v>1517.6199857224</v>
      </c>
      <c r="R25" s="24" t="n">
        <f aca="false">P25/Q25</f>
        <v>0.887278905568071</v>
      </c>
      <c r="S25" s="24" t="n">
        <f aca="false">R25-1</f>
        <v>-0.112721094431929</v>
      </c>
      <c r="T25" s="24" t="n">
        <f aca="false">$U$22+$U$23*J25+$U$24*J25*J25+$U$25*J25*J25*J25+$U$26*J25*J25*J25*J25</f>
        <v>-0.110578830891177</v>
      </c>
      <c r="U25" s="25" t="n">
        <v>-3.3974089309344E+017</v>
      </c>
      <c r="V25" s="19" t="n">
        <f aca="false">S25-T25</f>
        <v>-0.00214226354075112</v>
      </c>
      <c r="W25" s="19" t="n">
        <f aca="false">V25*V25</f>
        <v>4.58929307803151E-006</v>
      </c>
      <c r="X25" s="26" t="n">
        <f aca="false">EXP(S25+$U$23*J25+$U$24*J25*J25/2+$U$25*J25*J25*J25/3+$U$26*J25*J25*J25*J25/4)</f>
        <v>0.773489838946151</v>
      </c>
      <c r="Y25" s="26" t="n">
        <f aca="false">EXP(2*$AG$13*J25)</f>
        <v>0.870644664309172</v>
      </c>
      <c r="Z25" s="26" t="n">
        <f aca="false">X25</f>
        <v>0.773489838946151</v>
      </c>
      <c r="AA25" s="26" t="n">
        <f aca="false">Y25</f>
        <v>0.870644664309172</v>
      </c>
    </row>
    <row r="26" customFormat="false" ht="15.75" hidden="false" customHeight="true" outlineLevel="0" collapsed="false">
      <c r="D26" s="45"/>
      <c r="E26" s="18" t="n">
        <f aca="false">E25</f>
        <v>1E-008</v>
      </c>
      <c r="F26" s="18" t="n">
        <f aca="false">0.00000000000001/E26</f>
        <v>1E-006</v>
      </c>
      <c r="G26" s="19" t="n">
        <v>11.82</v>
      </c>
      <c r="H26" s="20" t="n">
        <f aca="false">G26/$AE$3</f>
        <v>0.000695294117647059</v>
      </c>
      <c r="I26" s="40" t="n">
        <f aca="false">1000000*H26</f>
        <v>695.294117647059</v>
      </c>
      <c r="J26" s="21" t="n">
        <f aca="false">H26/($B$9*(1-H26*$AE$5*$B$5/1000) - L26*($B$11+$B$12) - M26*(2*$B$11+$B$13) - E26*$B$15 - F26*$B$16)</f>
        <v>7.34292177645204E-007</v>
      </c>
      <c r="K26" s="19" t="n">
        <f aca="false">K25</f>
        <v>0.333333333333333</v>
      </c>
      <c r="L26" s="22" t="n">
        <f aca="false">M26*E26/(10^-$B$19)</f>
        <v>6.35032569692798E-005</v>
      </c>
      <c r="M26" s="22" t="n">
        <f aca="false">(10^-$B$19)*K26/(E26+(10^-$B$19))</f>
        <v>0.333269830076364</v>
      </c>
      <c r="N26" s="21" t="n">
        <f aca="false">(L26+3*M26)/($B$9*(1-H26*$AE$3*$B$5/1000) - L26*($B$11+$B$12) - M26*(2*$B$11+$B$13) - E26*$B$15 - F26*$B$16)</f>
        <v>0.00105595445024058</v>
      </c>
      <c r="O26" s="19" t="n">
        <v>12.05</v>
      </c>
      <c r="P26" s="19" t="n">
        <f aca="false">O26*133.322</f>
        <v>1606.5301</v>
      </c>
      <c r="Q26" s="23" t="n">
        <f aca="false">$B$1*$B$2*$B$9*1000*(J26+0.25*$AD$17*$AD$17*J26*J26/N26)</f>
        <v>1832.56468889264</v>
      </c>
      <c r="R26" s="24" t="n">
        <f aca="false">P26/Q26</f>
        <v>0.876656693069196</v>
      </c>
      <c r="S26" s="24" t="n">
        <f aca="false">R26-1</f>
        <v>-0.123343306930804</v>
      </c>
      <c r="T26" s="24" t="n">
        <f aca="false">$U$22+$U$23*J26+$U$24*J26*J26+$U$25*J26*J26*J26+$U$26*J26*J26*J26*J26</f>
        <v>-0.124818220302347</v>
      </c>
      <c r="U26" s="25" t="n">
        <v>1.14882217516085E+023</v>
      </c>
      <c r="V26" s="19" t="n">
        <f aca="false">S26-T26</f>
        <v>0.00147491337154214</v>
      </c>
      <c r="W26" s="19" t="n">
        <f aca="false">V26*V26</f>
        <v>2.1753694535538E-006</v>
      </c>
      <c r="X26" s="26" t="n">
        <f aca="false">EXP(S26+$U$23*J26+$U$24*J26*J26/2+$U$25*J26*J26*J26/3+$U$26*J26*J26*J26*J26/4)</f>
        <v>0.748686514378947</v>
      </c>
      <c r="Y26" s="26" t="n">
        <f aca="false">EXP(2*$AG$13*J26)</f>
        <v>0.846204720604733</v>
      </c>
      <c r="Z26" s="26" t="n">
        <f aca="false">X26</f>
        <v>0.748686514378947</v>
      </c>
      <c r="AA26" s="26" t="n">
        <f aca="false">Y26</f>
        <v>0.846204720604733</v>
      </c>
    </row>
    <row r="27" customFormat="false" ht="15.75" hidden="false" customHeight="true" outlineLevel="0" collapsed="false">
      <c r="D27" s="45"/>
      <c r="E27" s="18" t="n">
        <f aca="false">E26</f>
        <v>1E-008</v>
      </c>
      <c r="F27" s="18" t="n">
        <f aca="false">0.00000000000001/E27</f>
        <v>1E-006</v>
      </c>
      <c r="G27" s="19" t="n">
        <v>13.83</v>
      </c>
      <c r="H27" s="20" t="n">
        <f aca="false">G27/$AE$3</f>
        <v>0.000813529411764706</v>
      </c>
      <c r="I27" s="40" t="n">
        <f aca="false">1000000*H27</f>
        <v>813.529411764706</v>
      </c>
      <c r="J27" s="21" t="n">
        <f aca="false">H27/($B$9*(1-H27*$AE$5*$B$5/1000) - L27*($B$11+$B$12) - M27*(2*$B$11+$B$13) - E27*$B$15 - F27*$B$16)</f>
        <v>8.60510421014754E-007</v>
      </c>
      <c r="K27" s="19" t="n">
        <f aca="false">K26</f>
        <v>0.333333333333333</v>
      </c>
      <c r="L27" s="22" t="n">
        <f aca="false">M27*E27/(10^-$B$19)</f>
        <v>6.35032569692798E-005</v>
      </c>
      <c r="M27" s="22" t="n">
        <f aca="false">(10^-$B$19)*K27/(E27+(10^-$B$19))</f>
        <v>0.333269830076364</v>
      </c>
      <c r="N27" s="21" t="n">
        <f aca="false">(L27+3*M27)/($B$9*(1-H27*$AE$3*$B$5/1000) - L27*($B$11+$B$12) - M27*(2*$B$11+$B$13) - E27*$B$15 - F27*$B$16)</f>
        <v>0.00105761527259302</v>
      </c>
      <c r="O27" s="19" t="n">
        <v>13.8</v>
      </c>
      <c r="P27" s="19" t="n">
        <f aca="false">O27*133.322</f>
        <v>1839.8436</v>
      </c>
      <c r="Q27" s="23" t="n">
        <f aca="false">$B$1*$B$2*$B$9*1000*(J27+0.25*$AD$17*$AD$17*J27*J27/N27)</f>
        <v>2151.10272570823</v>
      </c>
      <c r="R27" s="24" t="n">
        <f aca="false">P27/Q27</f>
        <v>0.855302528331952</v>
      </c>
      <c r="S27" s="24" t="n">
        <f aca="false">R27-1</f>
        <v>-0.144697471668048</v>
      </c>
      <c r="T27" s="24" t="n">
        <f aca="false">$U$22+$U$23*J27+$U$24*J27*J27+$U$25*J27*J27*J27+$U$26*J27*J27*J27*J27</f>
        <v>-0.138606659780394</v>
      </c>
      <c r="U27" s="25"/>
      <c r="V27" s="19" t="n">
        <f aca="false">S27-T27</f>
        <v>-0.00609081188765384</v>
      </c>
      <c r="W27" s="19" t="n">
        <f aca="false">V27*V27</f>
        <v>3.70979894507853E-005</v>
      </c>
      <c r="X27" s="26" t="n">
        <f aca="false">EXP(S27+$U$23*J27+$U$24*J27*J27/2+$U$25*J27*J27*J27/3+$U$26*J27*J27*J27*J27/4)</f>
        <v>0.717731170424266</v>
      </c>
      <c r="Y27" s="26" t="n">
        <f aca="false">EXP(2*$AG$13*J27)</f>
        <v>0.822259921811242</v>
      </c>
      <c r="Z27" s="26" t="n">
        <f aca="false">X27</f>
        <v>0.717731170424266</v>
      </c>
      <c r="AA27" s="26" t="n">
        <f aca="false">Y27</f>
        <v>0.822259921811242</v>
      </c>
    </row>
    <row r="28" customFormat="false" ht="15.75" hidden="false" customHeight="true" outlineLevel="0" collapsed="false">
      <c r="D28" s="45"/>
      <c r="E28" s="18" t="n">
        <f aca="false">E27</f>
        <v>1E-008</v>
      </c>
      <c r="F28" s="18" t="n">
        <f aca="false">0.00000000000001/E28</f>
        <v>1E-006</v>
      </c>
      <c r="G28" s="19" t="n">
        <v>15.75</v>
      </c>
      <c r="H28" s="20" t="n">
        <f aca="false">G28/$AE$3</f>
        <v>0.000926470588235294</v>
      </c>
      <c r="I28" s="40" t="n">
        <f aca="false">1000000*H28</f>
        <v>926.470588235294</v>
      </c>
      <c r="J28" s="21" t="n">
        <f aca="false">H28/($B$9*(1-H28*$AE$5*$B$5/1000) - L28*($B$11+$B$12) - M28*(2*$B$11+$B$13) - E28*$B$15 - F28*$B$16)</f>
        <v>9.81448426738776E-007</v>
      </c>
      <c r="K28" s="19" t="n">
        <f aca="false">K27</f>
        <v>0.333333333333333</v>
      </c>
      <c r="L28" s="22" t="n">
        <f aca="false">M28*E28/(10^-$B$19)</f>
        <v>6.35032569692798E-005</v>
      </c>
      <c r="M28" s="22" t="n">
        <f aca="false">(10^-$B$19)*K28/(E28+(10^-$B$19))</f>
        <v>0.333269830076364</v>
      </c>
      <c r="N28" s="21" t="n">
        <f aca="false">(L28+3*M28)/($B$9*(1-H28*$AE$3*$B$5/1000) - L28*($B$11+$B$12) - M28*(2*$B$11+$B$13) - E28*$B$15 - F28*$B$16)</f>
        <v>0.00105920661579195</v>
      </c>
      <c r="O28" s="19" t="n">
        <v>15.65</v>
      </c>
      <c r="P28" s="19" t="n">
        <f aca="false">O28*133.322</f>
        <v>2086.4893</v>
      </c>
      <c r="Q28" s="23" t="n">
        <f aca="false">$B$1*$B$2*$B$9*1000*(J28+0.25*$AD$17*$AD$17*J28*J28/N28)</f>
        <v>2457.27640367285</v>
      </c>
      <c r="R28" s="24" t="n">
        <f aca="false">P28/Q28</f>
        <v>0.849106472874343</v>
      </c>
      <c r="S28" s="24" t="n">
        <f aca="false">R28-1</f>
        <v>-0.150893527125657</v>
      </c>
      <c r="T28" s="24" t="n">
        <f aca="false">$U$22+$U$23*J28+$U$24*J28*J28+$U$25*J28*J28*J28+$U$26*J28*J28*J28*J28</f>
        <v>-0.150992559428469</v>
      </c>
      <c r="U28" s="25"/>
      <c r="V28" s="19" t="n">
        <f aca="false">S28-T28</f>
        <v>9.90323028121631E-005</v>
      </c>
      <c r="W28" s="19" t="n">
        <f aca="false">V28*V28</f>
        <v>9.80739700027997E-009</v>
      </c>
      <c r="X28" s="26" t="n">
        <f aca="false">EXP(S28+$U$23*J28+$U$24*J28*J28/2+$U$25*J28*J28*J28/3+$U$26*J28*J28*J28*J28/4)</f>
        <v>0.699847613939737</v>
      </c>
      <c r="Y28" s="26" t="n">
        <f aca="false">EXP(2*$AG$13*J28)</f>
        <v>0.799952720844348</v>
      </c>
      <c r="Z28" s="26" t="n">
        <f aca="false">X28</f>
        <v>0.699847613939737</v>
      </c>
      <c r="AA28" s="26" t="n">
        <f aca="false">Y28</f>
        <v>0.799952720844348</v>
      </c>
    </row>
    <row r="29" customFormat="false" ht="15.75" hidden="false" customHeight="true" outlineLevel="0" collapsed="false">
      <c r="D29" s="45"/>
      <c r="E29" s="18" t="n">
        <f aca="false">E28</f>
        <v>1E-008</v>
      </c>
      <c r="F29" s="18" t="n">
        <f aca="false">0.00000000000001/E29</f>
        <v>1E-006</v>
      </c>
      <c r="G29" s="19" t="n">
        <v>17.68</v>
      </c>
      <c r="H29" s="20" t="n">
        <f aca="false">G29/$AE$3</f>
        <v>0.00104</v>
      </c>
      <c r="I29" s="40" t="n">
        <f aca="false">1000000*H29</f>
        <v>1040</v>
      </c>
      <c r="J29" s="21" t="n">
        <f aca="false">H29/($B$9*(1-H29*$AE$5*$B$5/1000) - L29*($B$11+$B$12) - M29*(2*$B$11+$B$13) - E29*$B$15 - F29*$B$16)</f>
        <v>1.10338366100828E-006</v>
      </c>
      <c r="K29" s="19" t="n">
        <f aca="false">K28</f>
        <v>0.333333333333333</v>
      </c>
      <c r="L29" s="22" t="n">
        <f aca="false">M29*E29/(10^-$B$19)</f>
        <v>6.35032569692798E-005</v>
      </c>
      <c r="M29" s="22" t="n">
        <f aca="false">(10^-$B$19)*K29/(E29+(10^-$B$19))</f>
        <v>0.333269830076364</v>
      </c>
      <c r="N29" s="21" t="n">
        <f aca="false">(L29+3*M29)/($B$9*(1-H29*$AE$3*$B$5/1000) - L29*($B$11+$B$12) - M29*(2*$B$11+$B$13) - E29*$B$15 - F29*$B$16)</f>
        <v>0.00106081108086149</v>
      </c>
      <c r="O29" s="19" t="n">
        <v>17.5</v>
      </c>
      <c r="P29" s="19" t="n">
        <f aca="false">O29*133.322</f>
        <v>2333.135</v>
      </c>
      <c r="Q29" s="23" t="n">
        <f aca="false">$B$1*$B$2*$B$9*1000*(J29+0.25*$AD$17*$AD$17*J29*J29/N29)</f>
        <v>2766.92291308731</v>
      </c>
      <c r="R29" s="24" t="n">
        <f aca="false">P29/Q29</f>
        <v>0.843223708533574</v>
      </c>
      <c r="S29" s="24" t="n">
        <f aca="false">R29-1</f>
        <v>-0.156776291466426</v>
      </c>
      <c r="T29" s="24" t="n">
        <f aca="false">$U$22+$U$23*J29+$U$24*J29*J29+$U$25*J29*J29*J29+$U$26*J29*J29*J29*J29</f>
        <v>-0.161755437743865</v>
      </c>
      <c r="U29" s="25"/>
      <c r="V29" s="19" t="n">
        <f aca="false">S29-T29</f>
        <v>0.00497914627743903</v>
      </c>
      <c r="W29" s="19" t="n">
        <f aca="false">V29*V29</f>
        <v>2.4791897652135E-005</v>
      </c>
      <c r="X29" s="26" t="n">
        <f aca="false">EXP(S29+$U$23*J29+$U$24*J29*J29/2+$U$25*J29*J29*J29/3+$U$26*J29*J29*J29*J29/4)</f>
        <v>0.683110388817</v>
      </c>
      <c r="Y29" s="26" t="n">
        <f aca="false">EXP(2*$AG$13*J29)</f>
        <v>0.778074214412248</v>
      </c>
      <c r="Z29" s="26" t="n">
        <f aca="false">X29</f>
        <v>0.683110388817</v>
      </c>
      <c r="AA29" s="26" t="n">
        <f aca="false">Y29</f>
        <v>0.778074214412248</v>
      </c>
    </row>
    <row r="30" customFormat="false" ht="15.75" hidden="false" customHeight="true" outlineLevel="0" collapsed="false">
      <c r="D30" s="45"/>
      <c r="E30" s="29" t="n">
        <f aca="false">E26</f>
        <v>1E-008</v>
      </c>
      <c r="F30" s="29" t="n">
        <f aca="false">0.00000000000001/E30</f>
        <v>1E-006</v>
      </c>
      <c r="G30" s="30" t="n">
        <v>19.68</v>
      </c>
      <c r="H30" s="31" t="n">
        <f aca="false">G30/$AE$3</f>
        <v>0.00115764705882353</v>
      </c>
      <c r="I30" s="43" t="n">
        <f aca="false">1000000*H30</f>
        <v>1157.64705882353</v>
      </c>
      <c r="J30" s="32" t="n">
        <f aca="false">H30/($B$9*(1-H30*$AE$5*$B$5/1000) - L30*($B$11+$B$12) - M30*(2*$B$11+$B$13) - E30*$B$15 - F30*$B$16)</f>
        <v>1.23013178003037E-006</v>
      </c>
      <c r="K30" s="30" t="n">
        <f aca="false">K29</f>
        <v>0.333333333333333</v>
      </c>
      <c r="L30" s="33" t="n">
        <f aca="false">M30*E30/(10^-$B$19)</f>
        <v>6.35032569692798E-005</v>
      </c>
      <c r="M30" s="33" t="n">
        <f aca="false">(10^-$B$19)*K30/(E30+(10^-$B$19))</f>
        <v>0.333269830076364</v>
      </c>
      <c r="N30" s="32" t="n">
        <f aca="false">(L30+3*M30)/($B$9*(1-H30*$AE$3*$B$5/1000) - L30*($B$11+$B$12) - M30*(2*$B$11+$B$13) - E30*$B$15 - F30*$B$16)</f>
        <v>0.00106247887549706</v>
      </c>
      <c r="O30" s="30" t="n">
        <v>19.2</v>
      </c>
      <c r="P30" s="30" t="n">
        <f aca="false">O30*133.322</f>
        <v>2559.7824</v>
      </c>
      <c r="Q30" s="34" t="n">
        <f aca="false">$B$1*$B$2*$B$9*1000*(J30+0.25*$AD$17*$AD$17*J30*J30/N30)</f>
        <v>3089.79600106057</v>
      </c>
      <c r="R30" s="35" t="n">
        <f aca="false">P30/Q30</f>
        <v>0.828463238065348</v>
      </c>
      <c r="S30" s="35" t="n">
        <f aca="false">R30-1</f>
        <v>-0.171536761934652</v>
      </c>
      <c r="T30" s="35" t="n">
        <f aca="false">$U$22+$U$23*J30+$U$24*J30*J30+$U$25*J30*J30*J30+$U$26*J30*J30*J30*J30</f>
        <v>-0.169476537481555</v>
      </c>
      <c r="U30" s="44" t="n">
        <f aca="false">SUM(W22:W30)</f>
        <v>0.000262755248760171</v>
      </c>
      <c r="V30" s="30" t="n">
        <f aca="false">S30-T30</f>
        <v>-0.00206022445309745</v>
      </c>
      <c r="W30" s="30" t="n">
        <f aca="false">V30*V30</f>
        <v>4.24452479714068E-006</v>
      </c>
      <c r="X30" s="37" t="n">
        <f aca="false">EXP(S30+$U$23*J30+$U$24*J30*J30/2+$U$25*J30*J30*J30/3+$U$26*J30*J30*J30*J30/4)</f>
        <v>0.661065625914021</v>
      </c>
      <c r="Y30" s="37" t="n">
        <f aca="false">EXP(2*$AG$13*J30)</f>
        <v>0.755966180572144</v>
      </c>
      <c r="Z30" s="37" t="n">
        <f aca="false">X30</f>
        <v>0.661065625914021</v>
      </c>
      <c r="AA30" s="37" t="n">
        <f aca="false">Y30</f>
        <v>0.755966180572144</v>
      </c>
    </row>
    <row r="33" customFormat="false" ht="15.75" hidden="false" customHeight="true" outlineLevel="0" collapsed="false">
      <c r="L33" s="46"/>
    </row>
  </sheetData>
  <mergeCells count="3">
    <mergeCell ref="D4:D12"/>
    <mergeCell ref="D13:D21"/>
    <mergeCell ref="D22:D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10"/>
    <col collapsed="false" customWidth="true" hidden="false" outlineLevel="0" max="3" min="2" style="0" width="45"/>
    <col collapsed="false" customWidth="true" hidden="false" outlineLevel="0" max="4" min="4" style="0" width="70"/>
  </cols>
  <sheetData>
    <row r="1" customFormat="false" ht="15" hidden="false" customHeight="false" outlineLevel="0" collapsed="false">
      <c r="A1" s="47" t="s">
        <v>46</v>
      </c>
    </row>
    <row r="3" customFormat="false" ht="60" hidden="false" customHeight="true" outlineLevel="0" collapsed="false">
      <c r="A3" s="48" t="s">
        <v>47</v>
      </c>
      <c r="B3" s="48"/>
      <c r="C3" s="48"/>
      <c r="D3" s="48"/>
    </row>
    <row r="4" customFormat="false" ht="75" hidden="false" customHeight="true" outlineLevel="0" collapsed="false">
      <c r="A4" s="48" t="s">
        <v>48</v>
      </c>
      <c r="B4" s="48"/>
      <c r="C4" s="48"/>
      <c r="D4" s="48"/>
    </row>
    <row r="5" customFormat="false" ht="90" hidden="false" customHeight="true" outlineLevel="0" collapsed="false">
      <c r="A5" s="48" t="s">
        <v>49</v>
      </c>
      <c r="B5" s="48"/>
      <c r="C5" s="48"/>
      <c r="D5" s="48"/>
    </row>
    <row r="6" customFormat="false" ht="45" hidden="false" customHeight="true" outlineLevel="0" collapsed="false">
      <c r="A6" s="48" t="s">
        <v>50</v>
      </c>
      <c r="B6" s="48"/>
      <c r="C6" s="48"/>
      <c r="D6" s="48"/>
    </row>
    <row r="8" customFormat="false" ht="15" hidden="false" customHeight="false" outlineLevel="0" collapsed="false">
      <c r="A8" s="49" t="s">
        <v>51</v>
      </c>
      <c r="B8" s="49" t="s">
        <v>52</v>
      </c>
      <c r="C8" s="49" t="s">
        <v>53</v>
      </c>
      <c r="D8" s="49" t="s">
        <v>54</v>
      </c>
    </row>
    <row r="9" customFormat="false" ht="22.35" hidden="false" customHeight="false" outlineLevel="0" collapsed="false">
      <c r="A9" s="50" t="s">
        <v>55</v>
      </c>
      <c r="B9" s="51" t="s">
        <v>56</v>
      </c>
      <c r="C9" s="51" t="s">
        <v>57</v>
      </c>
      <c r="D9" s="51" t="s">
        <v>58</v>
      </c>
    </row>
    <row r="10" customFormat="false" ht="22.35" hidden="false" customHeight="false" outlineLevel="0" collapsed="false">
      <c r="A10" s="50" t="s">
        <v>59</v>
      </c>
      <c r="B10" s="51" t="s">
        <v>60</v>
      </c>
      <c r="C10" s="51" t="s">
        <v>61</v>
      </c>
      <c r="D10" s="51" t="s">
        <v>62</v>
      </c>
    </row>
    <row r="11" customFormat="false" ht="22.35" hidden="false" customHeight="false" outlineLevel="0" collapsed="false">
      <c r="A11" s="50" t="s">
        <v>63</v>
      </c>
      <c r="B11" s="51" t="s">
        <v>64</v>
      </c>
      <c r="C11" s="51" t="s">
        <v>65</v>
      </c>
      <c r="D11" s="51" t="s">
        <v>58</v>
      </c>
    </row>
    <row r="12" customFormat="false" ht="22.35" hidden="false" customHeight="false" outlineLevel="0" collapsed="false">
      <c r="A12" s="50" t="s">
        <v>66</v>
      </c>
      <c r="B12" s="51" t="s">
        <v>67</v>
      </c>
      <c r="C12" s="51" t="s">
        <v>68</v>
      </c>
      <c r="D12" s="51" t="s">
        <v>62</v>
      </c>
    </row>
    <row r="13" customFormat="false" ht="22.35" hidden="false" customHeight="false" outlineLevel="0" collapsed="false">
      <c r="A13" s="50" t="s">
        <v>69</v>
      </c>
      <c r="B13" s="51" t="s">
        <v>70</v>
      </c>
      <c r="C13" s="51" t="s">
        <v>71</v>
      </c>
      <c r="D13" s="51" t="s">
        <v>58</v>
      </c>
    </row>
    <row r="14" customFormat="false" ht="22.35" hidden="false" customHeight="false" outlineLevel="0" collapsed="false">
      <c r="A14" s="50" t="s">
        <v>72</v>
      </c>
      <c r="B14" s="51" t="s">
        <v>73</v>
      </c>
      <c r="C14" s="51" t="s">
        <v>74</v>
      </c>
      <c r="D14" s="51" t="s">
        <v>62</v>
      </c>
    </row>
    <row r="15" customFormat="false" ht="22.35" hidden="false" customHeight="false" outlineLevel="0" collapsed="false">
      <c r="A15" s="50" t="s">
        <v>75</v>
      </c>
      <c r="B15" s="51" t="s">
        <v>76</v>
      </c>
      <c r="C15" s="51" t="s">
        <v>77</v>
      </c>
      <c r="D15" s="51" t="s">
        <v>58</v>
      </c>
    </row>
    <row r="16" customFormat="false" ht="22.35" hidden="false" customHeight="false" outlineLevel="0" collapsed="false">
      <c r="A16" s="50" t="s">
        <v>78</v>
      </c>
      <c r="B16" s="51" t="s">
        <v>79</v>
      </c>
      <c r="C16" s="51" t="s">
        <v>80</v>
      </c>
      <c r="D16" s="51" t="s">
        <v>62</v>
      </c>
    </row>
    <row r="17" customFormat="false" ht="22.35" hidden="false" customHeight="false" outlineLevel="0" collapsed="false">
      <c r="A17" s="50" t="s">
        <v>81</v>
      </c>
      <c r="B17" s="51" t="s">
        <v>82</v>
      </c>
      <c r="C17" s="51" t="s">
        <v>83</v>
      </c>
      <c r="D17" s="51" t="s">
        <v>58</v>
      </c>
    </row>
    <row r="18" customFormat="false" ht="22.35" hidden="false" customHeight="false" outlineLevel="0" collapsed="false">
      <c r="A18" s="50" t="s">
        <v>84</v>
      </c>
      <c r="B18" s="51" t="s">
        <v>85</v>
      </c>
      <c r="C18" s="51" t="s">
        <v>86</v>
      </c>
      <c r="D18" s="51" t="s">
        <v>62</v>
      </c>
    </row>
    <row r="19" customFormat="false" ht="22.35" hidden="false" customHeight="false" outlineLevel="0" collapsed="false">
      <c r="A19" s="50" t="s">
        <v>87</v>
      </c>
      <c r="B19" s="51" t="s">
        <v>88</v>
      </c>
      <c r="C19" s="51" t="s">
        <v>89</v>
      </c>
      <c r="D19" s="51" t="s">
        <v>58</v>
      </c>
    </row>
    <row r="20" customFormat="false" ht="22.35" hidden="false" customHeight="false" outlineLevel="0" collapsed="false">
      <c r="A20" s="50" t="s">
        <v>90</v>
      </c>
      <c r="B20" s="51" t="s">
        <v>91</v>
      </c>
      <c r="C20" s="51" t="s">
        <v>92</v>
      </c>
      <c r="D20" s="51" t="s">
        <v>62</v>
      </c>
    </row>
    <row r="21" customFormat="false" ht="22.35" hidden="false" customHeight="false" outlineLevel="0" collapsed="false">
      <c r="A21" s="50" t="s">
        <v>93</v>
      </c>
      <c r="B21" s="51" t="s">
        <v>94</v>
      </c>
      <c r="C21" s="51" t="s">
        <v>95</v>
      </c>
      <c r="D21" s="51" t="s">
        <v>58</v>
      </c>
    </row>
    <row r="22" customFormat="false" ht="22.35" hidden="false" customHeight="false" outlineLevel="0" collapsed="false">
      <c r="A22" s="50" t="s">
        <v>96</v>
      </c>
      <c r="B22" s="51" t="s">
        <v>97</v>
      </c>
      <c r="C22" s="51" t="s">
        <v>98</v>
      </c>
      <c r="D22" s="51" t="s">
        <v>62</v>
      </c>
    </row>
    <row r="23" customFormat="false" ht="22.35" hidden="false" customHeight="false" outlineLevel="0" collapsed="false">
      <c r="A23" s="50" t="s">
        <v>99</v>
      </c>
      <c r="B23" s="51" t="s">
        <v>100</v>
      </c>
      <c r="C23" s="51" t="s">
        <v>101</v>
      </c>
      <c r="D23" s="51" t="s">
        <v>58</v>
      </c>
    </row>
    <row r="24" customFormat="false" ht="22.35" hidden="false" customHeight="false" outlineLevel="0" collapsed="false">
      <c r="A24" s="50" t="s">
        <v>102</v>
      </c>
      <c r="B24" s="51" t="s">
        <v>103</v>
      </c>
      <c r="C24" s="51" t="s">
        <v>104</v>
      </c>
      <c r="D24" s="51" t="s">
        <v>62</v>
      </c>
    </row>
    <row r="25" customFormat="false" ht="22.35" hidden="false" customHeight="false" outlineLevel="0" collapsed="false">
      <c r="A25" s="50" t="s">
        <v>105</v>
      </c>
      <c r="B25" s="51" t="s">
        <v>106</v>
      </c>
      <c r="C25" s="51" t="s">
        <v>107</v>
      </c>
      <c r="D25" s="51" t="s">
        <v>58</v>
      </c>
    </row>
    <row r="26" customFormat="false" ht="22.35" hidden="false" customHeight="false" outlineLevel="0" collapsed="false">
      <c r="A26" s="50" t="s">
        <v>108</v>
      </c>
      <c r="B26" s="51" t="s">
        <v>109</v>
      </c>
      <c r="C26" s="51" t="s">
        <v>110</v>
      </c>
      <c r="D26" s="51" t="s">
        <v>62</v>
      </c>
    </row>
    <row r="27" customFormat="false" ht="22.35" hidden="false" customHeight="false" outlineLevel="0" collapsed="false">
      <c r="A27" s="50" t="s">
        <v>111</v>
      </c>
      <c r="B27" s="51" t="s">
        <v>112</v>
      </c>
      <c r="C27" s="51" t="s">
        <v>113</v>
      </c>
      <c r="D27" s="51" t="s">
        <v>58</v>
      </c>
    </row>
    <row r="28" customFormat="false" ht="22.35" hidden="false" customHeight="false" outlineLevel="0" collapsed="false">
      <c r="A28" s="50" t="s">
        <v>114</v>
      </c>
      <c r="B28" s="51" t="s">
        <v>115</v>
      </c>
      <c r="C28" s="51" t="s">
        <v>116</v>
      </c>
      <c r="D28" s="51" t="s">
        <v>62</v>
      </c>
    </row>
    <row r="29" customFormat="false" ht="22.35" hidden="false" customHeight="false" outlineLevel="0" collapsed="false">
      <c r="A29" s="50" t="s">
        <v>117</v>
      </c>
      <c r="B29" s="51" t="s">
        <v>118</v>
      </c>
      <c r="C29" s="51" t="s">
        <v>119</v>
      </c>
      <c r="D29" s="51" t="s">
        <v>58</v>
      </c>
    </row>
    <row r="30" customFormat="false" ht="22.35" hidden="false" customHeight="false" outlineLevel="0" collapsed="false">
      <c r="A30" s="50" t="s">
        <v>120</v>
      </c>
      <c r="B30" s="51" t="s">
        <v>121</v>
      </c>
      <c r="C30" s="51" t="s">
        <v>122</v>
      </c>
      <c r="D30" s="51" t="s">
        <v>62</v>
      </c>
    </row>
    <row r="31" customFormat="false" ht="22.35" hidden="false" customHeight="false" outlineLevel="0" collapsed="false">
      <c r="A31" s="50" t="s">
        <v>123</v>
      </c>
      <c r="B31" s="51" t="s">
        <v>124</v>
      </c>
      <c r="C31" s="51" t="s">
        <v>125</v>
      </c>
      <c r="D31" s="51" t="s">
        <v>58</v>
      </c>
    </row>
    <row r="32" customFormat="false" ht="22.35" hidden="false" customHeight="false" outlineLevel="0" collapsed="false">
      <c r="A32" s="50" t="s">
        <v>126</v>
      </c>
      <c r="B32" s="51" t="s">
        <v>127</v>
      </c>
      <c r="C32" s="51" t="s">
        <v>128</v>
      </c>
      <c r="D32" s="51" t="s">
        <v>62</v>
      </c>
    </row>
    <row r="33" customFormat="false" ht="22.35" hidden="false" customHeight="false" outlineLevel="0" collapsed="false">
      <c r="A33" s="50" t="s">
        <v>129</v>
      </c>
      <c r="B33" s="51" t="s">
        <v>130</v>
      </c>
      <c r="C33" s="51" t="s">
        <v>131</v>
      </c>
      <c r="D33" s="51" t="s">
        <v>58</v>
      </c>
    </row>
    <row r="34" customFormat="false" ht="22.35" hidden="false" customHeight="false" outlineLevel="0" collapsed="false">
      <c r="A34" s="50" t="s">
        <v>132</v>
      </c>
      <c r="B34" s="51" t="s">
        <v>133</v>
      </c>
      <c r="C34" s="51" t="s">
        <v>134</v>
      </c>
      <c r="D34" s="51" t="s">
        <v>62</v>
      </c>
    </row>
    <row r="35" customFormat="false" ht="22.35" hidden="false" customHeight="false" outlineLevel="0" collapsed="false">
      <c r="A35" s="50" t="s">
        <v>135</v>
      </c>
      <c r="B35" s="51" t="s">
        <v>136</v>
      </c>
      <c r="C35" s="51" t="s">
        <v>137</v>
      </c>
      <c r="D35" s="51" t="s">
        <v>58</v>
      </c>
    </row>
    <row r="36" customFormat="false" ht="22.35" hidden="false" customHeight="false" outlineLevel="0" collapsed="false">
      <c r="A36" s="50" t="s">
        <v>138</v>
      </c>
      <c r="B36" s="51" t="s">
        <v>139</v>
      </c>
      <c r="C36" s="51" t="s">
        <v>140</v>
      </c>
      <c r="D36" s="51" t="s">
        <v>62</v>
      </c>
    </row>
    <row r="37" customFormat="false" ht="22.35" hidden="false" customHeight="false" outlineLevel="0" collapsed="false">
      <c r="A37" s="50" t="s">
        <v>141</v>
      </c>
      <c r="B37" s="51" t="s">
        <v>142</v>
      </c>
      <c r="C37" s="51" t="s">
        <v>143</v>
      </c>
      <c r="D37" s="51" t="s">
        <v>58</v>
      </c>
    </row>
    <row r="38" customFormat="false" ht="22.35" hidden="false" customHeight="false" outlineLevel="0" collapsed="false">
      <c r="A38" s="50" t="s">
        <v>144</v>
      </c>
      <c r="B38" s="51" t="s">
        <v>145</v>
      </c>
      <c r="C38" s="51" t="s">
        <v>146</v>
      </c>
      <c r="D38" s="51" t="s">
        <v>62</v>
      </c>
    </row>
    <row r="39" customFormat="false" ht="22.35" hidden="false" customHeight="false" outlineLevel="0" collapsed="false">
      <c r="A39" s="50" t="s">
        <v>147</v>
      </c>
      <c r="B39" s="51" t="s">
        <v>148</v>
      </c>
      <c r="C39" s="51" t="s">
        <v>149</v>
      </c>
      <c r="D39" s="51" t="s">
        <v>58</v>
      </c>
    </row>
    <row r="40" customFormat="false" ht="22.35" hidden="false" customHeight="false" outlineLevel="0" collapsed="false">
      <c r="A40" s="50" t="s">
        <v>150</v>
      </c>
      <c r="B40" s="51" t="s">
        <v>151</v>
      </c>
      <c r="C40" s="51" t="s">
        <v>152</v>
      </c>
      <c r="D40" s="51" t="s">
        <v>62</v>
      </c>
    </row>
    <row r="41" customFormat="false" ht="22.35" hidden="false" customHeight="false" outlineLevel="0" collapsed="false">
      <c r="A41" s="50" t="s">
        <v>153</v>
      </c>
      <c r="B41" s="51" t="s">
        <v>154</v>
      </c>
      <c r="C41" s="51" t="s">
        <v>155</v>
      </c>
      <c r="D41" s="51" t="s">
        <v>58</v>
      </c>
    </row>
    <row r="42" customFormat="false" ht="22.35" hidden="false" customHeight="false" outlineLevel="0" collapsed="false">
      <c r="A42" s="50" t="s">
        <v>156</v>
      </c>
      <c r="B42" s="51" t="s">
        <v>157</v>
      </c>
      <c r="C42" s="51" t="s">
        <v>158</v>
      </c>
      <c r="D42" s="51" t="s">
        <v>62</v>
      </c>
    </row>
    <row r="43" customFormat="false" ht="22.35" hidden="false" customHeight="false" outlineLevel="0" collapsed="false">
      <c r="A43" s="50" t="s">
        <v>159</v>
      </c>
      <c r="B43" s="51" t="s">
        <v>160</v>
      </c>
      <c r="C43" s="51" t="s">
        <v>161</v>
      </c>
      <c r="D43" s="51" t="s">
        <v>58</v>
      </c>
    </row>
    <row r="44" customFormat="false" ht="22.35" hidden="false" customHeight="false" outlineLevel="0" collapsed="false">
      <c r="A44" s="50" t="s">
        <v>162</v>
      </c>
      <c r="B44" s="51" t="s">
        <v>163</v>
      </c>
      <c r="C44" s="51" t="s">
        <v>164</v>
      </c>
      <c r="D44" s="51" t="s">
        <v>62</v>
      </c>
    </row>
    <row r="45" customFormat="false" ht="22.35" hidden="false" customHeight="false" outlineLevel="0" collapsed="false">
      <c r="A45" s="50" t="s">
        <v>165</v>
      </c>
      <c r="B45" s="51" t="s">
        <v>166</v>
      </c>
      <c r="C45" s="51" t="s">
        <v>167</v>
      </c>
      <c r="D45" s="51" t="s">
        <v>58</v>
      </c>
    </row>
    <row r="46" customFormat="false" ht="22.35" hidden="false" customHeight="false" outlineLevel="0" collapsed="false">
      <c r="A46" s="50" t="s">
        <v>168</v>
      </c>
      <c r="B46" s="51" t="s">
        <v>169</v>
      </c>
      <c r="C46" s="51" t="s">
        <v>170</v>
      </c>
      <c r="D46" s="51" t="s">
        <v>62</v>
      </c>
    </row>
    <row r="47" customFormat="false" ht="22.35" hidden="false" customHeight="false" outlineLevel="0" collapsed="false">
      <c r="A47" s="50" t="s">
        <v>171</v>
      </c>
      <c r="B47" s="51" t="s">
        <v>172</v>
      </c>
      <c r="C47" s="51" t="s">
        <v>173</v>
      </c>
      <c r="D47" s="51" t="s">
        <v>58</v>
      </c>
    </row>
    <row r="48" customFormat="false" ht="22.35" hidden="false" customHeight="false" outlineLevel="0" collapsed="false">
      <c r="A48" s="50" t="s">
        <v>174</v>
      </c>
      <c r="B48" s="51" t="s">
        <v>175</v>
      </c>
      <c r="C48" s="51" t="s">
        <v>176</v>
      </c>
      <c r="D48" s="51" t="s">
        <v>62</v>
      </c>
    </row>
    <row r="49" customFormat="false" ht="22.35" hidden="false" customHeight="false" outlineLevel="0" collapsed="false">
      <c r="A49" s="50" t="s">
        <v>177</v>
      </c>
      <c r="B49" s="51" t="s">
        <v>178</v>
      </c>
      <c r="C49" s="51" t="s">
        <v>179</v>
      </c>
      <c r="D49" s="51" t="s">
        <v>58</v>
      </c>
    </row>
    <row r="50" customFormat="false" ht="22.35" hidden="false" customHeight="false" outlineLevel="0" collapsed="false">
      <c r="A50" s="50" t="s">
        <v>180</v>
      </c>
      <c r="B50" s="51" t="s">
        <v>181</v>
      </c>
      <c r="C50" s="51" t="s">
        <v>182</v>
      </c>
      <c r="D50" s="51" t="s">
        <v>62</v>
      </c>
    </row>
    <row r="51" customFormat="false" ht="22.35" hidden="false" customHeight="false" outlineLevel="0" collapsed="false">
      <c r="A51" s="50" t="s">
        <v>183</v>
      </c>
      <c r="B51" s="51" t="s">
        <v>184</v>
      </c>
      <c r="C51" s="51" t="s">
        <v>185</v>
      </c>
      <c r="D51" s="51" t="s">
        <v>58</v>
      </c>
    </row>
    <row r="52" customFormat="false" ht="22.35" hidden="false" customHeight="false" outlineLevel="0" collapsed="false">
      <c r="A52" s="50" t="s">
        <v>186</v>
      </c>
      <c r="B52" s="51" t="s">
        <v>187</v>
      </c>
      <c r="C52" s="51" t="s">
        <v>188</v>
      </c>
      <c r="D52" s="51" t="s">
        <v>62</v>
      </c>
    </row>
    <row r="53" customFormat="false" ht="22.35" hidden="false" customHeight="false" outlineLevel="0" collapsed="false">
      <c r="A53" s="50" t="s">
        <v>189</v>
      </c>
      <c r="B53" s="51" t="s">
        <v>190</v>
      </c>
      <c r="C53" s="51" t="s">
        <v>191</v>
      </c>
      <c r="D53" s="51" t="s">
        <v>58</v>
      </c>
    </row>
    <row r="54" customFormat="false" ht="22.35" hidden="false" customHeight="false" outlineLevel="0" collapsed="false">
      <c r="A54" s="50" t="s">
        <v>192</v>
      </c>
      <c r="B54" s="51" t="s">
        <v>193</v>
      </c>
      <c r="C54" s="51" t="s">
        <v>194</v>
      </c>
      <c r="D54" s="51" t="s">
        <v>62</v>
      </c>
    </row>
    <row r="55" customFormat="false" ht="22.35" hidden="false" customHeight="false" outlineLevel="0" collapsed="false">
      <c r="A55" s="50" t="s">
        <v>195</v>
      </c>
      <c r="B55" s="51" t="s">
        <v>196</v>
      </c>
      <c r="C55" s="51" t="s">
        <v>197</v>
      </c>
      <c r="D55" s="51" t="s">
        <v>58</v>
      </c>
    </row>
    <row r="56" customFormat="false" ht="22.35" hidden="false" customHeight="false" outlineLevel="0" collapsed="false">
      <c r="A56" s="50" t="s">
        <v>198</v>
      </c>
      <c r="B56" s="51" t="s">
        <v>199</v>
      </c>
      <c r="C56" s="51" t="s">
        <v>200</v>
      </c>
      <c r="D56" s="51" t="s">
        <v>62</v>
      </c>
    </row>
    <row r="57" customFormat="false" ht="22.35" hidden="false" customHeight="false" outlineLevel="0" collapsed="false">
      <c r="A57" s="50" t="s">
        <v>201</v>
      </c>
      <c r="B57" s="51" t="s">
        <v>202</v>
      </c>
      <c r="C57" s="51" t="s">
        <v>203</v>
      </c>
      <c r="D57" s="51" t="s">
        <v>58</v>
      </c>
    </row>
    <row r="58" customFormat="false" ht="22.35" hidden="false" customHeight="false" outlineLevel="0" collapsed="false">
      <c r="A58" s="50" t="s">
        <v>204</v>
      </c>
      <c r="B58" s="51" t="s">
        <v>205</v>
      </c>
      <c r="C58" s="51" t="s">
        <v>206</v>
      </c>
      <c r="D58" s="51" t="s">
        <v>62</v>
      </c>
    </row>
    <row r="59" customFormat="false" ht="22.35" hidden="false" customHeight="false" outlineLevel="0" collapsed="false">
      <c r="A59" s="50" t="s">
        <v>207</v>
      </c>
      <c r="B59" s="51" t="s">
        <v>208</v>
      </c>
      <c r="C59" s="51" t="s">
        <v>209</v>
      </c>
      <c r="D59" s="51" t="s">
        <v>58</v>
      </c>
    </row>
    <row r="60" customFormat="false" ht="22.35" hidden="false" customHeight="false" outlineLevel="0" collapsed="false">
      <c r="A60" s="50" t="s">
        <v>210</v>
      </c>
      <c r="B60" s="51" t="s">
        <v>211</v>
      </c>
      <c r="C60" s="51" t="s">
        <v>212</v>
      </c>
      <c r="D60" s="51" t="s">
        <v>62</v>
      </c>
    </row>
    <row r="61" customFormat="false" ht="22.35" hidden="false" customHeight="false" outlineLevel="0" collapsed="false">
      <c r="A61" s="50" t="s">
        <v>213</v>
      </c>
      <c r="B61" s="51" t="s">
        <v>214</v>
      </c>
      <c r="C61" s="51" t="s">
        <v>215</v>
      </c>
      <c r="D61" s="51" t="s">
        <v>58</v>
      </c>
    </row>
    <row r="62" customFormat="false" ht="22.35" hidden="false" customHeight="false" outlineLevel="0" collapsed="false">
      <c r="A62" s="50" t="s">
        <v>216</v>
      </c>
      <c r="B62" s="51" t="s">
        <v>217</v>
      </c>
      <c r="C62" s="51" t="s">
        <v>218</v>
      </c>
      <c r="D62" s="51" t="s">
        <v>62</v>
      </c>
    </row>
    <row r="63" customFormat="false" ht="22.35" hidden="false" customHeight="false" outlineLevel="0" collapsed="false">
      <c r="A63" s="50" t="s">
        <v>59</v>
      </c>
      <c r="B63" s="51" t="s">
        <v>61</v>
      </c>
      <c r="C63" s="51" t="s">
        <v>219</v>
      </c>
      <c r="D63" s="51" t="s">
        <v>220</v>
      </c>
    </row>
    <row r="64" customFormat="false" ht="22.35" hidden="false" customHeight="false" outlineLevel="0" collapsed="false">
      <c r="A64" s="50" t="s">
        <v>66</v>
      </c>
      <c r="B64" s="51" t="s">
        <v>68</v>
      </c>
      <c r="C64" s="51" t="s">
        <v>221</v>
      </c>
      <c r="D64" s="51" t="s">
        <v>220</v>
      </c>
    </row>
    <row r="65" customFormat="false" ht="22.35" hidden="false" customHeight="false" outlineLevel="0" collapsed="false">
      <c r="A65" s="50" t="s">
        <v>72</v>
      </c>
      <c r="B65" s="51" t="s">
        <v>74</v>
      </c>
      <c r="C65" s="51" t="s">
        <v>222</v>
      </c>
      <c r="D65" s="51" t="s">
        <v>220</v>
      </c>
    </row>
    <row r="66" customFormat="false" ht="22.35" hidden="false" customHeight="false" outlineLevel="0" collapsed="false">
      <c r="A66" s="50" t="s">
        <v>78</v>
      </c>
      <c r="B66" s="51" t="s">
        <v>80</v>
      </c>
      <c r="C66" s="51" t="s">
        <v>223</v>
      </c>
      <c r="D66" s="51" t="s">
        <v>220</v>
      </c>
    </row>
    <row r="67" customFormat="false" ht="22.35" hidden="false" customHeight="false" outlineLevel="0" collapsed="false">
      <c r="A67" s="50" t="s">
        <v>84</v>
      </c>
      <c r="B67" s="51" t="s">
        <v>86</v>
      </c>
      <c r="C67" s="51" t="s">
        <v>224</v>
      </c>
      <c r="D67" s="51" t="s">
        <v>220</v>
      </c>
    </row>
    <row r="68" customFormat="false" ht="22.35" hidden="false" customHeight="false" outlineLevel="0" collapsed="false">
      <c r="A68" s="50" t="s">
        <v>90</v>
      </c>
      <c r="B68" s="51" t="s">
        <v>92</v>
      </c>
      <c r="C68" s="51" t="s">
        <v>225</v>
      </c>
      <c r="D68" s="51" t="s">
        <v>220</v>
      </c>
    </row>
    <row r="69" customFormat="false" ht="22.35" hidden="false" customHeight="false" outlineLevel="0" collapsed="false">
      <c r="A69" s="50" t="s">
        <v>96</v>
      </c>
      <c r="B69" s="51" t="s">
        <v>98</v>
      </c>
      <c r="C69" s="51" t="s">
        <v>226</v>
      </c>
      <c r="D69" s="51" t="s">
        <v>220</v>
      </c>
    </row>
    <row r="70" customFormat="false" ht="22.35" hidden="false" customHeight="false" outlineLevel="0" collapsed="false">
      <c r="A70" s="50" t="s">
        <v>102</v>
      </c>
      <c r="B70" s="51" t="s">
        <v>104</v>
      </c>
      <c r="C70" s="51" t="s">
        <v>227</v>
      </c>
      <c r="D70" s="51" t="s">
        <v>220</v>
      </c>
    </row>
    <row r="71" customFormat="false" ht="22.35" hidden="false" customHeight="false" outlineLevel="0" collapsed="false">
      <c r="A71" s="50" t="s">
        <v>108</v>
      </c>
      <c r="B71" s="51" t="s">
        <v>110</v>
      </c>
      <c r="C71" s="51" t="s">
        <v>228</v>
      </c>
      <c r="D71" s="51" t="s">
        <v>220</v>
      </c>
    </row>
    <row r="72" customFormat="false" ht="22.35" hidden="false" customHeight="false" outlineLevel="0" collapsed="false">
      <c r="A72" s="50" t="s">
        <v>114</v>
      </c>
      <c r="B72" s="51" t="s">
        <v>116</v>
      </c>
      <c r="C72" s="51" t="s">
        <v>229</v>
      </c>
      <c r="D72" s="51" t="s">
        <v>220</v>
      </c>
    </row>
    <row r="73" customFormat="false" ht="22.35" hidden="false" customHeight="false" outlineLevel="0" collapsed="false">
      <c r="A73" s="50" t="s">
        <v>120</v>
      </c>
      <c r="B73" s="51" t="s">
        <v>122</v>
      </c>
      <c r="C73" s="51" t="s">
        <v>230</v>
      </c>
      <c r="D73" s="51" t="s">
        <v>220</v>
      </c>
    </row>
    <row r="74" customFormat="false" ht="22.35" hidden="false" customHeight="false" outlineLevel="0" collapsed="false">
      <c r="A74" s="50" t="s">
        <v>126</v>
      </c>
      <c r="B74" s="51" t="s">
        <v>128</v>
      </c>
      <c r="C74" s="51" t="s">
        <v>231</v>
      </c>
      <c r="D74" s="51" t="s">
        <v>220</v>
      </c>
    </row>
    <row r="75" customFormat="false" ht="22.35" hidden="false" customHeight="false" outlineLevel="0" collapsed="false">
      <c r="A75" s="50" t="s">
        <v>132</v>
      </c>
      <c r="B75" s="51" t="s">
        <v>134</v>
      </c>
      <c r="C75" s="51" t="s">
        <v>232</v>
      </c>
      <c r="D75" s="51" t="s">
        <v>220</v>
      </c>
    </row>
    <row r="76" customFormat="false" ht="22.35" hidden="false" customHeight="false" outlineLevel="0" collapsed="false">
      <c r="A76" s="50" t="s">
        <v>138</v>
      </c>
      <c r="B76" s="51" t="s">
        <v>140</v>
      </c>
      <c r="C76" s="51" t="s">
        <v>233</v>
      </c>
      <c r="D76" s="51" t="s">
        <v>220</v>
      </c>
    </row>
    <row r="77" customFormat="false" ht="22.35" hidden="false" customHeight="false" outlineLevel="0" collapsed="false">
      <c r="A77" s="50" t="s">
        <v>144</v>
      </c>
      <c r="B77" s="51" t="s">
        <v>146</v>
      </c>
      <c r="C77" s="51" t="s">
        <v>234</v>
      </c>
      <c r="D77" s="51" t="s">
        <v>220</v>
      </c>
    </row>
    <row r="78" customFormat="false" ht="22.35" hidden="false" customHeight="false" outlineLevel="0" collapsed="false">
      <c r="A78" s="50" t="s">
        <v>150</v>
      </c>
      <c r="B78" s="51" t="s">
        <v>152</v>
      </c>
      <c r="C78" s="51" t="s">
        <v>235</v>
      </c>
      <c r="D78" s="51" t="s">
        <v>220</v>
      </c>
    </row>
    <row r="79" customFormat="false" ht="22.35" hidden="false" customHeight="false" outlineLevel="0" collapsed="false">
      <c r="A79" s="50" t="s">
        <v>156</v>
      </c>
      <c r="B79" s="51" t="s">
        <v>158</v>
      </c>
      <c r="C79" s="51" t="s">
        <v>236</v>
      </c>
      <c r="D79" s="51" t="s">
        <v>220</v>
      </c>
    </row>
    <row r="80" customFormat="false" ht="22.35" hidden="false" customHeight="false" outlineLevel="0" collapsed="false">
      <c r="A80" s="50" t="s">
        <v>162</v>
      </c>
      <c r="B80" s="51" t="s">
        <v>164</v>
      </c>
      <c r="C80" s="51" t="s">
        <v>237</v>
      </c>
      <c r="D80" s="51" t="s">
        <v>220</v>
      </c>
    </row>
    <row r="81" customFormat="false" ht="22.35" hidden="false" customHeight="false" outlineLevel="0" collapsed="false">
      <c r="A81" s="50" t="s">
        <v>168</v>
      </c>
      <c r="B81" s="51" t="s">
        <v>170</v>
      </c>
      <c r="C81" s="51" t="s">
        <v>238</v>
      </c>
      <c r="D81" s="51" t="s">
        <v>220</v>
      </c>
    </row>
    <row r="82" customFormat="false" ht="22.35" hidden="false" customHeight="false" outlineLevel="0" collapsed="false">
      <c r="A82" s="50" t="s">
        <v>174</v>
      </c>
      <c r="B82" s="51" t="s">
        <v>176</v>
      </c>
      <c r="C82" s="51" t="s">
        <v>239</v>
      </c>
      <c r="D82" s="51" t="s">
        <v>220</v>
      </c>
    </row>
    <row r="83" customFormat="false" ht="22.35" hidden="false" customHeight="false" outlineLevel="0" collapsed="false">
      <c r="A83" s="50" t="s">
        <v>180</v>
      </c>
      <c r="B83" s="51" t="s">
        <v>182</v>
      </c>
      <c r="C83" s="51" t="s">
        <v>240</v>
      </c>
      <c r="D83" s="51" t="s">
        <v>220</v>
      </c>
    </row>
    <row r="84" customFormat="false" ht="22.35" hidden="false" customHeight="false" outlineLevel="0" collapsed="false">
      <c r="A84" s="50" t="s">
        <v>186</v>
      </c>
      <c r="B84" s="51" t="s">
        <v>188</v>
      </c>
      <c r="C84" s="51" t="s">
        <v>241</v>
      </c>
      <c r="D84" s="51" t="s">
        <v>220</v>
      </c>
    </row>
    <row r="85" customFormat="false" ht="22.35" hidden="false" customHeight="false" outlineLevel="0" collapsed="false">
      <c r="A85" s="50" t="s">
        <v>192</v>
      </c>
      <c r="B85" s="51" t="s">
        <v>194</v>
      </c>
      <c r="C85" s="51" t="s">
        <v>242</v>
      </c>
      <c r="D85" s="51" t="s">
        <v>220</v>
      </c>
    </row>
    <row r="86" customFormat="false" ht="22.35" hidden="false" customHeight="false" outlineLevel="0" collapsed="false">
      <c r="A86" s="50" t="s">
        <v>198</v>
      </c>
      <c r="B86" s="51" t="s">
        <v>200</v>
      </c>
      <c r="C86" s="51" t="s">
        <v>243</v>
      </c>
      <c r="D86" s="51" t="s">
        <v>220</v>
      </c>
    </row>
    <row r="87" customFormat="false" ht="22.35" hidden="false" customHeight="false" outlineLevel="0" collapsed="false">
      <c r="A87" s="50" t="s">
        <v>204</v>
      </c>
      <c r="B87" s="51" t="s">
        <v>206</v>
      </c>
      <c r="C87" s="51" t="s">
        <v>244</v>
      </c>
      <c r="D87" s="51" t="s">
        <v>220</v>
      </c>
    </row>
    <row r="88" customFormat="false" ht="22.35" hidden="false" customHeight="false" outlineLevel="0" collapsed="false">
      <c r="A88" s="50" t="s">
        <v>210</v>
      </c>
      <c r="B88" s="51" t="s">
        <v>212</v>
      </c>
      <c r="C88" s="51" t="s">
        <v>245</v>
      </c>
      <c r="D88" s="51" t="s">
        <v>220</v>
      </c>
    </row>
    <row r="89" customFormat="false" ht="22.35" hidden="false" customHeight="false" outlineLevel="0" collapsed="false">
      <c r="A89" s="50" t="s">
        <v>216</v>
      </c>
      <c r="B89" s="51" t="s">
        <v>218</v>
      </c>
      <c r="C89" s="51" t="s">
        <v>246</v>
      </c>
      <c r="D89" s="51" t="s">
        <v>220</v>
      </c>
    </row>
    <row r="90" customFormat="false" ht="15" hidden="false" customHeight="false" outlineLevel="0" collapsed="false">
      <c r="A90" s="50" t="s">
        <v>247</v>
      </c>
      <c r="B90" s="51" t="s">
        <v>248</v>
      </c>
      <c r="C90" s="51" t="s">
        <v>14</v>
      </c>
      <c r="D90" s="51" t="s">
        <v>249</v>
      </c>
    </row>
    <row r="91" customFormat="false" ht="22.35" hidden="false" customHeight="false" outlineLevel="0" collapsed="false">
      <c r="A91" s="50" t="s">
        <v>250</v>
      </c>
      <c r="B91" s="51" t="s">
        <v>251</v>
      </c>
      <c r="C91" s="51" t="s">
        <v>252</v>
      </c>
      <c r="D91" s="51" t="s">
        <v>253</v>
      </c>
    </row>
    <row r="92" customFormat="false" ht="22.35" hidden="false" customHeight="false" outlineLevel="0" collapsed="false">
      <c r="A92" s="50" t="s">
        <v>254</v>
      </c>
      <c r="B92" s="51" t="s">
        <v>255</v>
      </c>
      <c r="C92" s="51" t="s">
        <v>256</v>
      </c>
      <c r="D92" s="51" t="s">
        <v>253</v>
      </c>
    </row>
    <row r="93" customFormat="false" ht="22.35" hidden="false" customHeight="false" outlineLevel="0" collapsed="false">
      <c r="A93" s="50" t="s">
        <v>257</v>
      </c>
      <c r="B93" s="51" t="s">
        <v>258</v>
      </c>
      <c r="C93" s="51" t="s">
        <v>259</v>
      </c>
      <c r="D93" s="51" t="s">
        <v>253</v>
      </c>
    </row>
    <row r="94" customFormat="false" ht="22.35" hidden="false" customHeight="false" outlineLevel="0" collapsed="false">
      <c r="A94" s="50" t="s">
        <v>260</v>
      </c>
      <c r="B94" s="51" t="s">
        <v>261</v>
      </c>
      <c r="C94" s="51" t="s">
        <v>262</v>
      </c>
      <c r="D94" s="51" t="s">
        <v>253</v>
      </c>
    </row>
    <row r="95" customFormat="false" ht="22.35" hidden="false" customHeight="false" outlineLevel="0" collapsed="false">
      <c r="A95" s="50" t="s">
        <v>263</v>
      </c>
      <c r="B95" s="51" t="s">
        <v>264</v>
      </c>
      <c r="C95" s="51" t="s">
        <v>265</v>
      </c>
      <c r="D95" s="51" t="s">
        <v>253</v>
      </c>
    </row>
    <row r="96" customFormat="false" ht="22.35" hidden="false" customHeight="false" outlineLevel="0" collapsed="false">
      <c r="A96" s="50" t="s">
        <v>266</v>
      </c>
      <c r="B96" s="51" t="s">
        <v>267</v>
      </c>
      <c r="C96" s="51" t="s">
        <v>268</v>
      </c>
      <c r="D96" s="51" t="s">
        <v>253</v>
      </c>
    </row>
    <row r="97" customFormat="false" ht="22.35" hidden="false" customHeight="false" outlineLevel="0" collapsed="false">
      <c r="A97" s="50" t="s">
        <v>269</v>
      </c>
      <c r="B97" s="51" t="s">
        <v>270</v>
      </c>
      <c r="C97" s="51" t="s">
        <v>271</v>
      </c>
      <c r="D97" s="51" t="s">
        <v>253</v>
      </c>
    </row>
    <row r="98" customFormat="false" ht="22.35" hidden="false" customHeight="false" outlineLevel="0" collapsed="false">
      <c r="A98" s="50" t="s">
        <v>272</v>
      </c>
      <c r="B98" s="51" t="s">
        <v>273</v>
      </c>
      <c r="C98" s="51" t="s">
        <v>274</v>
      </c>
      <c r="D98" s="51" t="s">
        <v>253</v>
      </c>
    </row>
    <row r="99" customFormat="false" ht="22.35" hidden="false" customHeight="false" outlineLevel="0" collapsed="false">
      <c r="A99" s="50" t="s">
        <v>275</v>
      </c>
      <c r="B99" s="51" t="s">
        <v>276</v>
      </c>
      <c r="C99" s="51" t="s">
        <v>277</v>
      </c>
      <c r="D99" s="51" t="s">
        <v>253</v>
      </c>
    </row>
    <row r="100" customFormat="false" ht="22.35" hidden="false" customHeight="false" outlineLevel="0" collapsed="false">
      <c r="A100" s="50" t="s">
        <v>278</v>
      </c>
      <c r="B100" s="51" t="s">
        <v>279</v>
      </c>
      <c r="C100" s="51" t="s">
        <v>280</v>
      </c>
      <c r="D100" s="51" t="s">
        <v>253</v>
      </c>
    </row>
    <row r="101" customFormat="false" ht="22.35" hidden="false" customHeight="false" outlineLevel="0" collapsed="false">
      <c r="A101" s="50" t="s">
        <v>281</v>
      </c>
      <c r="B101" s="51" t="s">
        <v>282</v>
      </c>
      <c r="C101" s="51" t="s">
        <v>283</v>
      </c>
      <c r="D101" s="51" t="s">
        <v>253</v>
      </c>
    </row>
    <row r="102" customFormat="false" ht="22.35" hidden="false" customHeight="false" outlineLevel="0" collapsed="false">
      <c r="A102" s="50" t="s">
        <v>284</v>
      </c>
      <c r="B102" s="51" t="s">
        <v>285</v>
      </c>
      <c r="C102" s="51" t="s">
        <v>286</v>
      </c>
      <c r="D102" s="51" t="s">
        <v>253</v>
      </c>
    </row>
    <row r="103" customFormat="false" ht="22.35" hidden="false" customHeight="false" outlineLevel="0" collapsed="false">
      <c r="A103" s="50" t="s">
        <v>287</v>
      </c>
      <c r="B103" s="51" t="s">
        <v>288</v>
      </c>
      <c r="C103" s="51" t="s">
        <v>289</v>
      </c>
      <c r="D103" s="51" t="s">
        <v>253</v>
      </c>
    </row>
    <row r="104" customFormat="false" ht="22.35" hidden="false" customHeight="false" outlineLevel="0" collapsed="false">
      <c r="A104" s="50" t="s">
        <v>290</v>
      </c>
      <c r="B104" s="51" t="s">
        <v>291</v>
      </c>
      <c r="C104" s="51" t="s">
        <v>292</v>
      </c>
      <c r="D104" s="51" t="s">
        <v>253</v>
      </c>
    </row>
    <row r="105" customFormat="false" ht="22.35" hidden="false" customHeight="false" outlineLevel="0" collapsed="false">
      <c r="A105" s="50" t="s">
        <v>293</v>
      </c>
      <c r="B105" s="51" t="s">
        <v>294</v>
      </c>
      <c r="C105" s="51" t="s">
        <v>295</v>
      </c>
      <c r="D105" s="51" t="s">
        <v>253</v>
      </c>
    </row>
    <row r="106" customFormat="false" ht="22.35" hidden="false" customHeight="false" outlineLevel="0" collapsed="false">
      <c r="A106" s="50" t="s">
        <v>296</v>
      </c>
      <c r="B106" s="51" t="s">
        <v>297</v>
      </c>
      <c r="C106" s="51" t="s">
        <v>298</v>
      </c>
      <c r="D106" s="51" t="s">
        <v>253</v>
      </c>
    </row>
    <row r="107" customFormat="false" ht="22.35" hidden="false" customHeight="false" outlineLevel="0" collapsed="false">
      <c r="A107" s="50" t="s">
        <v>299</v>
      </c>
      <c r="B107" s="51" t="s">
        <v>300</v>
      </c>
      <c r="C107" s="51" t="s">
        <v>301</v>
      </c>
      <c r="D107" s="51" t="s">
        <v>253</v>
      </c>
    </row>
    <row r="108" customFormat="false" ht="22.35" hidden="false" customHeight="false" outlineLevel="0" collapsed="false">
      <c r="A108" s="50" t="s">
        <v>302</v>
      </c>
      <c r="B108" s="51" t="s">
        <v>303</v>
      </c>
      <c r="C108" s="51" t="s">
        <v>304</v>
      </c>
      <c r="D108" s="51" t="s">
        <v>253</v>
      </c>
    </row>
    <row r="109" customFormat="false" ht="22.35" hidden="false" customHeight="false" outlineLevel="0" collapsed="false">
      <c r="A109" s="50" t="s">
        <v>305</v>
      </c>
      <c r="B109" s="51" t="s">
        <v>306</v>
      </c>
      <c r="C109" s="51" t="s">
        <v>307</v>
      </c>
      <c r="D109" s="51" t="s">
        <v>253</v>
      </c>
    </row>
    <row r="110" customFormat="false" ht="22.35" hidden="false" customHeight="false" outlineLevel="0" collapsed="false">
      <c r="A110" s="50" t="s">
        <v>308</v>
      </c>
      <c r="B110" s="51" t="s">
        <v>309</v>
      </c>
      <c r="C110" s="51" t="s">
        <v>310</v>
      </c>
      <c r="D110" s="51" t="s">
        <v>253</v>
      </c>
    </row>
    <row r="111" customFormat="false" ht="22.35" hidden="false" customHeight="false" outlineLevel="0" collapsed="false">
      <c r="A111" s="50" t="s">
        <v>311</v>
      </c>
      <c r="B111" s="51" t="s">
        <v>312</v>
      </c>
      <c r="C111" s="51" t="s">
        <v>313</v>
      </c>
      <c r="D111" s="51" t="s">
        <v>253</v>
      </c>
    </row>
    <row r="112" customFormat="false" ht="22.35" hidden="false" customHeight="false" outlineLevel="0" collapsed="false">
      <c r="A112" s="50" t="s">
        <v>314</v>
      </c>
      <c r="B112" s="51" t="s">
        <v>315</v>
      </c>
      <c r="C112" s="51" t="s">
        <v>316</v>
      </c>
      <c r="D112" s="51" t="s">
        <v>253</v>
      </c>
    </row>
    <row r="113" customFormat="false" ht="22.35" hidden="false" customHeight="false" outlineLevel="0" collapsed="false">
      <c r="A113" s="50" t="s">
        <v>317</v>
      </c>
      <c r="B113" s="51" t="s">
        <v>318</v>
      </c>
      <c r="C113" s="51" t="s">
        <v>319</v>
      </c>
      <c r="D113" s="51" t="s">
        <v>253</v>
      </c>
    </row>
    <row r="114" customFormat="false" ht="22.35" hidden="false" customHeight="false" outlineLevel="0" collapsed="false">
      <c r="A114" s="50" t="s">
        <v>320</v>
      </c>
      <c r="B114" s="51" t="s">
        <v>321</v>
      </c>
      <c r="C114" s="51" t="s">
        <v>322</v>
      </c>
      <c r="D114" s="51" t="s">
        <v>253</v>
      </c>
    </row>
    <row r="115" customFormat="false" ht="22.35" hidden="false" customHeight="false" outlineLevel="0" collapsed="false">
      <c r="A115" s="50" t="s">
        <v>323</v>
      </c>
      <c r="B115" s="51" t="s">
        <v>324</v>
      </c>
      <c r="C115" s="51" t="s">
        <v>325</v>
      </c>
      <c r="D115" s="51" t="s">
        <v>253</v>
      </c>
    </row>
    <row r="116" customFormat="false" ht="22.35" hidden="false" customHeight="false" outlineLevel="0" collapsed="false">
      <c r="A116" s="50" t="s">
        <v>326</v>
      </c>
      <c r="B116" s="51" t="s">
        <v>327</v>
      </c>
      <c r="C116" s="51" t="s">
        <v>328</v>
      </c>
      <c r="D116" s="51" t="s">
        <v>253</v>
      </c>
    </row>
    <row r="117" customFormat="false" ht="22.35" hidden="false" customHeight="false" outlineLevel="0" collapsed="false">
      <c r="A117" s="50" t="s">
        <v>329</v>
      </c>
      <c r="B117" s="51" t="s">
        <v>330</v>
      </c>
      <c r="C117" s="51" t="s">
        <v>331</v>
      </c>
      <c r="D117" s="51" t="s">
        <v>253</v>
      </c>
    </row>
    <row r="118" customFormat="false" ht="22.35" hidden="false" customHeight="false" outlineLevel="0" collapsed="false">
      <c r="A118" s="50" t="s">
        <v>332</v>
      </c>
      <c r="B118" s="51" t="s">
        <v>333</v>
      </c>
      <c r="C118" s="51" t="s">
        <v>334</v>
      </c>
      <c r="D118" s="51" t="s">
        <v>253</v>
      </c>
    </row>
    <row r="119" customFormat="false" ht="22.35" hidden="false" customHeight="false" outlineLevel="0" collapsed="false">
      <c r="A119" s="50" t="s">
        <v>335</v>
      </c>
      <c r="B119" s="51" t="s">
        <v>336</v>
      </c>
      <c r="C119" s="51" t="s">
        <v>337</v>
      </c>
      <c r="D119" s="51" t="s">
        <v>253</v>
      </c>
    </row>
    <row r="120" customFormat="false" ht="22.35" hidden="false" customHeight="false" outlineLevel="0" collapsed="false">
      <c r="A120" s="50" t="s">
        <v>338</v>
      </c>
      <c r="B120" s="51" t="s">
        <v>339</v>
      </c>
      <c r="C120" s="51" t="s">
        <v>340</v>
      </c>
      <c r="D120" s="51" t="s">
        <v>253</v>
      </c>
    </row>
    <row r="121" customFormat="false" ht="22.35" hidden="false" customHeight="false" outlineLevel="0" collapsed="false">
      <c r="A121" s="50" t="s">
        <v>341</v>
      </c>
      <c r="B121" s="51" t="s">
        <v>342</v>
      </c>
      <c r="C121" s="51" t="s">
        <v>343</v>
      </c>
      <c r="D121" s="51" t="s">
        <v>253</v>
      </c>
    </row>
    <row r="122" customFormat="false" ht="22.35" hidden="false" customHeight="false" outlineLevel="0" collapsed="false">
      <c r="A122" s="50" t="s">
        <v>344</v>
      </c>
      <c r="B122" s="51" t="s">
        <v>345</v>
      </c>
      <c r="C122" s="51" t="s">
        <v>346</v>
      </c>
      <c r="D122" s="51" t="s">
        <v>253</v>
      </c>
    </row>
    <row r="123" customFormat="false" ht="22.35" hidden="false" customHeight="false" outlineLevel="0" collapsed="false">
      <c r="A123" s="50" t="s">
        <v>347</v>
      </c>
      <c r="B123" s="51" t="s">
        <v>348</v>
      </c>
      <c r="C123" s="51" t="s">
        <v>349</v>
      </c>
      <c r="D123" s="51" t="s">
        <v>253</v>
      </c>
    </row>
    <row r="124" customFormat="false" ht="22.35" hidden="false" customHeight="false" outlineLevel="0" collapsed="false">
      <c r="A124" s="50" t="s">
        <v>350</v>
      </c>
      <c r="B124" s="51" t="s">
        <v>351</v>
      </c>
      <c r="C124" s="51" t="s">
        <v>352</v>
      </c>
      <c r="D124" s="51" t="s">
        <v>253</v>
      </c>
    </row>
    <row r="125" customFormat="false" ht="22.35" hidden="false" customHeight="false" outlineLevel="0" collapsed="false">
      <c r="A125" s="50" t="s">
        <v>353</v>
      </c>
      <c r="B125" s="51" t="s">
        <v>354</v>
      </c>
      <c r="C125" s="51" t="s">
        <v>355</v>
      </c>
      <c r="D125" s="51" t="s">
        <v>253</v>
      </c>
    </row>
    <row r="126" customFormat="false" ht="22.35" hidden="false" customHeight="false" outlineLevel="0" collapsed="false">
      <c r="A126" s="50" t="s">
        <v>356</v>
      </c>
      <c r="B126" s="51" t="s">
        <v>357</v>
      </c>
      <c r="C126" s="51" t="s">
        <v>358</v>
      </c>
      <c r="D126" s="51" t="s">
        <v>253</v>
      </c>
    </row>
    <row r="127" customFormat="false" ht="22.35" hidden="false" customHeight="false" outlineLevel="0" collapsed="false">
      <c r="A127" s="50" t="s">
        <v>359</v>
      </c>
      <c r="B127" s="51" t="s">
        <v>360</v>
      </c>
      <c r="C127" s="51" t="s">
        <v>361</v>
      </c>
      <c r="D127" s="51" t="s">
        <v>253</v>
      </c>
    </row>
    <row r="128" customFormat="false" ht="22.35" hidden="false" customHeight="false" outlineLevel="0" collapsed="false">
      <c r="A128" s="50" t="s">
        <v>362</v>
      </c>
      <c r="B128" s="51" t="s">
        <v>363</v>
      </c>
      <c r="C128" s="51" t="s">
        <v>364</v>
      </c>
      <c r="D128" s="51" t="s">
        <v>253</v>
      </c>
    </row>
    <row r="129" customFormat="false" ht="22.35" hidden="false" customHeight="false" outlineLevel="0" collapsed="false">
      <c r="A129" s="50" t="s">
        <v>365</v>
      </c>
      <c r="B129" s="51" t="s">
        <v>366</v>
      </c>
      <c r="C129" s="51" t="s">
        <v>367</v>
      </c>
      <c r="D129" s="51" t="s">
        <v>253</v>
      </c>
    </row>
    <row r="130" customFormat="false" ht="22.35" hidden="false" customHeight="false" outlineLevel="0" collapsed="false">
      <c r="A130" s="50" t="s">
        <v>368</v>
      </c>
      <c r="B130" s="51" t="s">
        <v>369</v>
      </c>
      <c r="C130" s="51" t="s">
        <v>370</v>
      </c>
      <c r="D130" s="51" t="s">
        <v>253</v>
      </c>
    </row>
    <row r="131" customFormat="false" ht="22.35" hidden="false" customHeight="false" outlineLevel="0" collapsed="false">
      <c r="A131" s="50" t="s">
        <v>371</v>
      </c>
      <c r="B131" s="51" t="s">
        <v>372</v>
      </c>
      <c r="C131" s="51" t="s">
        <v>373</v>
      </c>
      <c r="D131" s="51" t="s">
        <v>253</v>
      </c>
    </row>
    <row r="132" customFormat="false" ht="22.35" hidden="false" customHeight="false" outlineLevel="0" collapsed="false">
      <c r="A132" s="50" t="s">
        <v>374</v>
      </c>
      <c r="B132" s="51" t="s">
        <v>375</v>
      </c>
      <c r="C132" s="51" t="s">
        <v>376</v>
      </c>
      <c r="D132" s="51" t="s">
        <v>253</v>
      </c>
    </row>
    <row r="133" customFormat="false" ht="22.35" hidden="false" customHeight="false" outlineLevel="0" collapsed="false">
      <c r="A133" s="50" t="s">
        <v>377</v>
      </c>
      <c r="B133" s="51" t="s">
        <v>378</v>
      </c>
      <c r="C133" s="51" t="s">
        <v>379</v>
      </c>
      <c r="D133" s="51" t="s">
        <v>253</v>
      </c>
    </row>
    <row r="134" customFormat="false" ht="22.35" hidden="false" customHeight="false" outlineLevel="0" collapsed="false">
      <c r="A134" s="50" t="s">
        <v>380</v>
      </c>
      <c r="B134" s="51" t="s">
        <v>381</v>
      </c>
      <c r="C134" s="51" t="s">
        <v>382</v>
      </c>
      <c r="D134" s="51" t="s">
        <v>253</v>
      </c>
    </row>
    <row r="135" customFormat="false" ht="22.35" hidden="false" customHeight="false" outlineLevel="0" collapsed="false">
      <c r="A135" s="50" t="s">
        <v>383</v>
      </c>
      <c r="B135" s="51" t="s">
        <v>384</v>
      </c>
      <c r="C135" s="51" t="s">
        <v>385</v>
      </c>
      <c r="D135" s="51" t="s">
        <v>253</v>
      </c>
    </row>
    <row r="136" customFormat="false" ht="22.35" hidden="false" customHeight="false" outlineLevel="0" collapsed="false">
      <c r="A136" s="50" t="s">
        <v>386</v>
      </c>
      <c r="B136" s="51" t="s">
        <v>387</v>
      </c>
      <c r="C136" s="51" t="s">
        <v>388</v>
      </c>
      <c r="D136" s="51" t="s">
        <v>253</v>
      </c>
    </row>
    <row r="137" customFormat="false" ht="22.35" hidden="false" customHeight="false" outlineLevel="0" collapsed="false">
      <c r="A137" s="50" t="s">
        <v>389</v>
      </c>
      <c r="B137" s="51" t="s">
        <v>390</v>
      </c>
      <c r="C137" s="51" t="s">
        <v>391</v>
      </c>
      <c r="D137" s="51" t="s">
        <v>253</v>
      </c>
    </row>
    <row r="138" customFormat="false" ht="22.35" hidden="false" customHeight="false" outlineLevel="0" collapsed="false">
      <c r="A138" s="50" t="s">
        <v>392</v>
      </c>
      <c r="B138" s="51" t="s">
        <v>393</v>
      </c>
      <c r="C138" s="51" t="s">
        <v>394</v>
      </c>
      <c r="D138" s="51" t="s">
        <v>253</v>
      </c>
    </row>
    <row r="139" customFormat="false" ht="22.35" hidden="false" customHeight="false" outlineLevel="0" collapsed="false">
      <c r="A139" s="50" t="s">
        <v>395</v>
      </c>
      <c r="B139" s="51" t="s">
        <v>396</v>
      </c>
      <c r="C139" s="51" t="s">
        <v>397</v>
      </c>
      <c r="D139" s="51" t="s">
        <v>253</v>
      </c>
    </row>
    <row r="140" customFormat="false" ht="22.35" hidden="false" customHeight="false" outlineLevel="0" collapsed="false">
      <c r="A140" s="50" t="s">
        <v>398</v>
      </c>
      <c r="B140" s="51" t="s">
        <v>399</v>
      </c>
      <c r="C140" s="51" t="s">
        <v>400</v>
      </c>
      <c r="D140" s="51" t="s">
        <v>253</v>
      </c>
    </row>
    <row r="141" customFormat="false" ht="22.35" hidden="false" customHeight="false" outlineLevel="0" collapsed="false">
      <c r="A141" s="50" t="s">
        <v>401</v>
      </c>
      <c r="B141" s="51" t="s">
        <v>402</v>
      </c>
      <c r="C141" s="51" t="s">
        <v>403</v>
      </c>
      <c r="D141" s="51" t="s">
        <v>253</v>
      </c>
    </row>
    <row r="142" customFormat="false" ht="22.35" hidden="false" customHeight="false" outlineLevel="0" collapsed="false">
      <c r="A142" s="50" t="s">
        <v>404</v>
      </c>
      <c r="B142" s="51" t="s">
        <v>405</v>
      </c>
      <c r="C142" s="51" t="s">
        <v>406</v>
      </c>
      <c r="D142" s="51" t="s">
        <v>253</v>
      </c>
    </row>
    <row r="143" customFormat="false" ht="22.35" hidden="false" customHeight="false" outlineLevel="0" collapsed="false">
      <c r="A143" s="50" t="s">
        <v>407</v>
      </c>
      <c r="B143" s="51" t="s">
        <v>408</v>
      </c>
      <c r="C143" s="51" t="s">
        <v>409</v>
      </c>
      <c r="D143" s="51" t="s">
        <v>253</v>
      </c>
    </row>
    <row r="144" customFormat="false" ht="22.35" hidden="false" customHeight="false" outlineLevel="0" collapsed="false">
      <c r="A144" s="50" t="s">
        <v>410</v>
      </c>
      <c r="B144" s="51" t="s">
        <v>411</v>
      </c>
      <c r="C144" s="51" t="s">
        <v>412</v>
      </c>
      <c r="D144" s="51" t="s">
        <v>253</v>
      </c>
    </row>
    <row r="145" customFormat="false" ht="15" hidden="false" customHeight="false" outlineLevel="0" collapsed="false">
      <c r="A145" s="50" t="s">
        <v>413</v>
      </c>
      <c r="B145" s="51" t="s">
        <v>414</v>
      </c>
      <c r="C145" s="51" t="s">
        <v>26</v>
      </c>
      <c r="D145" s="51" t="s">
        <v>249</v>
      </c>
    </row>
    <row r="146" customFormat="false" ht="15" hidden="false" customHeight="false" outlineLevel="0" collapsed="false">
      <c r="A146" s="50" t="s">
        <v>415</v>
      </c>
      <c r="B146" s="51" t="s">
        <v>416</v>
      </c>
      <c r="C146" s="51" t="s">
        <v>27</v>
      </c>
      <c r="D146" s="51" t="s">
        <v>249</v>
      </c>
    </row>
    <row r="147" customFormat="false" ht="15" hidden="false" customHeight="false" outlineLevel="0" collapsed="false">
      <c r="A147" s="50" t="s">
        <v>417</v>
      </c>
      <c r="B147" s="51" t="s">
        <v>418</v>
      </c>
      <c r="C147" s="51" t="s">
        <v>419</v>
      </c>
      <c r="D147" s="51" t="s">
        <v>420</v>
      </c>
    </row>
    <row r="148" customFormat="false" ht="15" hidden="false" customHeight="false" outlineLevel="0" collapsed="false">
      <c r="A148" s="50" t="s">
        <v>421</v>
      </c>
      <c r="B148" s="51" t="s">
        <v>422</v>
      </c>
      <c r="C148" s="51" t="s">
        <v>423</v>
      </c>
      <c r="D148" s="51" t="s">
        <v>420</v>
      </c>
    </row>
    <row r="149" customFormat="false" ht="15" hidden="false" customHeight="false" outlineLevel="0" collapsed="false">
      <c r="A149" s="50" t="s">
        <v>424</v>
      </c>
      <c r="B149" s="51" t="s">
        <v>425</v>
      </c>
      <c r="C149" s="51" t="s">
        <v>426</v>
      </c>
      <c r="D149" s="51" t="s">
        <v>420</v>
      </c>
    </row>
    <row r="150" customFormat="false" ht="15" hidden="false" customHeight="false" outlineLevel="0" collapsed="false">
      <c r="A150" s="50" t="s">
        <v>427</v>
      </c>
      <c r="B150" s="51" t="s">
        <v>428</v>
      </c>
      <c r="C150" s="51" t="s">
        <v>429</v>
      </c>
      <c r="D150" s="51" t="s">
        <v>420</v>
      </c>
    </row>
    <row r="151" customFormat="false" ht="15" hidden="false" customHeight="false" outlineLevel="0" collapsed="false">
      <c r="A151" s="50" t="s">
        <v>430</v>
      </c>
      <c r="B151" s="51" t="s">
        <v>431</v>
      </c>
      <c r="C151" s="51" t="s">
        <v>432</v>
      </c>
      <c r="D151" s="51" t="s">
        <v>433</v>
      </c>
    </row>
    <row r="152" customFormat="false" ht="15" hidden="false" customHeight="false" outlineLevel="0" collapsed="false">
      <c r="A152" s="50" t="s">
        <v>434</v>
      </c>
      <c r="B152" s="51" t="s">
        <v>435</v>
      </c>
      <c r="C152" s="51" t="s">
        <v>436</v>
      </c>
      <c r="D152" s="51" t="s">
        <v>433</v>
      </c>
    </row>
    <row r="153" customFormat="false" ht="15" hidden="false" customHeight="false" outlineLevel="0" collapsed="false">
      <c r="A153" s="50" t="s">
        <v>437</v>
      </c>
      <c r="B153" s="51" t="s">
        <v>438</v>
      </c>
      <c r="C153" s="51" t="s">
        <v>439</v>
      </c>
      <c r="D153" s="51" t="s">
        <v>433</v>
      </c>
    </row>
    <row r="154" customFormat="false" ht="15" hidden="false" customHeight="false" outlineLevel="0" collapsed="false">
      <c r="A154" s="50" t="s">
        <v>440</v>
      </c>
      <c r="B154" s="51" t="s">
        <v>441</v>
      </c>
      <c r="C154" s="51" t="s">
        <v>442</v>
      </c>
      <c r="D154" s="51" t="s">
        <v>433</v>
      </c>
    </row>
    <row r="155" customFormat="false" ht="15" hidden="false" customHeight="false" outlineLevel="0" collapsed="false">
      <c r="A155" s="50" t="s">
        <v>443</v>
      </c>
      <c r="B155" s="51" t="s">
        <v>444</v>
      </c>
      <c r="C155" s="51" t="s">
        <v>445</v>
      </c>
      <c r="D155" s="51" t="s">
        <v>446</v>
      </c>
    </row>
    <row r="156" customFormat="false" ht="15" hidden="false" customHeight="false" outlineLevel="0" collapsed="false">
      <c r="A156" s="50" t="s">
        <v>447</v>
      </c>
      <c r="B156" s="51" t="s">
        <v>448</v>
      </c>
      <c r="C156" s="51" t="s">
        <v>449</v>
      </c>
      <c r="D156" s="51" t="s">
        <v>446</v>
      </c>
    </row>
    <row r="157" customFormat="false" ht="15" hidden="false" customHeight="false" outlineLevel="0" collapsed="false">
      <c r="A157" s="50" t="s">
        <v>450</v>
      </c>
      <c r="B157" s="51" t="s">
        <v>451</v>
      </c>
      <c r="C157" s="51" t="s">
        <v>452</v>
      </c>
      <c r="D157" s="51" t="s">
        <v>446</v>
      </c>
    </row>
    <row r="158" customFormat="false" ht="15" hidden="false" customHeight="false" outlineLevel="0" collapsed="false">
      <c r="A158" s="50" t="s">
        <v>453</v>
      </c>
      <c r="B158" s="51" t="s">
        <v>454</v>
      </c>
      <c r="C158" s="51" t="s">
        <v>455</v>
      </c>
      <c r="D158" s="51" t="s">
        <v>446</v>
      </c>
    </row>
  </sheetData>
  <mergeCells count="4">
    <mergeCell ref="A3:D3"/>
    <mergeCell ref="A4:D4"/>
    <mergeCell ref="A5:D5"/>
    <mergeCell ref="A6:D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2023-04-12T21:19:53Z</dcterms:created>
  <dc:creator>Filipe Menezes</dc:creator>
  <dc:description/>
  <dc:language>en-US</dc:language>
  <cp:lastModifiedBy/>
  <dcterms:modified xsi:type="dcterms:W3CDTF">2026-10-09T17:51:18Z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