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sirius/MolPhys/Activities/review/corrections/"/>
    </mc:Choice>
  </mc:AlternateContent>
  <xr:revisionPtr revIDLastSave="0" documentId="11_0CE124831AA0F7C1F10FAB8AAF9E20D24D85F24F" xr6:coauthVersionLast="47" xr6:coauthVersionMax="47" xr10:uidLastSave="{00000000-0000-0000-0000-000000000000}"/>
  <bookViews>
    <workbookView xWindow="8760" yWindow="660" windowWidth="25800" windowHeight="20460" tabRatio="500" xr2:uid="{00000000-000D-0000-FFFF-FFFF00000000}"/>
  </bookViews>
  <sheets>
    <sheet name="BSA" sheetId="1" r:id="rId1"/>
    <sheet name="Corrections log" sheetId="2" r:id="rId2"/>
  </sheets>
  <definedNames>
    <definedName name="solver_adj" localSheetId="0" hidden="1">BSA!$W$16:$W$19</definedName>
    <definedName name="solver_cvg" localSheetId="0" hidden="1">0.0001</definedName>
    <definedName name="solver_drv" localSheetId="0" hidden="1">2</definedName>
    <definedName name="solver_eng" localSheetId="0" hidden="1">1</definedName>
    <definedName name="solver_itr" localSheetId="0" hidden="1">2147483647</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opt" localSheetId="0" hidden="1">BSA!$W$20</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2</definedName>
    <definedName name="solver_val" localSheetId="0" hidden="1">0</definedName>
    <definedName name="solver_ver" localSheetId="0" hidden="1">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34" i="1" l="1"/>
  <c r="L34" i="1"/>
  <c r="K34" i="1"/>
  <c r="R33" i="1"/>
  <c r="K33" i="1"/>
  <c r="R32" i="1"/>
  <c r="K32" i="1"/>
  <c r="R31" i="1"/>
  <c r="K31" i="1"/>
  <c r="L31" i="1" s="1"/>
  <c r="R30" i="1"/>
  <c r="K30" i="1"/>
  <c r="R29" i="1"/>
  <c r="K29" i="1"/>
  <c r="L29" i="1" s="1"/>
  <c r="H29" i="1"/>
  <c r="H30" i="1" s="1"/>
  <c r="H31" i="1" s="1"/>
  <c r="H32" i="1" s="1"/>
  <c r="H33" i="1" s="1"/>
  <c r="R28" i="1"/>
  <c r="K28" i="1"/>
  <c r="L28" i="1" s="1"/>
  <c r="R27" i="1"/>
  <c r="K27" i="1"/>
  <c r="H27" i="1"/>
  <c r="H28" i="1" s="1"/>
  <c r="H34" i="1" s="1"/>
  <c r="D27" i="1"/>
  <c r="F27" i="1" s="1"/>
  <c r="R26" i="1"/>
  <c r="K26" i="1"/>
  <c r="R25" i="1"/>
  <c r="K25" i="1"/>
  <c r="R24" i="1"/>
  <c r="K24" i="1"/>
  <c r="R23" i="1"/>
  <c r="K23" i="1"/>
  <c r="R22" i="1"/>
  <c r="K22" i="1"/>
  <c r="R21" i="1"/>
  <c r="L21" i="1"/>
  <c r="K21" i="1"/>
  <c r="R20" i="1"/>
  <c r="K20" i="1"/>
  <c r="L20" i="1" s="1"/>
  <c r="R19" i="1"/>
  <c r="K19" i="1"/>
  <c r="R18" i="1"/>
  <c r="K18" i="1"/>
  <c r="R17" i="1"/>
  <c r="L17" i="1"/>
  <c r="K17" i="1"/>
  <c r="R16" i="1"/>
  <c r="K16" i="1"/>
  <c r="H16" i="1"/>
  <c r="H17" i="1" s="1"/>
  <c r="H18" i="1" s="1"/>
  <c r="H19" i="1" s="1"/>
  <c r="H20" i="1" s="1"/>
  <c r="H21" i="1" s="1"/>
  <c r="H22" i="1" s="1"/>
  <c r="H23" i="1" s="1"/>
  <c r="H24" i="1" s="1"/>
  <c r="H25" i="1" s="1"/>
  <c r="H26" i="1" s="1"/>
  <c r="R15" i="1"/>
  <c r="K15" i="1"/>
  <c r="H15" i="1"/>
  <c r="D15" i="1"/>
  <c r="F15" i="1" s="1"/>
  <c r="R14" i="1"/>
  <c r="L14" i="1"/>
  <c r="K14" i="1"/>
  <c r="R13" i="1"/>
  <c r="K13" i="1"/>
  <c r="R12" i="1"/>
  <c r="K12" i="1"/>
  <c r="R11" i="1"/>
  <c r="L11" i="1"/>
  <c r="K11" i="1"/>
  <c r="R10" i="1"/>
  <c r="K10" i="1"/>
  <c r="L10" i="1" s="1"/>
  <c r="R9" i="1"/>
  <c r="K9" i="1"/>
  <c r="R8" i="1"/>
  <c r="K8" i="1"/>
  <c r="L8" i="1" s="1"/>
  <c r="R7" i="1"/>
  <c r="K7" i="1"/>
  <c r="R6" i="1"/>
  <c r="L6" i="1"/>
  <c r="K6" i="1"/>
  <c r="R5" i="1"/>
  <c r="K5" i="1"/>
  <c r="L5" i="1" s="1"/>
  <c r="R4" i="1"/>
  <c r="K4" i="1"/>
  <c r="R3" i="1"/>
  <c r="K3" i="1"/>
  <c r="H3" i="1"/>
  <c r="H4" i="1" s="1"/>
  <c r="H5" i="1" s="1"/>
  <c r="H6" i="1" s="1"/>
  <c r="H7" i="1" s="1"/>
  <c r="H8" i="1" s="1"/>
  <c r="H9" i="1" s="1"/>
  <c r="H10" i="1" s="1"/>
  <c r="H11" i="1" s="1"/>
  <c r="H12" i="1" s="1"/>
  <c r="H13" i="1" s="1"/>
  <c r="H14" i="1" s="1"/>
  <c r="D3" i="1"/>
  <c r="F3" i="1" s="1"/>
  <c r="F4" i="1" s="1"/>
  <c r="B2" i="1"/>
  <c r="L7" i="1" l="1"/>
  <c r="G4" i="1"/>
  <c r="M4" i="1" s="1"/>
  <c r="F5" i="1"/>
  <c r="O4" i="1"/>
  <c r="L16" i="1"/>
  <c r="G27" i="1"/>
  <c r="F28" i="1"/>
  <c r="S27" i="1"/>
  <c r="T27" i="1" s="1"/>
  <c r="U27" i="1" s="1"/>
  <c r="S3" i="1"/>
  <c r="T3" i="1" s="1"/>
  <c r="U3" i="1" s="1"/>
  <c r="F16" i="1"/>
  <c r="G15" i="1"/>
  <c r="O15" i="1" s="1"/>
  <c r="O3" i="1"/>
  <c r="L18" i="1"/>
  <c r="L15" i="1"/>
  <c r="G3" i="1"/>
  <c r="M3" i="1"/>
  <c r="V3" i="1" s="1"/>
  <c r="L9" i="1"/>
  <c r="L26" i="1"/>
  <c r="O27" i="1"/>
  <c r="M27" i="1"/>
  <c r="V27" i="1" s="1"/>
  <c r="L32" i="1"/>
  <c r="L3" i="1"/>
  <c r="L27" i="1"/>
  <c r="L33" i="1"/>
  <c r="L30" i="1"/>
  <c r="L4" i="1"/>
  <c r="L12" i="1"/>
  <c r="L23" i="1"/>
  <c r="L24" i="1"/>
  <c r="L13" i="1"/>
  <c r="L19" i="1"/>
  <c r="L22" i="1"/>
  <c r="L25" i="1"/>
  <c r="X3" i="1" l="1"/>
  <c r="Y3" i="1" s="1"/>
  <c r="Z3" i="1"/>
  <c r="AA3" i="1" s="1"/>
  <c r="V4" i="1"/>
  <c r="S4" i="1"/>
  <c r="T4" i="1" s="1"/>
  <c r="U4" i="1" s="1"/>
  <c r="F29" i="1"/>
  <c r="G28" i="1"/>
  <c r="O28" i="1"/>
  <c r="M28" i="1"/>
  <c r="X27" i="1"/>
  <c r="Y27" i="1" s="1"/>
  <c r="Z27" i="1"/>
  <c r="AA27" i="1" s="1"/>
  <c r="F6" i="1"/>
  <c r="G5" i="1"/>
  <c r="M5" i="1" s="1"/>
  <c r="O5" i="1"/>
  <c r="F17" i="1"/>
  <c r="G16" i="1"/>
  <c r="M16" i="1" s="1"/>
  <c r="M15" i="1"/>
  <c r="O16" i="1"/>
  <c r="V5" i="1" l="1"/>
  <c r="S5" i="1"/>
  <c r="T5" i="1" s="1"/>
  <c r="U5" i="1" s="1"/>
  <c r="V16" i="1"/>
  <c r="S16" i="1"/>
  <c r="T16" i="1" s="1"/>
  <c r="U16" i="1" s="1"/>
  <c r="F7" i="1"/>
  <c r="G6" i="1"/>
  <c r="O6" i="1"/>
  <c r="M6" i="1"/>
  <c r="G29" i="1"/>
  <c r="F30" i="1"/>
  <c r="O29" i="1"/>
  <c r="M29" i="1"/>
  <c r="V28" i="1"/>
  <c r="S28" i="1"/>
  <c r="T28" i="1" s="1"/>
  <c r="U28" i="1" s="1"/>
  <c r="X4" i="1"/>
  <c r="Y4" i="1" s="1"/>
  <c r="Z4" i="1"/>
  <c r="AA4" i="1" s="1"/>
  <c r="G17" i="1"/>
  <c r="O17" i="1"/>
  <c r="F18" i="1"/>
  <c r="M17" i="1"/>
  <c r="V15" i="1"/>
  <c r="S15" i="1"/>
  <c r="T15" i="1" s="1"/>
  <c r="U15" i="1" s="1"/>
  <c r="Z15" i="1" l="1"/>
  <c r="AA15" i="1" s="1"/>
  <c r="X15" i="1"/>
  <c r="Y15" i="1" s="1"/>
  <c r="V17" i="1"/>
  <c r="S17" i="1"/>
  <c r="T17" i="1" s="1"/>
  <c r="U17" i="1" s="1"/>
  <c r="F19" i="1"/>
  <c r="G18" i="1"/>
  <c r="M18" i="1"/>
  <c r="O18" i="1"/>
  <c r="Z28" i="1"/>
  <c r="AA28" i="1" s="1"/>
  <c r="X28" i="1"/>
  <c r="Y28" i="1" s="1"/>
  <c r="Z5" i="1"/>
  <c r="AA5" i="1" s="1"/>
  <c r="X5" i="1"/>
  <c r="Y5" i="1" s="1"/>
  <c r="V29" i="1"/>
  <c r="S29" i="1"/>
  <c r="T29" i="1" s="1"/>
  <c r="U29" i="1" s="1"/>
  <c r="F31" i="1"/>
  <c r="G30" i="1"/>
  <c r="O30" i="1"/>
  <c r="M30" i="1"/>
  <c r="V6" i="1"/>
  <c r="S6" i="1"/>
  <c r="T6" i="1" s="1"/>
  <c r="U6" i="1" s="1"/>
  <c r="G7" i="1"/>
  <c r="F8" i="1"/>
  <c r="O7" i="1"/>
  <c r="M7" i="1"/>
  <c r="Z16" i="1"/>
  <c r="AA16" i="1" s="1"/>
  <c r="X16" i="1"/>
  <c r="Y16" i="1" s="1"/>
  <c r="V7" i="1" l="1"/>
  <c r="S7" i="1"/>
  <c r="T7" i="1" s="1"/>
  <c r="U7" i="1" s="1"/>
  <c r="V18" i="1"/>
  <c r="S18" i="1"/>
  <c r="T18" i="1" s="1"/>
  <c r="U18" i="1" s="1"/>
  <c r="V30" i="1"/>
  <c r="S30" i="1"/>
  <c r="T30" i="1" s="1"/>
  <c r="U30" i="1" s="1"/>
  <c r="Z17" i="1"/>
  <c r="AA17" i="1" s="1"/>
  <c r="X17" i="1"/>
  <c r="Y17" i="1" s="1"/>
  <c r="X29" i="1"/>
  <c r="Y29" i="1" s="1"/>
  <c r="Z29" i="1"/>
  <c r="AA29" i="1" s="1"/>
  <c r="F9" i="1"/>
  <c r="G8" i="1"/>
  <c r="O8" i="1" s="1"/>
  <c r="X6" i="1"/>
  <c r="Y6" i="1" s="1"/>
  <c r="Z6" i="1"/>
  <c r="AA6" i="1" s="1"/>
  <c r="F20" i="1"/>
  <c r="G19" i="1"/>
  <c r="O19" i="1"/>
  <c r="M19" i="1"/>
  <c r="F32" i="1"/>
  <c r="G31" i="1"/>
  <c r="O31" i="1"/>
  <c r="M31" i="1"/>
  <c r="Z30" i="1" l="1"/>
  <c r="AA30" i="1" s="1"/>
  <c r="X30" i="1"/>
  <c r="Y30" i="1" s="1"/>
  <c r="V31" i="1"/>
  <c r="S31" i="1"/>
  <c r="T31" i="1" s="1"/>
  <c r="U31" i="1" s="1"/>
  <c r="Z7" i="1"/>
  <c r="AA7" i="1" s="1"/>
  <c r="X7" i="1"/>
  <c r="Y7" i="1" s="1"/>
  <c r="F33" i="1"/>
  <c r="G32" i="1"/>
  <c r="M32" i="1" s="1"/>
  <c r="O32" i="1"/>
  <c r="V19" i="1"/>
  <c r="S19" i="1"/>
  <c r="T19" i="1" s="1"/>
  <c r="U19" i="1" s="1"/>
  <c r="G20" i="1"/>
  <c r="F21" i="1"/>
  <c r="M20" i="1"/>
  <c r="O20" i="1"/>
  <c r="X18" i="1"/>
  <c r="Y18" i="1" s="1"/>
  <c r="Z18" i="1"/>
  <c r="AA18" i="1" s="1"/>
  <c r="M8" i="1"/>
  <c r="F10" i="1"/>
  <c r="G9" i="1"/>
  <c r="M9" i="1" s="1"/>
  <c r="V32" i="1" l="1"/>
  <c r="S32" i="1"/>
  <c r="T32" i="1" s="1"/>
  <c r="U32" i="1" s="1"/>
  <c r="V9" i="1"/>
  <c r="S9" i="1"/>
  <c r="T9" i="1" s="1"/>
  <c r="U9" i="1" s="1"/>
  <c r="Z31" i="1"/>
  <c r="AA31" i="1" s="1"/>
  <c r="X31" i="1"/>
  <c r="Y31" i="1" s="1"/>
  <c r="F11" i="1"/>
  <c r="G10" i="1"/>
  <c r="O10" i="1"/>
  <c r="M10" i="1"/>
  <c r="V8" i="1"/>
  <c r="S8" i="1"/>
  <c r="T8" i="1" s="1"/>
  <c r="U8" i="1" s="1"/>
  <c r="F34" i="1"/>
  <c r="G33" i="1"/>
  <c r="M33" i="1"/>
  <c r="O33" i="1"/>
  <c r="V20" i="1"/>
  <c r="S20" i="1"/>
  <c r="T20" i="1" s="1"/>
  <c r="U20" i="1" s="1"/>
  <c r="F22" i="1"/>
  <c r="G21" i="1"/>
  <c r="M21" i="1"/>
  <c r="O21" i="1"/>
  <c r="X19" i="1"/>
  <c r="Y19" i="1" s="1"/>
  <c r="Z19" i="1"/>
  <c r="AA19" i="1" s="1"/>
  <c r="O9" i="1"/>
  <c r="V21" i="1" l="1"/>
  <c r="S21" i="1"/>
  <c r="T21" i="1" s="1"/>
  <c r="U21" i="1" s="1"/>
  <c r="X20" i="1"/>
  <c r="Y20" i="1" s="1"/>
  <c r="Z20" i="1"/>
  <c r="AA20" i="1" s="1"/>
  <c r="G11" i="1"/>
  <c r="O11" i="1"/>
  <c r="M11" i="1"/>
  <c r="F12" i="1"/>
  <c r="Z9" i="1"/>
  <c r="AA9" i="1" s="1"/>
  <c r="X9" i="1"/>
  <c r="Y9" i="1" s="1"/>
  <c r="G34" i="1"/>
  <c r="O34" i="1" s="1"/>
  <c r="M34" i="1"/>
  <c r="X32" i="1"/>
  <c r="Y32" i="1" s="1"/>
  <c r="Z32" i="1"/>
  <c r="AA32" i="1" s="1"/>
  <c r="V10" i="1"/>
  <c r="S10" i="1"/>
  <c r="T10" i="1" s="1"/>
  <c r="U10" i="1" s="1"/>
  <c r="F23" i="1"/>
  <c r="G22" i="1"/>
  <c r="O22" i="1"/>
  <c r="M22" i="1"/>
  <c r="V33" i="1"/>
  <c r="S33" i="1"/>
  <c r="T33" i="1" s="1"/>
  <c r="U33" i="1" s="1"/>
  <c r="Z8" i="1"/>
  <c r="AA8" i="1" s="1"/>
  <c r="X8" i="1"/>
  <c r="Y8" i="1" s="1"/>
  <c r="V34" i="1" l="1"/>
  <c r="S34" i="1"/>
  <c r="T34" i="1" s="1"/>
  <c r="U34" i="1" s="1"/>
  <c r="X33" i="1"/>
  <c r="Y33" i="1" s="1"/>
  <c r="Z33" i="1"/>
  <c r="AA33" i="1" s="1"/>
  <c r="V22" i="1"/>
  <c r="S22" i="1"/>
  <c r="T22" i="1" s="1"/>
  <c r="U22" i="1" s="1"/>
  <c r="F13" i="1"/>
  <c r="G12" i="1"/>
  <c r="O12" i="1"/>
  <c r="M12" i="1"/>
  <c r="V11" i="1"/>
  <c r="S11" i="1"/>
  <c r="T11" i="1" s="1"/>
  <c r="U11" i="1" s="1"/>
  <c r="G23" i="1"/>
  <c r="O23" i="1" s="1"/>
  <c r="F24" i="1"/>
  <c r="Z10" i="1"/>
  <c r="AA10" i="1" s="1"/>
  <c r="X10" i="1"/>
  <c r="Y10" i="1" s="1"/>
  <c r="Z21" i="1"/>
  <c r="AA21" i="1" s="1"/>
  <c r="X21" i="1"/>
  <c r="Y21" i="1" s="1"/>
  <c r="F25" i="1" l="1"/>
  <c r="G24" i="1"/>
  <c r="O24" i="1"/>
  <c r="M24" i="1"/>
  <c r="Z34" i="1"/>
  <c r="AA34" i="1" s="1"/>
  <c r="X34" i="1"/>
  <c r="Y34" i="1" s="1"/>
  <c r="W32" i="1" s="1"/>
  <c r="Z11" i="1"/>
  <c r="AA11" i="1" s="1"/>
  <c r="X11" i="1"/>
  <c r="Y11" i="1" s="1"/>
  <c r="V12" i="1"/>
  <c r="S12" i="1"/>
  <c r="T12" i="1" s="1"/>
  <c r="U12" i="1" s="1"/>
  <c r="G13" i="1"/>
  <c r="O13" i="1" s="1"/>
  <c r="F14" i="1"/>
  <c r="Z22" i="1"/>
  <c r="AA22" i="1" s="1"/>
  <c r="X22" i="1"/>
  <c r="Y22" i="1" s="1"/>
  <c r="M23" i="1"/>
  <c r="G14" i="1" l="1"/>
  <c r="O14" i="1"/>
  <c r="M14" i="1"/>
  <c r="X12" i="1"/>
  <c r="Y12" i="1" s="1"/>
  <c r="Z12" i="1"/>
  <c r="AA12" i="1" s="1"/>
  <c r="V23" i="1"/>
  <c r="S23" i="1"/>
  <c r="T23" i="1" s="1"/>
  <c r="U23" i="1" s="1"/>
  <c r="V24" i="1"/>
  <c r="S24" i="1"/>
  <c r="T24" i="1" s="1"/>
  <c r="U24" i="1" s="1"/>
  <c r="M13" i="1"/>
  <c r="F26" i="1"/>
  <c r="O25" i="1"/>
  <c r="G25" i="1"/>
  <c r="M25" i="1"/>
  <c r="G26" i="1" l="1"/>
  <c r="M26" i="1"/>
  <c r="O26" i="1"/>
  <c r="Z24" i="1"/>
  <c r="AA24" i="1" s="1"/>
  <c r="X24" i="1"/>
  <c r="Y24" i="1" s="1"/>
  <c r="X23" i="1"/>
  <c r="Y23" i="1" s="1"/>
  <c r="Z23" i="1"/>
  <c r="AA23" i="1" s="1"/>
  <c r="V13" i="1"/>
  <c r="S13" i="1"/>
  <c r="T13" i="1" s="1"/>
  <c r="U13" i="1" s="1"/>
  <c r="V14" i="1"/>
  <c r="S14" i="1"/>
  <c r="T14" i="1" s="1"/>
  <c r="U14" i="1" s="1"/>
  <c r="V25" i="1"/>
  <c r="S25" i="1"/>
  <c r="T25" i="1" s="1"/>
  <c r="U25" i="1" s="1"/>
  <c r="V26" i="1" l="1"/>
  <c r="S26" i="1"/>
  <c r="T26" i="1" s="1"/>
  <c r="U26" i="1" s="1"/>
  <c r="Z14" i="1"/>
  <c r="AA14" i="1" s="1"/>
  <c r="X14" i="1"/>
  <c r="Y14" i="1" s="1"/>
  <c r="W8" i="1" s="1"/>
  <c r="X13" i="1"/>
  <c r="Y13" i="1" s="1"/>
  <c r="Z13" i="1"/>
  <c r="AA13" i="1" s="1"/>
  <c r="Z25" i="1"/>
  <c r="AA25" i="1" s="1"/>
  <c r="X25" i="1"/>
  <c r="Y25" i="1" s="1"/>
  <c r="X26" i="1" l="1"/>
  <c r="Y26" i="1" s="1"/>
  <c r="W20" i="1" s="1"/>
  <c r="Z26" i="1"/>
  <c r="AA26" i="1" s="1"/>
</calcChain>
</file>

<file path=xl/sharedStrings.xml><?xml version="1.0" encoding="utf-8"?>
<sst xmlns="http://schemas.openxmlformats.org/spreadsheetml/2006/main" count="475" uniqueCount="374">
  <si>
    <t>R</t>
  </si>
  <si>
    <t>T</t>
  </si>
  <si>
    <t>pH avg</t>
  </si>
  <si>
    <t>pH</t>
  </si>
  <si>
    <t>[H3O+]</t>
  </si>
  <si>
    <t>[OH-]</t>
  </si>
  <si>
    <t>Pcharge avg</t>
  </si>
  <si>
    <t>Pcharge</t>
  </si>
  <si>
    <t>[P] (g/L)</t>
  </si>
  <si>
    <t>[P] (mol/L)</t>
  </si>
  <si>
    <t>[P] (uM)</t>
  </si>
  <si>
    <t>mP (mol/g)</t>
  </si>
  <si>
    <t>[Buffer] (mol/L)</t>
  </si>
  <si>
    <t>mBuffer (mol/g)</t>
  </si>
  <si>
    <t>[NaN3] (M)</t>
  </si>
  <si>
    <t>𝝥 (mmHg)</t>
  </si>
  <si>
    <t>𝝥 (Pa)</t>
  </si>
  <si>
    <t>𝝥0 (Pa)</t>
  </si>
  <si>
    <t>𝝫</t>
  </si>
  <si>
    <t>𝝫-1</t>
  </si>
  <si>
    <t>𝝫-1 fit</t>
  </si>
  <si>
    <t>polynomial</t>
  </si>
  <si>
    <t>res</t>
  </si>
  <si>
    <t>res2</t>
  </si>
  <si>
    <t>𝜸 (m)</t>
  </si>
  <si>
    <t>𝜸 (m) [plotted]</t>
  </si>
  <si>
    <t>Partial</t>
  </si>
  <si>
    <t>mL/g</t>
  </si>
  <si>
    <t>Specific</t>
  </si>
  <si>
    <t>From Sigma Aldrich</t>
  </si>
  <si>
    <t>Volume</t>
  </si>
  <si>
    <t>Rho(H2O)</t>
  </si>
  <si>
    <t>g/L</t>
  </si>
  <si>
    <t>MW(Na)</t>
  </si>
  <si>
    <t>MW(Cl)</t>
  </si>
  <si>
    <t>MW(H3O+)</t>
  </si>
  <si>
    <t>MW(OH-)</t>
  </si>
  <si>
    <t>MW(protein)</t>
  </si>
  <si>
    <t>Second virial is positive</t>
  </si>
  <si>
    <t>Corrections applied to this workbook</t>
  </si>
  <si>
    <t>Molality: the original water mass per litre, rho_w - c*M - (salt masses), assumes that the solution density equals the density of water, which overestimates the volume of water displaced by the protein by a factor of about 1/(nu*rho_w) = 1.36. The protein term is now rho_w*c*M*nu (nu = protein partial specific volume, cell B5). The salt terms were kept as in the original; note that subtracting salt masses (instead of salt volumes) underestimates the water mass at high salt (by about 20% at 5 M NaCl).</t>
  </si>
  <si>
    <t>Molal versus molar scale: the original conversion in the "(c)" columns, gamma_m*rho*18.015/(rho*18.015 + sum c), differs from gamma_m by less than 1e-4, so all plotted activity coefficients are in fact on the molality scale (per kg of water), like the virial (Agena) values. These columns now equal the molal values explicitly and are labelled accordingly. A molar-scale conversion (gamma_c = gamma_m*m*rho_w/c) would require the solution density, which is not available; with the salt-mass approximation used here it would be unreliable at high salt.</t>
  </si>
  <si>
    <t>Polynomial fits of phi-1 versus molality were recomputed by linear least squares with the same terms and the same data points as the original Solver fits (points whose residual was set to 0 in the original remain excluded).</t>
  </si>
  <si>
    <t>Cell</t>
  </si>
  <si>
    <t>Original</t>
  </si>
  <si>
    <t>Corrected</t>
  </si>
  <si>
    <t>Reason</t>
  </si>
  <si>
    <t>M3</t>
  </si>
  <si>
    <t>=K3/($B$9 - K3*$B$16 - N3*($B$11+$B$12) - F3*$B$13 - G3*$B$14 - P3*65.0099)</t>
  </si>
  <si>
    <t>=K3/($B$9*(1-K3*$B$16*$B$5/1000) - N3*($B$11+$B$12) - F3*$B$13 - G3*$B$14 - P3*65.0099)</t>
  </si>
  <si>
    <t>molality: protein term of the water mass uses the partial specific volume, rho_w*(1 - c*M*nu), instead of subtracting the protein mass from rho_w</t>
  </si>
  <si>
    <t>O3</t>
  </si>
  <si>
    <t>=N3/($B$9 - K3*$B$16 - N3*($B$11+$B$12) - F3*$B$13 - G3*$B$14 - P3*65.0099)</t>
  </si>
  <si>
    <t>=N3/($B$9*(1-K3*$B$16*$B$5/1000) - N3*($B$11+$B$12) - F3*$B$13 - G3*$B$14 - P3*65.0099)</t>
  </si>
  <si>
    <t>buffer molality: same correction</t>
  </si>
  <si>
    <t>M4</t>
  </si>
  <si>
    <t>=K4/($B$9 - K4*$B$16 - N4*($B$11+$B$12) - F4*$B$13 - G4*$B$14 - P4*65.0099)</t>
  </si>
  <si>
    <t>=K4/($B$9*(1-K4*$B$16*$B$5/1000) - N4*($B$11+$B$12) - F4*$B$13 - G4*$B$14 - P4*65.0099)</t>
  </si>
  <si>
    <t>O4</t>
  </si>
  <si>
    <t>=N4/($B$9 - K4*$B$16 - N4*($B$11+$B$12) - F4*$B$13 - G4*$B$14 - P4*65.0099)</t>
  </si>
  <si>
    <t>=N4/($B$9*(1-K4*$B$16*$B$5/1000) - N4*($B$11+$B$12) - F4*$B$13 - G4*$B$14 - P4*65.0099)</t>
  </si>
  <si>
    <t>M5</t>
  </si>
  <si>
    <t>=K5/($B$9 - K5*$B$16 - N5*($B$11+$B$12) - F5*$B$13 - G5*$B$14 - P5*65.0099)</t>
  </si>
  <si>
    <t>=K5/($B$9*(1-K5*$B$16*$B$5/1000) - N5*($B$11+$B$12) - F5*$B$13 - G5*$B$14 - P5*65.0099)</t>
  </si>
  <si>
    <t>O5</t>
  </si>
  <si>
    <t>=N5/($B$9 - K5*$B$16 - N5*($B$11+$B$12) - F5*$B$13 - G5*$B$14 - P5*65.0099)</t>
  </si>
  <si>
    <t>=N5/($B$9*(1-K5*$B$16*$B$5/1000) - N5*($B$11+$B$12) - F5*$B$13 - G5*$B$14 - P5*65.0099)</t>
  </si>
  <si>
    <t>M6</t>
  </si>
  <si>
    <t>=K6/($B$9 - K6*$B$16 - N6*($B$11+$B$12) - F6*$B$13 - G6*$B$14 - P6*65.0099)</t>
  </si>
  <si>
    <t>=K6/($B$9*(1-K6*$B$16*$B$5/1000) - N6*($B$11+$B$12) - F6*$B$13 - G6*$B$14 - P6*65.0099)</t>
  </si>
  <si>
    <t>O6</t>
  </si>
  <si>
    <t>=N6/($B$9 - K6*$B$16 - N6*($B$11+$B$12) - F6*$B$13 - G6*$B$14 - P6*65.0099)</t>
  </si>
  <si>
    <t>=N6/($B$9*(1-K6*$B$16*$B$5/1000) - N6*($B$11+$B$12) - F6*$B$13 - G6*$B$14 - P6*65.0099)</t>
  </si>
  <si>
    <t>M7</t>
  </si>
  <si>
    <t>=K7/($B$9 - K7*$B$16 - N7*($B$11+$B$12) - F7*$B$13 - G7*$B$14 - P7*65.0099)</t>
  </si>
  <si>
    <t>=K7/($B$9*(1-K7*$B$16*$B$5/1000) - N7*($B$11+$B$12) - F7*$B$13 - G7*$B$14 - P7*65.0099)</t>
  </si>
  <si>
    <t>O7</t>
  </si>
  <si>
    <t>=N7/($B$9 - K7*$B$16 - N7*($B$11+$B$12) - F7*$B$13 - G7*$B$14 - P7*65.0099)</t>
  </si>
  <si>
    <t>=N7/($B$9*(1-K7*$B$16*$B$5/1000) - N7*($B$11+$B$12) - F7*$B$13 - G7*$B$14 - P7*65.0099)</t>
  </si>
  <si>
    <t>M8</t>
  </si>
  <si>
    <t>=K8/($B$9 - K8*$B$16 - N8*($B$11+$B$12) - F8*$B$13 - G8*$B$14 - P8*65.0099)</t>
  </si>
  <si>
    <t>=K8/($B$9*(1-K8*$B$16*$B$5/1000) - N8*($B$11+$B$12) - F8*$B$13 - G8*$B$14 - P8*65.0099)</t>
  </si>
  <si>
    <t>O8</t>
  </si>
  <si>
    <t>=N8/($B$9 - K8*$B$16 - N8*($B$11+$B$12) - F8*$B$13 - G8*$B$14 - P8*65.0099)</t>
  </si>
  <si>
    <t>=N8/($B$9*(1-K8*$B$16*$B$5/1000) - N8*($B$11+$B$12) - F8*$B$13 - G8*$B$14 - P8*65.0099)</t>
  </si>
  <si>
    <t>M9</t>
  </si>
  <si>
    <t>=K9/($B$9 - K9*$B$16 - N9*($B$11+$B$12) - F9*$B$13 - G9*$B$14 - P9*65.0099)</t>
  </si>
  <si>
    <t>=K9/($B$9*(1-K9*$B$16*$B$5/1000) - N9*($B$11+$B$12) - F9*$B$13 - G9*$B$14 - P9*65.0099)</t>
  </si>
  <si>
    <t>O9</t>
  </si>
  <si>
    <t>=N9/($B$9 - K9*$B$16 - N9*($B$11+$B$12) - F9*$B$13 - G9*$B$14 - P9*65.0099)</t>
  </si>
  <si>
    <t>=N9/($B$9*(1-K9*$B$16*$B$5/1000) - N9*($B$11+$B$12) - F9*$B$13 - G9*$B$14 - P9*65.0099)</t>
  </si>
  <si>
    <t>M10</t>
  </si>
  <si>
    <t>=K10/($B$9 - K10*$B$16 - N10*($B$11+$B$12) - F10*$B$13 - G10*$B$14 - P10*65.0099)</t>
  </si>
  <si>
    <t>=K10/($B$9*(1-K10*$B$16*$B$5/1000) - N10*($B$11+$B$12) - F10*$B$13 - G10*$B$14 - P10*65.0099)</t>
  </si>
  <si>
    <t>O10</t>
  </si>
  <si>
    <t>=N10/($B$9 - K10*$B$16 - N10*($B$11+$B$12) - F10*$B$13 - G10*$B$14 - P10*65.0099)</t>
  </si>
  <si>
    <t>=N10/($B$9*(1-K10*$B$16*$B$5/1000) - N10*($B$11+$B$12) - F10*$B$13 - G10*$B$14 - P10*65.0099)</t>
  </si>
  <si>
    <t>M11</t>
  </si>
  <si>
    <t>=K11/($B$9 - K11*$B$16 - N11*($B$11+$B$12) - F11*$B$13 - G11*$B$14 - P11*65.0099)</t>
  </si>
  <si>
    <t>=K11/($B$9*(1-K11*$B$16*$B$5/1000) - N11*($B$11+$B$12) - F11*$B$13 - G11*$B$14 - P11*65.0099)</t>
  </si>
  <si>
    <t>O11</t>
  </si>
  <si>
    <t>=N11/($B$9 - K11*$B$16 - N11*($B$11+$B$12) - F11*$B$13 - G11*$B$14 - P11*65.0099)</t>
  </si>
  <si>
    <t>=N11/($B$9*(1-K11*$B$16*$B$5/1000) - N11*($B$11+$B$12) - F11*$B$13 - G11*$B$14 - P11*65.0099)</t>
  </si>
  <si>
    <t>M12</t>
  </si>
  <si>
    <t>=K12/($B$9 - K12*$B$16 - N12*($B$11+$B$12) - F12*$B$13 - G12*$B$14 - P12*65.0099)</t>
  </si>
  <si>
    <t>=K12/($B$9*(1-K12*$B$16*$B$5/1000) - N12*($B$11+$B$12) - F12*$B$13 - G12*$B$14 - P12*65.0099)</t>
  </si>
  <si>
    <t>O12</t>
  </si>
  <si>
    <t>=N12/($B$9 - K12*$B$16 - N12*($B$11+$B$12) - F12*$B$13 - G12*$B$14 - P12*65.0099)</t>
  </si>
  <si>
    <t>=N12/($B$9*(1-K12*$B$16*$B$5/1000) - N12*($B$11+$B$12) - F12*$B$13 - G12*$B$14 - P12*65.0099)</t>
  </si>
  <si>
    <t>M13</t>
  </si>
  <si>
    <t>=K13/($B$9 - K13*$B$16 - N13*($B$11+$B$12) - F13*$B$13 - G13*$B$14 - P13*65.0099)</t>
  </si>
  <si>
    <t>=K13/($B$9*(1-K13*$B$16*$B$5/1000) - N13*($B$11+$B$12) - F13*$B$13 - G13*$B$14 - P13*65.0099)</t>
  </si>
  <si>
    <t>O13</t>
  </si>
  <si>
    <t>=N13/($B$9 - K13*$B$16 - N13*($B$11+$B$12) - F13*$B$13 - G13*$B$14 - P13*65.0099)</t>
  </si>
  <si>
    <t>=N13/($B$9*(1-K13*$B$16*$B$5/1000) - N13*($B$11+$B$12) - F13*$B$13 - G13*$B$14 - P13*65.0099)</t>
  </si>
  <si>
    <t>M14</t>
  </si>
  <si>
    <t>=K14/($B$9 - K14*$B$16 - N14*($B$11+$B$12) - F14*$B$13 - G14*$B$14 - P14*65.0099)</t>
  </si>
  <si>
    <t>=K14/($B$9*(1-K14*$B$16*$B$5/1000) - N14*($B$11+$B$12) - F14*$B$13 - G14*$B$14 - P14*65.0099)</t>
  </si>
  <si>
    <t>O14</t>
  </si>
  <si>
    <t>=N14/($B$9 - K14*$B$16 - N14*($B$11+$B$12) - F14*$B$13 - G14*$B$14 - P14*65.0099)</t>
  </si>
  <si>
    <t>=N14/($B$9*(1-K14*$B$16*$B$5/1000) - N14*($B$11+$B$12) - F14*$B$13 - G14*$B$14 - P14*65.0099)</t>
  </si>
  <si>
    <t>M15</t>
  </si>
  <si>
    <t>=K15/($B$9 - K15*$B$16 - N15*($B$11+$B$12) - F15*$B$13 - G15*$B$14 - P15*65.0099)</t>
  </si>
  <si>
    <t>=K15/($B$9*(1-K15*$B$16*$B$5/1000) - N15*($B$11+$B$12) - F15*$B$13 - G15*$B$14 - P15*65.0099)</t>
  </si>
  <si>
    <t>O15</t>
  </si>
  <si>
    <t>=N15/($B$9 - K15*$B$16 - N15*($B$11+$B$12) - F15*$B$13 - G15*$B$14 - P15*65.0099)</t>
  </si>
  <si>
    <t>=N15/($B$9*(1-K15*$B$16*$B$5/1000) - N15*($B$11+$B$12) - F15*$B$13 - G15*$B$14 - P15*65.0099)</t>
  </si>
  <si>
    <t>M16</t>
  </si>
  <si>
    <t>=K16/($B$9 - K16*$B$16 - N16*($B$11+$B$12) - F16*$B$13 - G16*$B$14 - P16*65.0099)</t>
  </si>
  <si>
    <t>=K16/($B$9*(1-K16*$B$16*$B$5/1000) - N16*($B$11+$B$12) - F16*$B$13 - G16*$B$14 - P16*65.0099)</t>
  </si>
  <si>
    <t>O16</t>
  </si>
  <si>
    <t>=N16/($B$9 - K16*$B$16 - N16*($B$11+$B$12) - F16*$B$13 - G16*$B$14 - P16*65.0099)</t>
  </si>
  <si>
    <t>=N16/($B$9*(1-K16*$B$16*$B$5/1000) - N16*($B$11+$B$12) - F16*$B$13 - G16*$B$14 - P16*65.0099)</t>
  </si>
  <si>
    <t>M17</t>
  </si>
  <si>
    <t>=K17/($B$9 - K17*$B$16 - N17*($B$11+$B$12) - F17*$B$13 - G17*$B$14 - P17*65.0099)</t>
  </si>
  <si>
    <t>=K17/($B$9*(1-K17*$B$16*$B$5/1000) - N17*($B$11+$B$12) - F17*$B$13 - G17*$B$14 - P17*65.0099)</t>
  </si>
  <si>
    <t>O17</t>
  </si>
  <si>
    <t>=N17/($B$9 - K17*$B$16 - N17*($B$11+$B$12) - F17*$B$13 - G17*$B$14 - P17*65.0099)</t>
  </si>
  <si>
    <t>=N17/($B$9*(1-K17*$B$16*$B$5/1000) - N17*($B$11+$B$12) - F17*$B$13 - G17*$B$14 - P17*65.0099)</t>
  </si>
  <si>
    <t>M18</t>
  </si>
  <si>
    <t>=K18/($B$9 - K18*$B$16 - N18*($B$11+$B$12) - F18*$B$13 - G18*$B$14 - P18*65.0099)</t>
  </si>
  <si>
    <t>=K18/($B$9*(1-K18*$B$16*$B$5/1000) - N18*($B$11+$B$12) - F18*$B$13 - G18*$B$14 - P18*65.0099)</t>
  </si>
  <si>
    <t>O18</t>
  </si>
  <si>
    <t>=N18/($B$9 - K18*$B$16 - N18*($B$11+$B$12) - F18*$B$13 - G18*$B$14 - P18*65.0099)</t>
  </si>
  <si>
    <t>=N18/($B$9*(1-K18*$B$16*$B$5/1000) - N18*($B$11+$B$12) - F18*$B$13 - G18*$B$14 - P18*65.0099)</t>
  </si>
  <si>
    <t>M19</t>
  </si>
  <si>
    <t>=K19/($B$9 - K19*$B$16 - N19*($B$11+$B$12) - F19*$B$13 - G19*$B$14 - P19*65.0099)</t>
  </si>
  <si>
    <t>=K19/($B$9*(1-K19*$B$16*$B$5/1000) - N19*($B$11+$B$12) - F19*$B$13 - G19*$B$14 - P19*65.0099)</t>
  </si>
  <si>
    <t>O19</t>
  </si>
  <si>
    <t>=N19/($B$9 - K19*$B$16 - N19*($B$11+$B$12) - F19*$B$13 - G19*$B$14 - P19*65.0099)</t>
  </si>
  <si>
    <t>=N19/($B$9*(1-K19*$B$16*$B$5/1000) - N19*($B$11+$B$12) - F19*$B$13 - G19*$B$14 - P19*65.0099)</t>
  </si>
  <si>
    <t>M20</t>
  </si>
  <si>
    <t>=K20/($B$9 - K20*$B$16 - N20*($B$11+$B$12) - F20*$B$13 - G20*$B$14 - P20*65.0099)</t>
  </si>
  <si>
    <t>=K20/($B$9*(1-K20*$B$16*$B$5/1000) - N20*($B$11+$B$12) - F20*$B$13 - G20*$B$14 - P20*65.0099)</t>
  </si>
  <si>
    <t>O20</t>
  </si>
  <si>
    <t>=N20/($B$9 - K20*$B$16 - N20*($B$11+$B$12) - F20*$B$13 - G20*$B$14 - P20*65.0099)</t>
  </si>
  <si>
    <t>=N20/($B$9*(1-K20*$B$16*$B$5/1000) - N20*($B$11+$B$12) - F20*$B$13 - G20*$B$14 - P20*65.0099)</t>
  </si>
  <si>
    <t>M21</t>
  </si>
  <si>
    <t>=K21/($B$9 - K21*$B$16 - N21*($B$11+$B$12) - F21*$B$13 - G21*$B$14 - P21*65.0099)</t>
  </si>
  <si>
    <t>=K21/($B$9*(1-K21*$B$16*$B$5/1000) - N21*($B$11+$B$12) - F21*$B$13 - G21*$B$14 - P21*65.0099)</t>
  </si>
  <si>
    <t>O21</t>
  </si>
  <si>
    <t>=N21/($B$9 - K21*$B$16 - N21*($B$11+$B$12) - F21*$B$13 - G21*$B$14 - P21*65.0099)</t>
  </si>
  <si>
    <t>=N21/($B$9*(1-K21*$B$16*$B$5/1000) - N21*($B$11+$B$12) - F21*$B$13 - G21*$B$14 - P21*65.0099)</t>
  </si>
  <si>
    <t>M22</t>
  </si>
  <si>
    <t>=K22/($B$9 - K22*$B$16 - N22*($B$11+$B$12) - F22*$B$13 - G22*$B$14 - P22*65.0099)</t>
  </si>
  <si>
    <t>=K22/($B$9*(1-K22*$B$16*$B$5/1000) - N22*($B$11+$B$12) - F22*$B$13 - G22*$B$14 - P22*65.0099)</t>
  </si>
  <si>
    <t>O22</t>
  </si>
  <si>
    <t>=N22/($B$9 - K22*$B$16 - N22*($B$11+$B$12) - F22*$B$13 - G22*$B$14 - P22*65.0099)</t>
  </si>
  <si>
    <t>=N22/($B$9*(1-K22*$B$16*$B$5/1000) - N22*($B$11+$B$12) - F22*$B$13 - G22*$B$14 - P22*65.0099)</t>
  </si>
  <si>
    <t>M23</t>
  </si>
  <si>
    <t>=K23/($B$9 - K23*$B$16 - N23*($B$11+$B$12) - F23*$B$13 - G23*$B$14 - P23*65.0099)</t>
  </si>
  <si>
    <t>=K23/($B$9*(1-K23*$B$16*$B$5/1000) - N23*($B$11+$B$12) - F23*$B$13 - G23*$B$14 - P23*65.0099)</t>
  </si>
  <si>
    <t>O23</t>
  </si>
  <si>
    <t>=N23/($B$9 - K23*$B$16 - N23*($B$11+$B$12) - F23*$B$13 - G23*$B$14 - P23*65.0099)</t>
  </si>
  <si>
    <t>=N23/($B$9*(1-K23*$B$16*$B$5/1000) - N23*($B$11+$B$12) - F23*$B$13 - G23*$B$14 - P23*65.0099)</t>
  </si>
  <si>
    <t>M24</t>
  </si>
  <si>
    <t>=K24/($B$9 - K24*$B$16 - N24*($B$11+$B$12) - F24*$B$13 - G24*$B$14 - P24*65.0099)</t>
  </si>
  <si>
    <t>=K24/($B$9*(1-K24*$B$16*$B$5/1000) - N24*($B$11+$B$12) - F24*$B$13 - G24*$B$14 - P24*65.0099)</t>
  </si>
  <si>
    <t>O24</t>
  </si>
  <si>
    <t>=N24/($B$9 - K24*$B$16 - N24*($B$11+$B$12) - F24*$B$13 - G24*$B$14 - P24*65.0099)</t>
  </si>
  <si>
    <t>=N24/($B$9*(1-K24*$B$16*$B$5/1000) - N24*($B$11+$B$12) - F24*$B$13 - G24*$B$14 - P24*65.0099)</t>
  </si>
  <si>
    <t>M25</t>
  </si>
  <si>
    <t>=K25/($B$9 - K25*$B$16 - N25*($B$11+$B$12) - F25*$B$13 - G25*$B$14 - P25*65.0099)</t>
  </si>
  <si>
    <t>=K25/($B$9*(1-K25*$B$16*$B$5/1000) - N25*($B$11+$B$12) - F25*$B$13 - G25*$B$14 - P25*65.0099)</t>
  </si>
  <si>
    <t>O25</t>
  </si>
  <si>
    <t>=N25/($B$9 - K25*$B$16 - N25*($B$11+$B$12) - F25*$B$13 - G25*$B$14 - P25*65.0099)</t>
  </si>
  <si>
    <t>=N25/($B$9*(1-K25*$B$16*$B$5/1000) - N25*($B$11+$B$12) - F25*$B$13 - G25*$B$14 - P25*65.0099)</t>
  </si>
  <si>
    <t>M26</t>
  </si>
  <si>
    <t>=K26/($B$9 - K26*$B$16 - N26*($B$11+$B$12) - F26*$B$13 - G26*$B$14 - P26*65.0099)</t>
  </si>
  <si>
    <t>=K26/($B$9*(1-K26*$B$16*$B$5/1000) - N26*($B$11+$B$12) - F26*$B$13 - G26*$B$14 - P26*65.0099)</t>
  </si>
  <si>
    <t>O26</t>
  </si>
  <si>
    <t>=N26/($B$9 - K26*$B$16 - N26*($B$11+$B$12) - F26*$B$13 - G26*$B$14 - P26*65.0099)</t>
  </si>
  <si>
    <t>=N26/($B$9*(1-K26*$B$16*$B$5/1000) - N26*($B$11+$B$12) - F26*$B$13 - G26*$B$14 - P26*65.0099)</t>
  </si>
  <si>
    <t>M27</t>
  </si>
  <si>
    <t>=K27/($B$9 - K27*$B$16 - N27*($B$11+$B$12) - F27*$B$13 - G27*$B$14 - P27*65.0099)</t>
  </si>
  <si>
    <t>=K27/($B$9*(1-K27*$B$16*$B$5/1000) - N27*($B$11+$B$12) - F27*$B$13 - G27*$B$14 - P27*65.0099)</t>
  </si>
  <si>
    <t>O27</t>
  </si>
  <si>
    <t>=N27/($B$9 - K27*$B$16 - N27*($B$11+$B$12) - F27*$B$13 - G27*$B$14 - P27*65.0099)</t>
  </si>
  <si>
    <t>=N27/($B$9*(1-K27*$B$16*$B$5/1000) - N27*($B$11+$B$12) - F27*$B$13 - G27*$B$14 - P27*65.0099)</t>
  </si>
  <si>
    <t>M28</t>
  </si>
  <si>
    <t>=K28/($B$9 - K28*$B$16 - N28*($B$11+$B$12) - F28*$B$13 - G28*$B$14 - P28*65.0099)</t>
  </si>
  <si>
    <t>=K28/($B$9*(1-K28*$B$16*$B$5/1000) - N28*($B$11+$B$12) - F28*$B$13 - G28*$B$14 - P28*65.0099)</t>
  </si>
  <si>
    <t>O28</t>
  </si>
  <si>
    <t>=N28/($B$9 - K28*$B$16 - N28*($B$11+$B$12) - F28*$B$13 - G28*$B$14 - P28*65.0099)</t>
  </si>
  <si>
    <t>=N28/($B$9*(1-K28*$B$16*$B$5/1000) - N28*($B$11+$B$12) - F28*$B$13 - G28*$B$14 - P28*65.0099)</t>
  </si>
  <si>
    <t>M29</t>
  </si>
  <si>
    <t>=K29/($B$9 - K29*$B$16 - N29*($B$11+$B$12) - F29*$B$13 - G29*$B$14 - P29*65.0099)</t>
  </si>
  <si>
    <t>=K29/($B$9*(1-K29*$B$16*$B$5/1000) - N29*($B$11+$B$12) - F29*$B$13 - G29*$B$14 - P29*65.0099)</t>
  </si>
  <si>
    <t>O29</t>
  </si>
  <si>
    <t>=N29/($B$9 - K29*$B$16 - N29*($B$11+$B$12) - F29*$B$13 - G29*$B$14 - P29*65.0099)</t>
  </si>
  <si>
    <t>=N29/($B$9*(1-K29*$B$16*$B$5/1000) - N29*($B$11+$B$12) - F29*$B$13 - G29*$B$14 - P29*65.0099)</t>
  </si>
  <si>
    <t>M30</t>
  </si>
  <si>
    <t>=K30/($B$9 - K30*$B$16 - N30*($B$11+$B$12) - F30*$B$13 - G30*$B$14 - P30*65.0099)</t>
  </si>
  <si>
    <t>=K30/($B$9*(1-K30*$B$16*$B$5/1000) - N30*($B$11+$B$12) - F30*$B$13 - G30*$B$14 - P30*65.0099)</t>
  </si>
  <si>
    <t>O30</t>
  </si>
  <si>
    <t>=N30/($B$9 - K30*$B$16 - N30*($B$11+$B$12) - F30*$B$13 - G30*$B$14 - P30*65.0099)</t>
  </si>
  <si>
    <t>=N30/($B$9*(1-K30*$B$16*$B$5/1000) - N30*($B$11+$B$12) - F30*$B$13 - G30*$B$14 - P30*65.0099)</t>
  </si>
  <si>
    <t>M31</t>
  </si>
  <si>
    <t>=K31/($B$9 - K31*$B$16 - N31*($B$11+$B$12) - F31*$B$13 - G31*$B$14 - P31*65.0099)</t>
  </si>
  <si>
    <t>=K31/($B$9*(1-K31*$B$16*$B$5/1000) - N31*($B$11+$B$12) - F31*$B$13 - G31*$B$14 - P31*65.0099)</t>
  </si>
  <si>
    <t>O31</t>
  </si>
  <si>
    <t>=N31/($B$9 - K31*$B$16 - N31*($B$11+$B$12) - F31*$B$13 - G31*$B$14 - P31*65.0099)</t>
  </si>
  <si>
    <t>=N31/($B$9*(1-K31*$B$16*$B$5/1000) - N31*($B$11+$B$12) - F31*$B$13 - G31*$B$14 - P31*65.0099)</t>
  </si>
  <si>
    <t>M32</t>
  </si>
  <si>
    <t>=K32/($B$9 - K32*$B$16 - N32*($B$11+$B$12) - F32*$B$13 - G32*$B$14 - P32*65.0099)</t>
  </si>
  <si>
    <t>=K32/($B$9*(1-K32*$B$16*$B$5/1000) - N32*($B$11+$B$12) - F32*$B$13 - G32*$B$14 - P32*65.0099)</t>
  </si>
  <si>
    <t>O32</t>
  </si>
  <si>
    <t>=N32/($B$9 - K32*$B$16 - N32*($B$11+$B$12) - F32*$B$13 - G32*$B$14 - P32*65.0099)</t>
  </si>
  <si>
    <t>=N32/($B$9*(1-K32*$B$16*$B$5/1000) - N32*($B$11+$B$12) - F32*$B$13 - G32*$B$14 - P32*65.0099)</t>
  </si>
  <si>
    <t>M33</t>
  </si>
  <si>
    <t>=K33/($B$9 - K33*$B$16 - N33*($B$11+$B$12) - F33*$B$13 - G33*$B$14 - P33*65.0099)</t>
  </si>
  <si>
    <t>=K33/($B$9*(1-K33*$B$16*$B$5/1000) - N33*($B$11+$B$12) - F33*$B$13 - G33*$B$14 - P33*65.0099)</t>
  </si>
  <si>
    <t>O33</t>
  </si>
  <si>
    <t>=N33/($B$9 - K33*$B$16 - N33*($B$11+$B$12) - F33*$B$13 - G33*$B$14 - P33*65.0099)</t>
  </si>
  <si>
    <t>=N33/($B$9*(1-K33*$B$16*$B$5/1000) - N33*($B$11+$B$12) - F33*$B$13 - G33*$B$14 - P33*65.0099)</t>
  </si>
  <si>
    <t>M34</t>
  </si>
  <si>
    <t>=K34/($B$9 - K34*$B$16 - N34*($B$11+$B$12) - F34*$B$13 - G34*$B$14 - P34*65.0099)</t>
  </si>
  <si>
    <t>=K34/($B$9*(1-K34*$B$16*$B$5/1000) - N34*($B$11+$B$12) - F34*$B$13 - G34*$B$14 - P34*65.0099)</t>
  </si>
  <si>
    <t>O34</t>
  </si>
  <si>
    <t>=N34/($B$9 - K34*$B$16 - N34*($B$11+$B$12) - F34*$B$13 - G34*$B$14 - P34*65.0099)</t>
  </si>
  <si>
    <t>=N34/($B$9*(1-K34*$B$16*$B$5/1000) - N34*($B$11+$B$12) - F34*$B$13 - G34*$B$14 - P34*65.0099)</t>
  </si>
  <si>
    <t>AA3</t>
  </si>
  <si>
    <t>=Z3*$B$9*18.01528/($B$9*18.01528 + K3+F3+G3+N3+P3)</t>
  </si>
  <si>
    <t>=Z3</t>
  </si>
  <si>
    <t>the original "molar" conversion equals gamma_m to within 1e-4; the column now states that it holds the molal value</t>
  </si>
  <si>
    <t>AA4</t>
  </si>
  <si>
    <t>=Z4*$B$9*18.01528/($B$9*18.01528 + K4+F4+G4+N4+P4)</t>
  </si>
  <si>
    <t>=Z4</t>
  </si>
  <si>
    <t>AA5</t>
  </si>
  <si>
    <t>=Z5*$B$9*18.01528/($B$9*18.01528 + K5+F5+G5+N5+P5)</t>
  </si>
  <si>
    <t>=Z5</t>
  </si>
  <si>
    <t>AA6</t>
  </si>
  <si>
    <t>=Z6*$B$9*18.01528/($B$9*18.01528 + K6+F6+G6+N6+P6)</t>
  </si>
  <si>
    <t>=Z6</t>
  </si>
  <si>
    <t>AA7</t>
  </si>
  <si>
    <t>=Z7*$B$9*18.01528/($B$9*18.01528 + K7+F7+G7+N7+P7)</t>
  </si>
  <si>
    <t>=Z7</t>
  </si>
  <si>
    <t>AA8</t>
  </si>
  <si>
    <t>=Z8*$B$9*18.01528/($B$9*18.01528 + K8+F8+G8+N8+P8)</t>
  </si>
  <si>
    <t>=Z8</t>
  </si>
  <si>
    <t>AA9</t>
  </si>
  <si>
    <t>=Z9*$B$9*18.01528/($B$9*18.01528 + K9+F9+G9+N9+P9)</t>
  </si>
  <si>
    <t>=Z9</t>
  </si>
  <si>
    <t>AA10</t>
  </si>
  <si>
    <t>=Z10*$B$9*18.01528/($B$9*18.01528 + K10+F10+G10+N10+P10)</t>
  </si>
  <si>
    <t>=Z10</t>
  </si>
  <si>
    <t>AA11</t>
  </si>
  <si>
    <t>=Z11*$B$9*18.01528/($B$9*18.01528 + K11+F11+G11+N11+P11)</t>
  </si>
  <si>
    <t>=Z11</t>
  </si>
  <si>
    <t>AA12</t>
  </si>
  <si>
    <t>=Z12*$B$9*18.01528/($B$9*18.01528 + K12+F12+G12+N12+P12)</t>
  </si>
  <si>
    <t>=Z12</t>
  </si>
  <si>
    <t>AA13</t>
  </si>
  <si>
    <t>=Z13*$B$9*18.01528/($B$9*18.01528 + K13+F13+G13+N13+P13)</t>
  </si>
  <si>
    <t>=Z13</t>
  </si>
  <si>
    <t>AA14</t>
  </si>
  <si>
    <t>=Z14*$B$9*18.01528/($B$9*18.01528 + K14+F14+G14+N14+P14)</t>
  </si>
  <si>
    <t>=Z14</t>
  </si>
  <si>
    <t>AA15</t>
  </si>
  <si>
    <t>=Z15*$B$9*18.01528/($B$9*18.01528 + K15+F15+G15+N15+P15)</t>
  </si>
  <si>
    <t>=Z15</t>
  </si>
  <si>
    <t>AA16</t>
  </si>
  <si>
    <t>=Z16*$B$9*18.01528/($B$9*18.01528 + K16+F16+G16+N16+P16)</t>
  </si>
  <si>
    <t>=Z16</t>
  </si>
  <si>
    <t>AA17</t>
  </si>
  <si>
    <t>=Z17*$B$9*18.01528/($B$9*18.01528 + K17+F17+G17+N17+P17)</t>
  </si>
  <si>
    <t>=Z17</t>
  </si>
  <si>
    <t>AA18</t>
  </si>
  <si>
    <t>=Z18*$B$9*18.01528/($B$9*18.01528 + K18+F18+G18+N18+P18)</t>
  </si>
  <si>
    <t>=Z18</t>
  </si>
  <si>
    <t>AA19</t>
  </si>
  <si>
    <t>=Z19*$B$9*18.01528/($B$9*18.01528 + K19+F19+G19+N19+P19)</t>
  </si>
  <si>
    <t>=Z19</t>
  </si>
  <si>
    <t>AA20</t>
  </si>
  <si>
    <t>=Z20*$B$9*18.01528/($B$9*18.01528 + K20+F20+G20+N20+P20)</t>
  </si>
  <si>
    <t>=Z20</t>
  </si>
  <si>
    <t>AA21</t>
  </si>
  <si>
    <t>=Z21*$B$9*18.01528/($B$9*18.01528 + K21+F21+G21+N21+P21)</t>
  </si>
  <si>
    <t>=Z21</t>
  </si>
  <si>
    <t>AA22</t>
  </si>
  <si>
    <t>=Z22*$B$9*18.01528/($B$9*18.01528 + K22+F22+G22+N22+P22)</t>
  </si>
  <si>
    <t>=Z22</t>
  </si>
  <si>
    <t>AA23</t>
  </si>
  <si>
    <t>=Z23*$B$9*18.01528/($B$9*18.01528 + K23+F23+G23+N23+P23)</t>
  </si>
  <si>
    <t>=Z23</t>
  </si>
  <si>
    <t>AA24</t>
  </si>
  <si>
    <t>=Z24*$B$9*18.01528/($B$9*18.01528 + K24+F24+G24+N24+P24)</t>
  </si>
  <si>
    <t>=Z24</t>
  </si>
  <si>
    <t>AA25</t>
  </si>
  <si>
    <t>=Z25*$B$9*18.01528/($B$9*18.01528 + K25+F25+G25+N25+P25)</t>
  </si>
  <si>
    <t>=Z25</t>
  </si>
  <si>
    <t>AA26</t>
  </si>
  <si>
    <t>=Z26*$B$9*18.01528/($B$9*18.01528 + K26+F26+G26+N26+P26)</t>
  </si>
  <si>
    <t>=Z26</t>
  </si>
  <si>
    <t>AA27</t>
  </si>
  <si>
    <t>=Z27*$B$9*18.01528/($B$9*18.01528 + K27+F27+G27+N27+P27)</t>
  </si>
  <si>
    <t>=Z27</t>
  </si>
  <si>
    <t>AA28</t>
  </si>
  <si>
    <t>=Z28*$B$9*18.01528/($B$9*18.01528 + K28+F28+G28+N28+P28)</t>
  </si>
  <si>
    <t>=Z28</t>
  </si>
  <si>
    <t>AA29</t>
  </si>
  <si>
    <t>=Z29*$B$9*18.01528/($B$9*18.01528 + K29+F29+G29+N29+P29)</t>
  </si>
  <si>
    <t>=Z29</t>
  </si>
  <si>
    <t>AA30</t>
  </si>
  <si>
    <t>=Z30*$B$9*18.01528/($B$9*18.01528 + K30+F30+G30+N30+P30)</t>
  </si>
  <si>
    <t>=Z30</t>
  </si>
  <si>
    <t>AA31</t>
  </si>
  <si>
    <t>=Z31*$B$9*18.01528/($B$9*18.01528 + K31+F31+G31+N31+P31)</t>
  </si>
  <si>
    <t>=Z31</t>
  </si>
  <si>
    <t>AA32</t>
  </si>
  <si>
    <t>=Z32*$B$9*18.01528/($B$9*18.01528 + K32+F32+G32+N32+P32)</t>
  </si>
  <si>
    <t>=Z32</t>
  </si>
  <si>
    <t>AA33</t>
  </si>
  <si>
    <t>=Z33*$B$9*18.01528/($B$9*18.01528 + K33+F33+G33+N33+P33)</t>
  </si>
  <si>
    <t>=Z33</t>
  </si>
  <si>
    <t>AA34</t>
  </si>
  <si>
    <t>=Z34*$B$9*18.01528/($B$9*18.01528 + K34+F34+G34+N34+P34)</t>
  </si>
  <si>
    <t>=Z34</t>
  </si>
  <si>
    <t>AA2</t>
  </si>
  <si>
    <t>𝜸 (c)</t>
  </si>
  <si>
    <t>header</t>
  </si>
  <si>
    <t>W4</t>
  </si>
  <si>
    <t>82030.8972401895</t>
  </si>
  <si>
    <t>99257.1</t>
  </si>
  <si>
    <t>phi-1 fit: polynomial refitted (least squares, rows 3-14)</t>
  </si>
  <si>
    <t>W5</t>
  </si>
  <si>
    <t>7833615107.96727</t>
  </si>
  <si>
    <t>1.10914e+10</t>
  </si>
  <si>
    <t>W6</t>
  </si>
  <si>
    <t>-125816954792804</t>
  </si>
  <si>
    <t>5.23786e+14</t>
  </si>
  <si>
    <t>W16</t>
  </si>
  <si>
    <t>141850.43070622</t>
  </si>
  <si>
    <t>123934</t>
  </si>
  <si>
    <t>phi-1 fit: polynomial refitted (least squares, rows 15-26)</t>
  </si>
  <si>
    <t>W17</t>
  </si>
  <si>
    <t>24495556897.5675</t>
  </si>
  <si>
    <t>5.01804e+10</t>
  </si>
  <si>
    <t>W18</t>
  </si>
  <si>
    <t>-1540524383643726</t>
  </si>
  <si>
    <t>-2.81599e+15</t>
  </si>
  <si>
    <t>W28</t>
  </si>
  <si>
    <t>370298.211190442</t>
  </si>
  <si>
    <t>627005</t>
  </si>
  <si>
    <t>phi-1 fit: polynomial refitted (least squares, rows 27-34)</t>
  </si>
  <si>
    <t>W29</t>
  </si>
  <si>
    <t>-148008902377.843</t>
  </si>
  <si>
    <t>-3.12647e+11</t>
  </si>
  <si>
    <t>W30</t>
  </si>
  <si>
    <t>21889026855280500</t>
  </si>
  <si>
    <t>5.46144e+16</t>
  </si>
  <si>
    <t>W31</t>
  </si>
  <si>
    <t>-9.01547199782689e+20</t>
  </si>
  <si>
    <t>-2.67497e+21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</si>
</sst>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E+00"/>
    <numFmt numFmtId="165" formatCode="0.0"/>
    <numFmt numFmtId="166" formatCode="0.0000"/>
  </numFmts>
  <fonts count="5" x14ac:knownFonts="1">
    <font>
      <sz val="12"/>
      <color theme="1"/>
      <name val="Calibri"/>
      <family val="2"/>
      <charset val="1"/>
    </font>
    <font>
      <b/>
      <sz val="12"/>
      <name val="Arial"/>
      <family val="2"/>
    </font>
    <font>
      <sz val="11"/>
      <name val="Arial"/>
      <family val="2"/>
    </font>
    <font>
      <b/>
      <sz val="11"/>
      <name val="Arial"/>
      <family val="2"/>
    </font>
    <font>
      <sz val="9"/>
      <name val="Arial"/>
      <family val="2"/>
    </font>
  </fonts>
  <fills count="5">
    <fill>
      <patternFill patternType="none"/>
    </fill>
    <fill>
      <patternFill patternType="gray125"/>
    </fill>
    <fill>
      <patternFill patternType="solid">
        <fgColor theme="8" tint="0.79989013336588644"/>
        <bgColor rgb="FFD9D9D9"/>
      </patternFill>
    </fill>
    <fill>
      <patternFill patternType="solid">
        <fgColor theme="5" tint="0.79989013336588644"/>
        <bgColor rgb="FFFFF2CC"/>
      </patternFill>
    </fill>
    <fill>
      <patternFill patternType="solid">
        <fgColor theme="7" tint="0.79989013336588644"/>
        <bgColor rgb="FFFBE5D6"/>
      </patternFill>
    </fill>
  </fills>
  <borders count="12">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s>
  <cellStyleXfs count="1">
    <xf numFmtId="0" fontId="0" fillId="0" borderId="0"/>
  </cellStyleXfs>
  <cellXfs count="55">
    <xf numFmtId="0" fontId="0" fillId="0" borderId="0" xfId="0"/>
    <xf numFmtId="0" fontId="2" fillId="0" borderId="0" xfId="0" applyFont="1" applyAlignment="1">
      <alignment vertical="top" wrapText="1"/>
    </xf>
    <xf numFmtId="2"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0" borderId="3" xfId="0" applyBorder="1" applyAlignment="1">
      <alignment horizontal="center" vertical="center"/>
    </xf>
    <xf numFmtId="0" fontId="0" fillId="2" borderId="4" xfId="0" applyFill="1" applyBorder="1" applyAlignment="1">
      <alignment horizontal="center" vertical="center"/>
    </xf>
    <xf numFmtId="2" fontId="0" fillId="2" borderId="4" xfId="0" applyNumberFormat="1" applyFill="1" applyBorder="1" applyAlignment="1">
      <alignment horizontal="center" vertical="center"/>
    </xf>
    <xf numFmtId="164" fontId="0" fillId="0" borderId="5" xfId="0" applyNumberFormat="1" applyBorder="1" applyAlignment="1">
      <alignment horizontal="center" vertical="center"/>
    </xf>
    <xf numFmtId="165" fontId="0" fillId="0" borderId="5" xfId="0" applyNumberFormat="1" applyBorder="1" applyAlignment="1">
      <alignment horizontal="center" vertical="center"/>
    </xf>
    <xf numFmtId="0" fontId="0" fillId="0" borderId="5" xfId="0" applyBorder="1" applyAlignment="1">
      <alignment horizontal="center" vertical="center"/>
    </xf>
    <xf numFmtId="11" fontId="0" fillId="2" borderId="4" xfId="0" applyNumberFormat="1" applyFill="1" applyBorder="1" applyAlignment="1">
      <alignment horizontal="center" vertical="center"/>
    </xf>
    <xf numFmtId="165" fontId="0" fillId="2" borderId="4" xfId="0" applyNumberFormat="1" applyFill="1" applyBorder="1" applyAlignment="1">
      <alignment horizontal="center" vertical="center"/>
    </xf>
    <xf numFmtId="11" fontId="0" fillId="0" borderId="5" xfId="0" applyNumberFormat="1" applyBorder="1" applyAlignment="1">
      <alignment horizontal="center" vertical="center"/>
    </xf>
    <xf numFmtId="166" fontId="0" fillId="0" borderId="5" xfId="0" applyNumberFormat="1" applyBorder="1" applyAlignment="1">
      <alignment horizontal="center" vertical="center"/>
    </xf>
    <xf numFmtId="166" fontId="0" fillId="0" borderId="5" xfId="0" applyNumberFormat="1" applyBorder="1"/>
    <xf numFmtId="0" fontId="0" fillId="3" borderId="5" xfId="0" applyFill="1" applyBorder="1"/>
    <xf numFmtId="11" fontId="0" fillId="0" borderId="5" xfId="0" applyNumberFormat="1" applyBorder="1"/>
    <xf numFmtId="166" fontId="0" fillId="2" borderId="6" xfId="0" applyNumberFormat="1" applyFill="1" applyBorder="1" applyAlignment="1">
      <alignment horizontal="center" vertical="center"/>
    </xf>
    <xf numFmtId="166" fontId="0" fillId="2" borderId="4" xfId="0" applyNumberFormat="1" applyFill="1" applyBorder="1" applyAlignment="1">
      <alignment horizontal="center" vertical="center"/>
    </xf>
    <xf numFmtId="2" fontId="0" fillId="2" borderId="7" xfId="0" applyNumberFormat="1" applyFill="1" applyBorder="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11" fontId="0" fillId="2" borderId="7" xfId="0" applyNumberFormat="1" applyFill="1" applyBorder="1" applyAlignment="1">
      <alignment horizontal="center" vertical="center"/>
    </xf>
    <xf numFmtId="165" fontId="0" fillId="2" borderId="7" xfId="0" applyNumberFormat="1" applyFill="1" applyBorder="1" applyAlignment="1">
      <alignment horizontal="center" vertical="center"/>
    </xf>
    <xf numFmtId="11" fontId="0" fillId="0" borderId="0" xfId="0" applyNumberFormat="1" applyAlignment="1">
      <alignment horizontal="center" vertical="center"/>
    </xf>
    <xf numFmtId="166" fontId="0" fillId="0" borderId="0" xfId="0" applyNumberFormat="1" applyAlignment="1">
      <alignment horizontal="center" vertical="center"/>
    </xf>
    <xf numFmtId="166" fontId="0" fillId="0" borderId="0" xfId="0" applyNumberFormat="1"/>
    <xf numFmtId="11" fontId="0" fillId="3" borderId="0" xfId="0" applyNumberFormat="1" applyFill="1"/>
    <xf numFmtId="11" fontId="0" fillId="0" borderId="0" xfId="0" applyNumberFormat="1"/>
    <xf numFmtId="166" fontId="0" fillId="2" borderId="8" xfId="0" applyNumberFormat="1" applyFill="1" applyBorder="1" applyAlignment="1">
      <alignment horizontal="center" vertical="center"/>
    </xf>
    <xf numFmtId="166" fontId="0" fillId="2" borderId="7" xfId="0" applyNumberFormat="1" applyFill="1" applyBorder="1" applyAlignment="1">
      <alignment horizontal="center" vertical="center"/>
    </xf>
    <xf numFmtId="11" fontId="0" fillId="4" borderId="0" xfId="0" applyNumberFormat="1" applyFill="1"/>
    <xf numFmtId="11" fontId="0" fillId="0" borderId="0" xfId="0" applyNumberFormat="1" applyAlignment="1">
      <alignment horizontal="center"/>
    </xf>
    <xf numFmtId="2" fontId="0" fillId="2" borderId="9" xfId="0" applyNumberFormat="1" applyFill="1" applyBorder="1" applyAlignment="1">
      <alignment horizontal="center" vertical="center"/>
    </xf>
    <xf numFmtId="164" fontId="0" fillId="0" borderId="10" xfId="0" applyNumberFormat="1" applyBorder="1" applyAlignment="1">
      <alignment horizontal="center" vertical="center"/>
    </xf>
    <xf numFmtId="165" fontId="0" fillId="0" borderId="10" xfId="0" applyNumberFormat="1" applyBorder="1" applyAlignment="1">
      <alignment horizontal="center" vertical="center"/>
    </xf>
    <xf numFmtId="0" fontId="0" fillId="0" borderId="10" xfId="0" applyBorder="1" applyAlignment="1">
      <alignment horizontal="center" vertical="center"/>
    </xf>
    <xf numFmtId="11" fontId="0" fillId="2" borderId="9" xfId="0" applyNumberFormat="1" applyFill="1" applyBorder="1" applyAlignment="1">
      <alignment horizontal="center" vertical="center"/>
    </xf>
    <xf numFmtId="165" fontId="0" fillId="2" borderId="9" xfId="0" applyNumberFormat="1" applyFill="1" applyBorder="1" applyAlignment="1">
      <alignment horizontal="center" vertical="center"/>
    </xf>
    <xf numFmtId="11" fontId="0" fillId="0" borderId="10" xfId="0" applyNumberFormat="1" applyBorder="1" applyAlignment="1">
      <alignment horizontal="center" vertical="center"/>
    </xf>
    <xf numFmtId="11" fontId="0" fillId="0" borderId="10" xfId="0" applyNumberFormat="1" applyBorder="1" applyAlignment="1">
      <alignment horizontal="center"/>
    </xf>
    <xf numFmtId="166" fontId="0" fillId="0" borderId="10" xfId="0" applyNumberFormat="1" applyBorder="1" applyAlignment="1">
      <alignment horizontal="center" vertical="center"/>
    </xf>
    <xf numFmtId="166" fontId="0" fillId="0" borderId="10" xfId="0" applyNumberFormat="1" applyBorder="1"/>
    <xf numFmtId="0" fontId="0" fillId="0" borderId="10" xfId="0" applyBorder="1"/>
    <xf numFmtId="11" fontId="0" fillId="0" borderId="10" xfId="0" applyNumberFormat="1" applyBorder="1"/>
    <xf numFmtId="166" fontId="0" fillId="2" borderId="11" xfId="0" applyNumberFormat="1" applyFill="1" applyBorder="1" applyAlignment="1">
      <alignment horizontal="center" vertical="center"/>
    </xf>
    <xf numFmtId="166" fontId="0" fillId="2" borderId="9" xfId="0" applyNumberFormat="1" applyFill="1" applyBorder="1" applyAlignment="1">
      <alignment horizontal="center" vertical="center"/>
    </xf>
    <xf numFmtId="11" fontId="0" fillId="0" borderId="5" xfId="0" applyNumberFormat="1" applyBorder="1" applyAlignment="1">
      <alignment horizontal="center"/>
    </xf>
    <xf numFmtId="2" fontId="0" fillId="0" borderId="0" xfId="0" applyNumberFormat="1"/>
    <xf numFmtId="0" fontId="1" fillId="0" borderId="0" xfId="0" applyFont="1"/>
    <xf numFmtId="0" fontId="3" fillId="0" borderId="0" xfId="0" applyFont="1"/>
    <xf numFmtId="0" fontId="4" fillId="0" borderId="0" xfId="0" applyFont="1" applyAlignment="1">
      <alignment vertical="top"/>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ED7D31"/>
      <rgbColor rgb="FF595959"/>
      <rgbColor rgb="FFA5A5A5"/>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BSA!$M$3:$M$14</c:f>
              <c:numCache>
                <c:formatCode>0.00E+00</c:formatCode>
                <c:ptCount val="12"/>
                <c:pt idx="0">
                  <c:v>1.313491185296627E-6</c:v>
                </c:pt>
                <c:pt idx="1">
                  <c:v>1.4308462380954167E-6</c:v>
                </c:pt>
                <c:pt idx="2">
                  <c:v>3.666523901094225E-6</c:v>
                </c:pt>
                <c:pt idx="3">
                  <c:v>3.666523901094225E-6</c:v>
                </c:pt>
                <c:pt idx="4">
                  <c:v>5.3903304015775887E-6</c:v>
                </c:pt>
                <c:pt idx="5">
                  <c:v>6.2742264097819643E-6</c:v>
                </c:pt>
                <c:pt idx="6">
                  <c:v>6.2742264097819643E-6</c:v>
                </c:pt>
                <c:pt idx="7">
                  <c:v>7.032616793645886E-6</c:v>
                </c:pt>
                <c:pt idx="8">
                  <c:v>7.1135934941094751E-6</c:v>
                </c:pt>
                <c:pt idx="9">
                  <c:v>8.7201094437984753E-6</c:v>
                </c:pt>
                <c:pt idx="10">
                  <c:v>9.1834828398793019E-6</c:v>
                </c:pt>
                <c:pt idx="11">
                  <c:v>9.8252279518708496E-6</c:v>
                </c:pt>
              </c:numCache>
            </c:numRef>
          </c:xVal>
          <c:yVal>
            <c:numRef>
              <c:f>BSA!$U$3:$U$14</c:f>
              <c:numCache>
                <c:formatCode>0.0000</c:formatCode>
                <c:ptCount val="12"/>
                <c:pt idx="0">
                  <c:v>6.5616724577020724E-2</c:v>
                </c:pt>
                <c:pt idx="1">
                  <c:v>0.15805438536657568</c:v>
                </c:pt>
                <c:pt idx="2">
                  <c:v>0.55811082537705548</c:v>
                </c:pt>
                <c:pt idx="3">
                  <c:v>0.5674970351684836</c:v>
                </c:pt>
                <c:pt idx="4">
                  <c:v>1.1524100915058231</c:v>
                </c:pt>
                <c:pt idx="5">
                  <c:v>0.99685804293811331</c:v>
                </c:pt>
                <c:pt idx="6">
                  <c:v>0.99685804293811331</c:v>
                </c:pt>
                <c:pt idx="7">
                  <c:v>1.3822796897326231</c:v>
                </c:pt>
                <c:pt idx="8">
                  <c:v>1.6931588288560704</c:v>
                </c:pt>
                <c:pt idx="9">
                  <c:v>2.1296375662678462</c:v>
                </c:pt>
                <c:pt idx="10">
                  <c:v>2.0920768099580394</c:v>
                </c:pt>
                <c:pt idx="11">
                  <c:v>2.6119943147689644</c:v>
                </c:pt>
              </c:numCache>
            </c:numRef>
          </c:yVal>
          <c:smooth val="0"/>
          <c:extLst>
            <c:ext xmlns:c16="http://schemas.microsoft.com/office/drawing/2014/chart" uri="{C3380CC4-5D6E-409C-BE32-E72D297353CC}">
              <c16:uniqueId val="{00000000-9204-B247-B981-0C625CFEB7B2}"/>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BSA!$M$3:$M$14</c:f>
              <c:numCache>
                <c:formatCode>0.00E+00</c:formatCode>
                <c:ptCount val="12"/>
                <c:pt idx="0">
                  <c:v>1.313491185296627E-6</c:v>
                </c:pt>
                <c:pt idx="1">
                  <c:v>1.4308462380954167E-6</c:v>
                </c:pt>
                <c:pt idx="2">
                  <c:v>3.666523901094225E-6</c:v>
                </c:pt>
                <c:pt idx="3">
                  <c:v>3.666523901094225E-6</c:v>
                </c:pt>
                <c:pt idx="4">
                  <c:v>5.3903304015775887E-6</c:v>
                </c:pt>
                <c:pt idx="5">
                  <c:v>6.2742264097819643E-6</c:v>
                </c:pt>
                <c:pt idx="6">
                  <c:v>6.2742264097819643E-6</c:v>
                </c:pt>
                <c:pt idx="7">
                  <c:v>7.032616793645886E-6</c:v>
                </c:pt>
                <c:pt idx="8">
                  <c:v>7.1135934941094751E-6</c:v>
                </c:pt>
                <c:pt idx="9">
                  <c:v>8.7201094437984753E-6</c:v>
                </c:pt>
                <c:pt idx="10">
                  <c:v>9.1834828398793019E-6</c:v>
                </c:pt>
                <c:pt idx="11">
                  <c:v>9.8252279518708496E-6</c:v>
                </c:pt>
              </c:numCache>
            </c:numRef>
          </c:xVal>
          <c:yVal>
            <c:numRef>
              <c:f>BSA!$V$3:$V$14</c:f>
              <c:numCache>
                <c:formatCode>0.0000</c:formatCode>
                <c:ptCount val="12"/>
                <c:pt idx="0">
                  <c:v>0.15069580941356553</c:v>
                </c:pt>
                <c:pt idx="1">
                  <c:v>0.16626366502768378</c:v>
                </c:pt>
                <c:pt idx="2">
                  <c:v>0.53885209953356628</c:v>
                </c:pt>
                <c:pt idx="3">
                  <c:v>0.53885209953356628</c:v>
                </c:pt>
                <c:pt idx="4">
                  <c:v>0.93933118289213102</c:v>
                </c:pt>
                <c:pt idx="5">
                  <c:v>1.1887542105422302</c:v>
                </c:pt>
                <c:pt idx="6">
                  <c:v>1.1887542105422302</c:v>
                </c:pt>
                <c:pt idx="7">
                  <c:v>1.4287730911424283</c:v>
                </c:pt>
                <c:pt idx="8">
                  <c:v>1.4558818366452146</c:v>
                </c:pt>
                <c:pt idx="9">
                  <c:v>2.056236843505296</c:v>
                </c:pt>
                <c:pt idx="10">
                  <c:v>2.2526057084563802</c:v>
                </c:pt>
                <c:pt idx="11">
                  <c:v>2.5427316502022159</c:v>
                </c:pt>
              </c:numCache>
            </c:numRef>
          </c:yVal>
          <c:smooth val="0"/>
          <c:extLst>
            <c:ext xmlns:c16="http://schemas.microsoft.com/office/drawing/2014/chart" uri="{C3380CC4-5D6E-409C-BE32-E72D297353CC}">
              <c16:uniqueId val="{00000001-9204-B247-B981-0C625CFEB7B2}"/>
            </c:ext>
          </c:extLst>
        </c:ser>
        <c:dLbls>
          <c:showLegendKey val="0"/>
          <c:showVal val="0"/>
          <c:showCatName val="0"/>
          <c:showSerName val="0"/>
          <c:showPercent val="0"/>
          <c:showBubbleSize val="0"/>
        </c:dLbls>
        <c:axId val="66987791"/>
        <c:axId val="8740696"/>
      </c:scatterChart>
      <c:valAx>
        <c:axId val="66987791"/>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8740696"/>
        <c:crosses val="autoZero"/>
        <c:crossBetween val="midCat"/>
      </c:valAx>
      <c:valAx>
        <c:axId val="8740696"/>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66987791"/>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BSA!$M$15:$M$26</c:f>
              <c:numCache>
                <c:formatCode>0.00E+00</c:formatCode>
                <c:ptCount val="12"/>
                <c:pt idx="0">
                  <c:v>1.4308463509253269E-6</c:v>
                </c:pt>
                <c:pt idx="1">
                  <c:v>2.109289184628565E-6</c:v>
                </c:pt>
                <c:pt idx="2">
                  <c:v>2.3635158540383304E-6</c:v>
                </c:pt>
                <c:pt idx="3">
                  <c:v>4.1498258057362571E-6</c:v>
                </c:pt>
                <c:pt idx="4">
                  <c:v>4.2791917727262256E-6</c:v>
                </c:pt>
                <c:pt idx="5">
                  <c:v>4.3880677389785874E-6</c:v>
                </c:pt>
                <c:pt idx="6">
                  <c:v>6.608832079991797E-6</c:v>
                </c:pt>
                <c:pt idx="7">
                  <c:v>8.1832313394896682E-6</c:v>
                </c:pt>
                <c:pt idx="8">
                  <c:v>8.6594431130945971E-6</c:v>
                </c:pt>
                <c:pt idx="9">
                  <c:v>8.7505409845162911E-6</c:v>
                </c:pt>
                <c:pt idx="10">
                  <c:v>8.9344956620331625E-6</c:v>
                </c:pt>
                <c:pt idx="11">
                  <c:v>1.002332523950463E-5</c:v>
                </c:pt>
              </c:numCache>
            </c:numRef>
          </c:xVal>
          <c:yVal>
            <c:numRef>
              <c:f>BSA!$U$15:$U$26</c:f>
              <c:numCache>
                <c:formatCode>0.0000</c:formatCode>
                <c:ptCount val="12"/>
                <c:pt idx="0">
                  <c:v>0.29805259506720483</c:v>
                </c:pt>
                <c:pt idx="1">
                  <c:v>0.48714925962728084</c:v>
                </c:pt>
                <c:pt idx="2">
                  <c:v>0.57775422629470663</c:v>
                </c:pt>
                <c:pt idx="3">
                  <c:v>1.2673420162915709</c:v>
                </c:pt>
                <c:pt idx="4">
                  <c:v>1.2558712554341285</c:v>
                </c:pt>
                <c:pt idx="5">
                  <c:v>1.1846633090997725</c:v>
                </c:pt>
                <c:pt idx="6">
                  <c:v>1.9522012037731242</c:v>
                </c:pt>
                <c:pt idx="7">
                  <c:v>2.6237902652331848</c:v>
                </c:pt>
                <c:pt idx="8">
                  <c:v>3.1156658024110566</c:v>
                </c:pt>
                <c:pt idx="9">
                  <c:v>3.2439104426656806</c:v>
                </c:pt>
                <c:pt idx="10">
                  <c:v>3.3984108202983414</c:v>
                </c:pt>
                <c:pt idx="11">
                  <c:v>3.2158284515174289</c:v>
                </c:pt>
              </c:numCache>
            </c:numRef>
          </c:yVal>
          <c:smooth val="0"/>
          <c:extLst>
            <c:ext xmlns:c16="http://schemas.microsoft.com/office/drawing/2014/chart" uri="{C3380CC4-5D6E-409C-BE32-E72D297353CC}">
              <c16:uniqueId val="{00000000-8317-E64E-882F-726EF0DB291F}"/>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BSA!$M$15:$M$26</c:f>
              <c:numCache>
                <c:formatCode>0.00E+00</c:formatCode>
                <c:ptCount val="12"/>
                <c:pt idx="0">
                  <c:v>1.4308463509253269E-6</c:v>
                </c:pt>
                <c:pt idx="1">
                  <c:v>2.109289184628565E-6</c:v>
                </c:pt>
                <c:pt idx="2">
                  <c:v>2.3635158540383304E-6</c:v>
                </c:pt>
                <c:pt idx="3">
                  <c:v>4.1498258057362571E-6</c:v>
                </c:pt>
                <c:pt idx="4">
                  <c:v>4.2791917727262256E-6</c:v>
                </c:pt>
                <c:pt idx="5">
                  <c:v>4.3880677389785874E-6</c:v>
                </c:pt>
                <c:pt idx="6">
                  <c:v>6.608832079991797E-6</c:v>
                </c:pt>
                <c:pt idx="7">
                  <c:v>8.1832313394896682E-6</c:v>
                </c:pt>
                <c:pt idx="8">
                  <c:v>8.6594431130945971E-6</c:v>
                </c:pt>
                <c:pt idx="9">
                  <c:v>8.7505409845162911E-6</c:v>
                </c:pt>
                <c:pt idx="10">
                  <c:v>8.9344956620331625E-6</c:v>
                </c:pt>
                <c:pt idx="11">
                  <c:v>1.002332523950463E-5</c:v>
                </c:pt>
              </c:numCache>
            </c:numRef>
          </c:xVal>
          <c:yVal>
            <c:numRef>
              <c:f>BSA!$V$15:$V$26</c:f>
              <c:numCache>
                <c:formatCode>0.0000</c:formatCode>
                <c:ptCount val="12"/>
                <c:pt idx="0">
                  <c:v>0.27181693746149815</c:v>
                </c:pt>
                <c:pt idx="1">
                  <c:v>0.45824413167873318</c:v>
                </c:pt>
                <c:pt idx="2">
                  <c:v>0.53605868448020222</c:v>
                </c:pt>
                <c:pt idx="3">
                  <c:v>1.1772217562774843</c:v>
                </c:pt>
                <c:pt idx="4">
                  <c:v>1.2285594038810381</c:v>
                </c:pt>
                <c:pt idx="5">
                  <c:v>1.2721312073985449</c:v>
                </c:pt>
                <c:pt idx="6">
                  <c:v>2.1979327223297882</c:v>
                </c:pt>
                <c:pt idx="7">
                  <c:v>2.8313864842160514</c:v>
                </c:pt>
                <c:pt idx="8">
                  <c:v>3.0075020533702768</c:v>
                </c:pt>
                <c:pt idx="9">
                  <c:v>3.0400611485716005</c:v>
                </c:pt>
                <c:pt idx="10">
                  <c:v>3.1045933922737632</c:v>
                </c:pt>
                <c:pt idx="11">
                  <c:v>3.4479701009230292</c:v>
                </c:pt>
              </c:numCache>
            </c:numRef>
          </c:yVal>
          <c:smooth val="0"/>
          <c:extLst>
            <c:ext xmlns:c16="http://schemas.microsoft.com/office/drawing/2014/chart" uri="{C3380CC4-5D6E-409C-BE32-E72D297353CC}">
              <c16:uniqueId val="{00000001-8317-E64E-882F-726EF0DB291F}"/>
            </c:ext>
          </c:extLst>
        </c:ser>
        <c:dLbls>
          <c:showLegendKey val="0"/>
          <c:showVal val="0"/>
          <c:showCatName val="0"/>
          <c:showSerName val="0"/>
          <c:showPercent val="0"/>
          <c:showBubbleSize val="0"/>
        </c:dLbls>
        <c:axId val="81315970"/>
        <c:axId val="97763742"/>
      </c:scatterChart>
      <c:valAx>
        <c:axId val="81315970"/>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7763742"/>
        <c:crosses val="autoZero"/>
        <c:crossBetween val="midCat"/>
      </c:valAx>
      <c:valAx>
        <c:axId val="97763742"/>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81315970"/>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scatterChart>
        <c:scatterStyle val="lineMarker"/>
        <c:varyColors val="0"/>
        <c:ser>
          <c:idx val="0"/>
          <c:order val="0"/>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BSA!$M$27:$M$34</c:f>
              <c:numCache>
                <c:formatCode>0.00E+00</c:formatCode>
                <c:ptCount val="8"/>
                <c:pt idx="0">
                  <c:v>2.0377203635245373E-6</c:v>
                </c:pt>
                <c:pt idx="1">
                  <c:v>3.0842236314617493E-6</c:v>
                </c:pt>
                <c:pt idx="2">
                  <c:v>5.1320712370371747E-6</c:v>
                </c:pt>
                <c:pt idx="3">
                  <c:v>6.0724971660441973E-6</c:v>
                </c:pt>
                <c:pt idx="4">
                  <c:v>6.097543252608734E-6</c:v>
                </c:pt>
                <c:pt idx="5">
                  <c:v>6.7398262215466848E-6</c:v>
                </c:pt>
                <c:pt idx="6">
                  <c:v>8.8729214635843882E-6</c:v>
                </c:pt>
                <c:pt idx="7">
                  <c:v>1.0738010010968626E-5</c:v>
                </c:pt>
              </c:numCache>
            </c:numRef>
          </c:xVal>
          <c:yVal>
            <c:numRef>
              <c:f>BSA!$U$27:$U$34</c:f>
              <c:numCache>
                <c:formatCode>0.0000</c:formatCode>
                <c:ptCount val="8"/>
                <c:pt idx="0">
                  <c:v>0.17936887528569634</c:v>
                </c:pt>
                <c:pt idx="1">
                  <c:v>0.50692017677856072</c:v>
                </c:pt>
                <c:pt idx="2">
                  <c:v>0.70607734445000769</c:v>
                </c:pt>
                <c:pt idx="3">
                  <c:v>0.77928975975604642</c:v>
                </c:pt>
                <c:pt idx="4">
                  <c:v>0.89560420837990784</c:v>
                </c:pt>
                <c:pt idx="5">
                  <c:v>0.97716230509154722</c:v>
                </c:pt>
                <c:pt idx="6">
                  <c:v>2.6815489880040069</c:v>
                </c:pt>
                <c:pt idx="7">
                  <c:v>2.6993244610661264</c:v>
                </c:pt>
              </c:numCache>
            </c:numRef>
          </c:yVal>
          <c:smooth val="0"/>
          <c:extLst>
            <c:ext xmlns:c16="http://schemas.microsoft.com/office/drawing/2014/chart" uri="{C3380CC4-5D6E-409C-BE32-E72D297353CC}">
              <c16:uniqueId val="{00000000-5CB2-3B4E-BBFD-6427548EECD3}"/>
            </c:ext>
          </c:extLst>
        </c:ser>
        <c:ser>
          <c:idx val="1"/>
          <c:order val="1"/>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BSA!$M$27:$M$34</c:f>
              <c:numCache>
                <c:formatCode>0.00E+00</c:formatCode>
                <c:ptCount val="8"/>
                <c:pt idx="0">
                  <c:v>2.0377203635245373E-6</c:v>
                </c:pt>
                <c:pt idx="1">
                  <c:v>3.0842236314617493E-6</c:v>
                </c:pt>
                <c:pt idx="2">
                  <c:v>5.1320712370371747E-6</c:v>
                </c:pt>
                <c:pt idx="3">
                  <c:v>6.0724971660441973E-6</c:v>
                </c:pt>
                <c:pt idx="4">
                  <c:v>6.097543252608734E-6</c:v>
                </c:pt>
                <c:pt idx="5">
                  <c:v>6.7398262215466848E-6</c:v>
                </c:pt>
                <c:pt idx="6">
                  <c:v>8.8729214635843882E-6</c:v>
                </c:pt>
                <c:pt idx="7">
                  <c:v>1.0738010010968626E-5</c:v>
                </c:pt>
              </c:numCache>
            </c:numRef>
          </c:xVal>
          <c:yVal>
            <c:numRef>
              <c:f>BSA!$V$27:$V$34</c:f>
              <c:numCache>
                <c:formatCode>0.0000</c:formatCode>
                <c:ptCount val="8"/>
                <c:pt idx="0">
                  <c:v>0.39543935484193704</c:v>
                </c:pt>
                <c:pt idx="1">
                  <c:v>0.32004312367810328</c:v>
                </c:pt>
                <c:pt idx="2">
                  <c:v>0.50985553342066225</c:v>
                </c:pt>
                <c:pt idx="3">
                  <c:v>0.87069566087158323</c:v>
                </c:pt>
                <c:pt idx="4">
                  <c:v>0.8826666306140134</c:v>
                </c:pt>
                <c:pt idx="5">
                  <c:v>1.2248141033408837</c:v>
                </c:pt>
                <c:pt idx="6">
                  <c:v>2.5201479839447032</c:v>
                </c:pt>
                <c:pt idx="7">
                  <c:v>2.7393595730898568</c:v>
                </c:pt>
              </c:numCache>
            </c:numRef>
          </c:yVal>
          <c:smooth val="0"/>
          <c:extLst>
            <c:ext xmlns:c16="http://schemas.microsoft.com/office/drawing/2014/chart" uri="{C3380CC4-5D6E-409C-BE32-E72D297353CC}">
              <c16:uniqueId val="{00000001-5CB2-3B4E-BBFD-6427548EECD3}"/>
            </c:ext>
          </c:extLst>
        </c:ser>
        <c:dLbls>
          <c:showLegendKey val="0"/>
          <c:showVal val="0"/>
          <c:showCatName val="0"/>
          <c:showSerName val="0"/>
          <c:showPercent val="0"/>
          <c:showBubbleSize val="0"/>
        </c:dLbls>
        <c:axId val="14345728"/>
        <c:axId val="37057201"/>
      </c:scatterChart>
      <c:valAx>
        <c:axId val="14345728"/>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37057201"/>
        <c:crosses val="autoZero"/>
        <c:crossBetween val="midCat"/>
      </c:valAx>
      <c:valAx>
        <c:axId val="37057201"/>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14345728"/>
        <c:crosses val="autoZero"/>
        <c:crossBetween val="midCat"/>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0.15715763507599301"/>
          <c:y val="5.0967311541027398E-2"/>
          <c:w val="0.791199172435744"/>
          <c:h val="0.74342895263509001"/>
        </c:manualLayout>
      </c:layout>
      <c:scatterChart>
        <c:scatterStyle val="lineMarker"/>
        <c:varyColors val="0"/>
        <c:ser>
          <c:idx val="0"/>
          <c:order val="0"/>
          <c:tx>
            <c:v>pH=7.4</c:v>
          </c:tx>
          <c:spPr>
            <a:ln w="1908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BSA!$L$3:$L$14</c:f>
              <c:numCache>
                <c:formatCode>0.0</c:formatCode>
                <c:ptCount val="12"/>
                <c:pt idx="0">
                  <c:v>1217.391304347826</c:v>
                </c:pt>
                <c:pt idx="1">
                  <c:v>1318.8405797101448</c:v>
                </c:pt>
                <c:pt idx="2">
                  <c:v>3057.971014492754</c:v>
                </c:pt>
                <c:pt idx="3">
                  <c:v>3057.971014492754</c:v>
                </c:pt>
                <c:pt idx="4">
                  <c:v>4188.405797101449</c:v>
                </c:pt>
                <c:pt idx="5">
                  <c:v>4710.144927536232</c:v>
                </c:pt>
                <c:pt idx="6">
                  <c:v>4710.144927536232</c:v>
                </c:pt>
                <c:pt idx="7">
                  <c:v>5130.4347826086951</c:v>
                </c:pt>
                <c:pt idx="8">
                  <c:v>5173.9130434782601</c:v>
                </c:pt>
                <c:pt idx="9">
                  <c:v>5985.5072463768111</c:v>
                </c:pt>
                <c:pt idx="10">
                  <c:v>6202.898550724638</c:v>
                </c:pt>
                <c:pt idx="11">
                  <c:v>6492.753623188406</c:v>
                </c:pt>
              </c:numCache>
            </c:numRef>
          </c:xVal>
          <c:yVal>
            <c:numRef>
              <c:f>BSA!$AA$3:$AA$14</c:f>
              <c:numCache>
                <c:formatCode>0.0000</c:formatCode>
                <c:ptCount val="12"/>
                <c:pt idx="0">
                  <c:v>1.228696042618578</c:v>
                </c:pt>
                <c:pt idx="1">
                  <c:v>1.3660745381319404</c:v>
                </c:pt>
                <c:pt idx="2">
                  <c:v>2.7324488575959802</c:v>
                </c:pt>
                <c:pt idx="3">
                  <c:v>2.7582169389440598</c:v>
                </c:pt>
                <c:pt idx="4">
                  <c:v>6.5268045924020512</c:v>
                </c:pt>
                <c:pt idx="5">
                  <c:v>6.5604174922693943</c:v>
                </c:pt>
                <c:pt idx="6">
                  <c:v>6.5604174922693943</c:v>
                </c:pt>
                <c:pt idx="7">
                  <c:v>11.193365523221622</c:v>
                </c:pt>
                <c:pt idx="8">
                  <c:v>15.529050919175464</c:v>
                </c:pt>
                <c:pt idx="9">
                  <c:v>34.214074497340469</c:v>
                </c:pt>
                <c:pt idx="10">
                  <c:v>36.838020022960748</c:v>
                </c:pt>
                <c:pt idx="11">
                  <c:v>72.833203778134461</c:v>
                </c:pt>
              </c:numCache>
            </c:numRef>
          </c:yVal>
          <c:smooth val="0"/>
          <c:extLst>
            <c:ext xmlns:c16="http://schemas.microsoft.com/office/drawing/2014/chart" uri="{C3380CC4-5D6E-409C-BE32-E72D297353CC}">
              <c16:uniqueId val="{00000000-B696-9747-9183-D59F4A2A9604}"/>
            </c:ext>
          </c:extLst>
        </c:ser>
        <c:ser>
          <c:idx val="1"/>
          <c:order val="1"/>
          <c:tx>
            <c:v>pH=5.4</c:v>
          </c:tx>
          <c:spPr>
            <a:ln w="1908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BSA!$L$15:$L$26</c:f>
              <c:numCache>
                <c:formatCode>0.0</c:formatCode>
                <c:ptCount val="12"/>
                <c:pt idx="0">
                  <c:v>1318.8405797101448</c:v>
                </c:pt>
                <c:pt idx="1">
                  <c:v>1884.0579710144928</c:v>
                </c:pt>
                <c:pt idx="2">
                  <c:v>2086.95652173913</c:v>
                </c:pt>
                <c:pt idx="3">
                  <c:v>3391.304347826087</c:v>
                </c:pt>
                <c:pt idx="4">
                  <c:v>3478.2608695652175</c:v>
                </c:pt>
                <c:pt idx="5">
                  <c:v>3550.7246376811595</c:v>
                </c:pt>
                <c:pt idx="6">
                  <c:v>4898.550724637681</c:v>
                </c:pt>
                <c:pt idx="7">
                  <c:v>5724.63768115942</c:v>
                </c:pt>
                <c:pt idx="8">
                  <c:v>5956.521739130435</c:v>
                </c:pt>
                <c:pt idx="9">
                  <c:v>6000</c:v>
                </c:pt>
                <c:pt idx="10">
                  <c:v>6086.95652173913</c:v>
                </c:pt>
                <c:pt idx="11">
                  <c:v>6579.710144927536</c:v>
                </c:pt>
              </c:numCache>
            </c:numRef>
          </c:xVal>
          <c:yVal>
            <c:numRef>
              <c:f>BSA!$AA$15:$AA$26</c:f>
              <c:numCache>
                <c:formatCode>0.0000</c:formatCode>
                <c:ptCount val="12"/>
                <c:pt idx="0">
                  <c:v>1.688771354848253</c:v>
                </c:pt>
                <c:pt idx="1">
                  <c:v>2.3428828844896983</c:v>
                </c:pt>
                <c:pt idx="2">
                  <c:v>2.7140454448169815</c:v>
                </c:pt>
                <c:pt idx="3">
                  <c:v>8.5561117670111546</c:v>
                </c:pt>
                <c:pt idx="4">
                  <c:v>8.7766597948878839</c:v>
                </c:pt>
                <c:pt idx="5">
                  <c:v>8.4342407335279184</c:v>
                </c:pt>
                <c:pt idx="6">
                  <c:v>36.458359372484637</c:v>
                </c:pt>
                <c:pt idx="7">
                  <c:v>121.96868469682302</c:v>
                </c:pt>
                <c:pt idx="8">
                  <c:v>235.27879110265741</c:v>
                </c:pt>
                <c:pt idx="9">
                  <c:v>276.07154292065701</c:v>
                </c:pt>
                <c:pt idx="10">
                  <c:v>343.46259489027022</c:v>
                </c:pt>
                <c:pt idx="11">
                  <c:v>417.19461891292173</c:v>
                </c:pt>
              </c:numCache>
            </c:numRef>
          </c:yVal>
          <c:smooth val="0"/>
          <c:extLst>
            <c:ext xmlns:c16="http://schemas.microsoft.com/office/drawing/2014/chart" uri="{C3380CC4-5D6E-409C-BE32-E72D297353CC}">
              <c16:uniqueId val="{00000001-B696-9747-9183-D59F4A2A9604}"/>
            </c:ext>
          </c:extLst>
        </c:ser>
        <c:ser>
          <c:idx val="2"/>
          <c:order val="2"/>
          <c:tx>
            <c:v>pH=4.5</c:v>
          </c:tx>
          <c:spPr>
            <a:ln w="19080" cap="rnd">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BSA!$L$27:$L$34</c:f>
              <c:numCache>
                <c:formatCode>0.0</c:formatCode>
                <c:ptCount val="8"/>
                <c:pt idx="0">
                  <c:v>1826.0869565217392</c:v>
                </c:pt>
                <c:pt idx="1">
                  <c:v>2637.6811594202895</c:v>
                </c:pt>
                <c:pt idx="2">
                  <c:v>4028.9855072463765</c:v>
                </c:pt>
                <c:pt idx="3">
                  <c:v>4594.202898550725</c:v>
                </c:pt>
                <c:pt idx="4">
                  <c:v>4608.695652173913</c:v>
                </c:pt>
                <c:pt idx="5">
                  <c:v>4971.014492753623</c:v>
                </c:pt>
                <c:pt idx="6">
                  <c:v>6057.971014492754</c:v>
                </c:pt>
                <c:pt idx="7">
                  <c:v>6884.057971014493</c:v>
                </c:pt>
              </c:numCache>
            </c:numRef>
          </c:xVal>
          <c:yVal>
            <c:numRef>
              <c:f>BSA!$AA$27:$AA$34</c:f>
              <c:numCache>
                <c:formatCode>0.0000</c:formatCode>
                <c:ptCount val="8"/>
                <c:pt idx="0">
                  <c:v>2.586826564072247</c:v>
                </c:pt>
                <c:pt idx="1">
                  <c:v>4.1674957322020187</c:v>
                </c:pt>
                <c:pt idx="2">
                  <c:v>6.0706301945268111</c:v>
                </c:pt>
                <c:pt idx="3">
                  <c:v>7.3116664595257905</c:v>
                </c:pt>
                <c:pt idx="4">
                  <c:v>8.24324482571771</c:v>
                </c:pt>
                <c:pt idx="5">
                  <c:v>9.9310190760792558</c:v>
                </c:pt>
                <c:pt idx="6">
                  <c:v>90.902766378776278</c:v>
                </c:pt>
                <c:pt idx="7">
                  <c:v>157.01860922435853</c:v>
                </c:pt>
              </c:numCache>
            </c:numRef>
          </c:yVal>
          <c:smooth val="0"/>
          <c:extLst>
            <c:ext xmlns:c16="http://schemas.microsoft.com/office/drawing/2014/chart" uri="{C3380CC4-5D6E-409C-BE32-E72D297353CC}">
              <c16:uniqueId val="{00000002-B696-9747-9183-D59F4A2A9604}"/>
            </c:ext>
          </c:extLst>
        </c:ser>
        <c:dLbls>
          <c:showLegendKey val="0"/>
          <c:showVal val="0"/>
          <c:showCatName val="0"/>
          <c:showSerName val="0"/>
          <c:showPercent val="0"/>
          <c:showBubbleSize val="0"/>
        </c:dLbls>
        <c:axId val="19245649"/>
        <c:axId val="71906270"/>
      </c:scatterChart>
      <c:valAx>
        <c:axId val="19245649"/>
        <c:scaling>
          <c:orientation val="minMax"/>
          <c:max val="6900"/>
          <c:min val="1200"/>
        </c:scaling>
        <c:delete val="0"/>
        <c:axPos val="b"/>
        <c:title>
          <c:tx>
            <c:rich>
              <a:bodyPr rot="0"/>
              <a:lstStyle/>
              <a:p>
                <a:pPr>
                  <a:defRPr lang="en-GB" sz="1000" b="0" strike="noStrike" spc="-1">
                    <a:solidFill>
                      <a:srgbClr val="595959"/>
                    </a:solidFill>
                    <a:latin typeface="Calibri"/>
                  </a:defRPr>
                </a:pPr>
                <a:r>
                  <a:rPr lang="en-GB" sz="1000" b="0" strike="noStrike" spc="-1">
                    <a:solidFill>
                      <a:srgbClr val="595959"/>
                    </a:solidFill>
                    <a:latin typeface="Calibri"/>
                  </a:rPr>
                  <a:t>Protein Concentration (𝝁M)</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71906270"/>
        <c:crosses val="autoZero"/>
        <c:crossBetween val="midCat"/>
      </c:valAx>
      <c:valAx>
        <c:axId val="71906270"/>
        <c:scaling>
          <c:orientation val="minMax"/>
          <c:max val="150"/>
          <c:min val="0"/>
        </c:scaling>
        <c:delete val="0"/>
        <c:axPos val="l"/>
        <c:majorGridlines>
          <c:spPr>
            <a:ln w="9360">
              <a:solidFill>
                <a:srgbClr val="D9D9D9"/>
              </a:solidFill>
              <a:round/>
            </a:ln>
          </c:spPr>
        </c:majorGridlines>
        <c:title>
          <c:tx>
            <c:rich>
              <a:bodyPr rot="-5400000"/>
              <a:lstStyle/>
              <a:p>
                <a:pPr>
                  <a:defRPr lang="en-GB" sz="1000" b="0" strike="noStrike" spc="-1">
                    <a:solidFill>
                      <a:srgbClr val="595959"/>
                    </a:solidFill>
                    <a:latin typeface="Calibri"/>
                  </a:defRPr>
                </a:pPr>
                <a:r>
                  <a:rPr lang="en-GB" sz="1000" b="0" strike="noStrike" spc="-1">
                    <a:solidFill>
                      <a:srgbClr val="595959"/>
                    </a:solidFill>
                    <a:latin typeface="Calibri"/>
                  </a:rPr>
                  <a:t>𝜸</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19245649"/>
        <c:crosses val="autoZero"/>
        <c:crossBetween val="midCat"/>
      </c:valAx>
      <c:spPr>
        <a:noFill/>
        <a:ln w="0">
          <a:noFill/>
        </a:ln>
      </c:spPr>
    </c:plotArea>
    <c:legend>
      <c:legendPos val="r"/>
      <c:layout>
        <c:manualLayout>
          <c:xMode val="edge"/>
          <c:yMode val="edge"/>
          <c:x val="0.163319335083115"/>
          <c:y val="7.7256124234470702E-2"/>
          <c:w val="0.15612510936133001"/>
          <c:h val="0.23437664041994799"/>
        </c:manualLayout>
      </c:layout>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0.15715763507599301"/>
          <c:y val="5.0960512273212397E-2"/>
          <c:w val="0.791199172435744"/>
          <c:h val="0.74332977588047"/>
        </c:manualLayout>
      </c:layout>
      <c:scatterChart>
        <c:scatterStyle val="lineMarker"/>
        <c:varyColors val="0"/>
        <c:ser>
          <c:idx val="0"/>
          <c:order val="0"/>
          <c:tx>
            <c:v>pH=7.4</c:v>
          </c:tx>
          <c:spPr>
            <a:ln w="19080" cap="rnd">
              <a:solidFill>
                <a:srgbClr val="0070C0"/>
              </a:solidFill>
              <a:round/>
            </a:ln>
          </c:spPr>
          <c:marker>
            <c:symbol val="circle"/>
            <c:size val="5"/>
            <c:spPr>
              <a:solidFill>
                <a:srgbClr val="0070C0"/>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BSA!$L$3:$L$14</c:f>
              <c:numCache>
                <c:formatCode>0.0</c:formatCode>
                <c:ptCount val="12"/>
                <c:pt idx="0">
                  <c:v>1217.391304347826</c:v>
                </c:pt>
                <c:pt idx="1">
                  <c:v>1318.8405797101448</c:v>
                </c:pt>
                <c:pt idx="2">
                  <c:v>3057.971014492754</c:v>
                </c:pt>
                <c:pt idx="3">
                  <c:v>3057.971014492754</c:v>
                </c:pt>
                <c:pt idx="4">
                  <c:v>4188.405797101449</c:v>
                </c:pt>
                <c:pt idx="5">
                  <c:v>4710.144927536232</c:v>
                </c:pt>
                <c:pt idx="6">
                  <c:v>4710.144927536232</c:v>
                </c:pt>
                <c:pt idx="7">
                  <c:v>5130.4347826086951</c:v>
                </c:pt>
                <c:pt idx="8">
                  <c:v>5173.9130434782601</c:v>
                </c:pt>
                <c:pt idx="9">
                  <c:v>5985.5072463768111</c:v>
                </c:pt>
                <c:pt idx="10">
                  <c:v>6202.898550724638</c:v>
                </c:pt>
                <c:pt idx="11">
                  <c:v>6492.753623188406</c:v>
                </c:pt>
              </c:numCache>
            </c:numRef>
          </c:xVal>
          <c:yVal>
            <c:numRef>
              <c:f>BSA!$AA$3:$AA$14</c:f>
              <c:numCache>
                <c:formatCode>0.0000</c:formatCode>
                <c:ptCount val="12"/>
                <c:pt idx="0">
                  <c:v>1.228696042618578</c:v>
                </c:pt>
                <c:pt idx="1">
                  <c:v>1.3660745381319404</c:v>
                </c:pt>
                <c:pt idx="2">
                  <c:v>2.7324488575959802</c:v>
                </c:pt>
                <c:pt idx="3">
                  <c:v>2.7582169389440598</c:v>
                </c:pt>
                <c:pt idx="4">
                  <c:v>6.5268045924020512</c:v>
                </c:pt>
                <c:pt idx="5">
                  <c:v>6.5604174922693943</c:v>
                </c:pt>
                <c:pt idx="6">
                  <c:v>6.5604174922693943</c:v>
                </c:pt>
                <c:pt idx="7">
                  <c:v>11.193365523221622</c:v>
                </c:pt>
                <c:pt idx="8">
                  <c:v>15.529050919175464</c:v>
                </c:pt>
                <c:pt idx="9">
                  <c:v>34.214074497340469</c:v>
                </c:pt>
                <c:pt idx="10">
                  <c:v>36.838020022960748</c:v>
                </c:pt>
                <c:pt idx="11">
                  <c:v>72.833203778134461</c:v>
                </c:pt>
              </c:numCache>
            </c:numRef>
          </c:yVal>
          <c:smooth val="0"/>
          <c:extLst>
            <c:ext xmlns:c16="http://schemas.microsoft.com/office/drawing/2014/chart" uri="{C3380CC4-5D6E-409C-BE32-E72D297353CC}">
              <c16:uniqueId val="{00000000-1A19-684B-9721-B54BE44EB915}"/>
            </c:ext>
          </c:extLst>
        </c:ser>
        <c:ser>
          <c:idx val="1"/>
          <c:order val="1"/>
          <c:tx>
            <c:v>pH=5.4</c:v>
          </c:tx>
          <c:spPr>
            <a:ln w="19080" cap="rnd">
              <a:solidFill>
                <a:srgbClr val="FF0000"/>
              </a:solidFill>
              <a:round/>
            </a:ln>
          </c:spPr>
          <c:marker>
            <c:symbol val="circle"/>
            <c:size val="5"/>
            <c:spPr>
              <a:solidFill>
                <a:srgbClr val="FF0000"/>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BSA!$L$15:$L$26</c:f>
              <c:numCache>
                <c:formatCode>0.0</c:formatCode>
                <c:ptCount val="12"/>
                <c:pt idx="0">
                  <c:v>1318.8405797101448</c:v>
                </c:pt>
                <c:pt idx="1">
                  <c:v>1884.0579710144928</c:v>
                </c:pt>
                <c:pt idx="2">
                  <c:v>2086.95652173913</c:v>
                </c:pt>
                <c:pt idx="3">
                  <c:v>3391.304347826087</c:v>
                </c:pt>
                <c:pt idx="4">
                  <c:v>3478.2608695652175</c:v>
                </c:pt>
                <c:pt idx="5">
                  <c:v>3550.7246376811595</c:v>
                </c:pt>
                <c:pt idx="6">
                  <c:v>4898.550724637681</c:v>
                </c:pt>
                <c:pt idx="7">
                  <c:v>5724.63768115942</c:v>
                </c:pt>
                <c:pt idx="8">
                  <c:v>5956.521739130435</c:v>
                </c:pt>
                <c:pt idx="9">
                  <c:v>6000</c:v>
                </c:pt>
                <c:pt idx="10">
                  <c:v>6086.95652173913</c:v>
                </c:pt>
                <c:pt idx="11">
                  <c:v>6579.710144927536</c:v>
                </c:pt>
              </c:numCache>
            </c:numRef>
          </c:xVal>
          <c:yVal>
            <c:numRef>
              <c:f>BSA!$AA$15:$AA$26</c:f>
              <c:numCache>
                <c:formatCode>0.0000</c:formatCode>
                <c:ptCount val="12"/>
                <c:pt idx="0">
                  <c:v>1.688771354848253</c:v>
                </c:pt>
                <c:pt idx="1">
                  <c:v>2.3428828844896983</c:v>
                </c:pt>
                <c:pt idx="2">
                  <c:v>2.7140454448169815</c:v>
                </c:pt>
                <c:pt idx="3">
                  <c:v>8.5561117670111546</c:v>
                </c:pt>
                <c:pt idx="4">
                  <c:v>8.7766597948878839</c:v>
                </c:pt>
                <c:pt idx="5">
                  <c:v>8.4342407335279184</c:v>
                </c:pt>
                <c:pt idx="6">
                  <c:v>36.458359372484637</c:v>
                </c:pt>
                <c:pt idx="7">
                  <c:v>121.96868469682302</c:v>
                </c:pt>
                <c:pt idx="8">
                  <c:v>235.27879110265741</c:v>
                </c:pt>
                <c:pt idx="9">
                  <c:v>276.07154292065701</c:v>
                </c:pt>
                <c:pt idx="10">
                  <c:v>343.46259489027022</c:v>
                </c:pt>
                <c:pt idx="11">
                  <c:v>417.19461891292173</c:v>
                </c:pt>
              </c:numCache>
            </c:numRef>
          </c:yVal>
          <c:smooth val="0"/>
          <c:extLst>
            <c:ext xmlns:c16="http://schemas.microsoft.com/office/drawing/2014/chart" uri="{C3380CC4-5D6E-409C-BE32-E72D297353CC}">
              <c16:uniqueId val="{00000001-1A19-684B-9721-B54BE44EB915}"/>
            </c:ext>
          </c:extLst>
        </c:ser>
        <c:ser>
          <c:idx val="2"/>
          <c:order val="2"/>
          <c:tx>
            <c:v>pH=4.5</c:v>
          </c:tx>
          <c:spPr>
            <a:ln w="19080" cap="rnd">
              <a:solidFill>
                <a:srgbClr val="00B050"/>
              </a:solidFill>
              <a:round/>
            </a:ln>
          </c:spPr>
          <c:marker>
            <c:symbol val="circle"/>
            <c:size val="5"/>
            <c:spPr>
              <a:solidFill>
                <a:srgbClr val="00B050"/>
              </a:solidFill>
            </c:spPr>
          </c:marker>
          <c:dLbls>
            <c:spPr>
              <a:noFill/>
              <a:ln>
                <a:noFill/>
              </a:ln>
              <a:effectLst/>
            </c:spPr>
            <c:txPr>
              <a:bodyPr wrap="square"/>
              <a:lstStyle/>
              <a:p>
                <a:pPr>
                  <a:defRPr sz="1000" b="0" strike="noStrike" spc="-1">
                    <a:solidFill>
                      <a:srgbClr val="000000"/>
                    </a:solidFill>
                    <a:latin typeface="Calibri"/>
                  </a:defRPr>
                </a:pPr>
                <a:endParaRPr lang="en-DE"/>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BSA!$L$27:$L$34</c:f>
              <c:numCache>
                <c:formatCode>0.0</c:formatCode>
                <c:ptCount val="8"/>
                <c:pt idx="0">
                  <c:v>1826.0869565217392</c:v>
                </c:pt>
                <c:pt idx="1">
                  <c:v>2637.6811594202895</c:v>
                </c:pt>
                <c:pt idx="2">
                  <c:v>4028.9855072463765</c:v>
                </c:pt>
                <c:pt idx="3">
                  <c:v>4594.202898550725</c:v>
                </c:pt>
                <c:pt idx="4">
                  <c:v>4608.695652173913</c:v>
                </c:pt>
                <c:pt idx="5">
                  <c:v>4971.014492753623</c:v>
                </c:pt>
                <c:pt idx="6">
                  <c:v>6057.971014492754</c:v>
                </c:pt>
                <c:pt idx="7">
                  <c:v>6884.057971014493</c:v>
                </c:pt>
              </c:numCache>
            </c:numRef>
          </c:xVal>
          <c:yVal>
            <c:numRef>
              <c:f>BSA!$AA$27:$AA$34</c:f>
              <c:numCache>
                <c:formatCode>0.0000</c:formatCode>
                <c:ptCount val="8"/>
                <c:pt idx="0">
                  <c:v>2.586826564072247</c:v>
                </c:pt>
                <c:pt idx="1">
                  <c:v>4.1674957322020187</c:v>
                </c:pt>
                <c:pt idx="2">
                  <c:v>6.0706301945268111</c:v>
                </c:pt>
                <c:pt idx="3">
                  <c:v>7.3116664595257905</c:v>
                </c:pt>
                <c:pt idx="4">
                  <c:v>8.24324482571771</c:v>
                </c:pt>
                <c:pt idx="5">
                  <c:v>9.9310190760792558</c:v>
                </c:pt>
                <c:pt idx="6">
                  <c:v>90.902766378776278</c:v>
                </c:pt>
                <c:pt idx="7">
                  <c:v>157.01860922435853</c:v>
                </c:pt>
              </c:numCache>
            </c:numRef>
          </c:yVal>
          <c:smooth val="0"/>
          <c:extLst>
            <c:ext xmlns:c16="http://schemas.microsoft.com/office/drawing/2014/chart" uri="{C3380CC4-5D6E-409C-BE32-E72D297353CC}">
              <c16:uniqueId val="{00000002-1A19-684B-9721-B54BE44EB915}"/>
            </c:ext>
          </c:extLst>
        </c:ser>
        <c:dLbls>
          <c:showLegendKey val="0"/>
          <c:showVal val="0"/>
          <c:showCatName val="0"/>
          <c:showSerName val="0"/>
          <c:showPercent val="0"/>
          <c:showBubbleSize val="0"/>
        </c:dLbls>
        <c:axId val="99421044"/>
        <c:axId val="96015818"/>
      </c:scatterChart>
      <c:valAx>
        <c:axId val="99421044"/>
        <c:scaling>
          <c:orientation val="minMax"/>
          <c:max val="5000"/>
          <c:min val="1200"/>
        </c:scaling>
        <c:delete val="0"/>
        <c:axPos val="b"/>
        <c:title>
          <c:tx>
            <c:rich>
              <a:bodyPr rot="0"/>
              <a:lstStyle/>
              <a:p>
                <a:pPr>
                  <a:defRPr lang="en-GB" sz="1000" b="0" strike="noStrike" spc="-1">
                    <a:solidFill>
                      <a:srgbClr val="595959"/>
                    </a:solidFill>
                    <a:latin typeface="Calibri"/>
                  </a:defRPr>
                </a:pPr>
                <a:r>
                  <a:rPr lang="en-GB" sz="1000" b="0" strike="noStrike" spc="-1">
                    <a:solidFill>
                      <a:srgbClr val="595959"/>
                    </a:solidFill>
                    <a:latin typeface="Calibri"/>
                  </a:rPr>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6015818"/>
        <c:crosses val="autoZero"/>
        <c:crossBetween val="midCat"/>
      </c:valAx>
      <c:valAx>
        <c:axId val="96015818"/>
        <c:scaling>
          <c:orientation val="minMax"/>
          <c:max val="5"/>
          <c:min val="1"/>
        </c:scaling>
        <c:delete val="0"/>
        <c:axPos val="l"/>
        <c:majorGridlines>
          <c:spPr>
            <a:ln w="9360">
              <a:solidFill>
                <a:srgbClr val="D9D9D9"/>
              </a:solidFill>
              <a:round/>
            </a:ln>
          </c:spPr>
        </c:majorGridlines>
        <c:title>
          <c:tx>
            <c:rich>
              <a:bodyPr rot="-5400000"/>
              <a:lstStyle/>
              <a:p>
                <a:pPr>
                  <a:defRPr lang="en-GB" sz="1000" b="0" strike="noStrike" spc="-1">
                    <a:solidFill>
                      <a:srgbClr val="595959"/>
                    </a:solidFill>
                    <a:latin typeface="Calibri"/>
                  </a:defRPr>
                </a:pPr>
                <a:r>
                  <a:rPr lang="en-GB" sz="1000" b="0" strike="noStrike" spc="-1">
                    <a:solidFill>
                      <a:srgbClr val="595959"/>
                    </a:solidFill>
                    <a:latin typeface="Calibri"/>
                  </a:rPr>
                  <a:t>𝜸</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Calibri"/>
              </a:defRPr>
            </a:pPr>
            <a:endParaRPr lang="en-DE"/>
          </a:p>
        </c:txPr>
        <c:crossAx val="99421044"/>
        <c:crosses val="autoZero"/>
        <c:crossBetween val="midCat"/>
      </c:valAx>
      <c:spPr>
        <a:noFill/>
        <a:ln w="0">
          <a:noFill/>
        </a:ln>
      </c:spPr>
    </c:plotArea>
    <c:legend>
      <c:legendPos val="r"/>
      <c:layout>
        <c:manualLayout>
          <c:xMode val="edge"/>
          <c:yMode val="edge"/>
          <c:x val="0.163319335083115"/>
          <c:y val="7.7256124234470702E-2"/>
          <c:w val="0.15612510936133001"/>
          <c:h val="0.23437664041994799"/>
        </c:manualLayout>
      </c:layout>
      <c:overlay val="0"/>
      <c:spPr>
        <a:noFill/>
        <a:ln w="0">
          <a:noFill/>
        </a:ln>
      </c:spPr>
      <c:txPr>
        <a:bodyPr/>
        <a:lstStyle/>
        <a:p>
          <a:pPr>
            <a:defRPr sz="900" b="0" strike="noStrike" spc="-1">
              <a:solidFill>
                <a:srgbClr val="595959"/>
              </a:solidFill>
              <a:latin typeface="Calibri"/>
            </a:defRPr>
          </a:pPr>
          <a:endParaRPr lang="en-DE"/>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272880</xdr:colOff>
      <xdr:row>34</xdr:row>
      <xdr:rowOff>57240</xdr:rowOff>
    </xdr:from>
    <xdr:to>
      <xdr:col>14</xdr:col>
      <xdr:colOff>450000</xdr:colOff>
      <xdr:row>47</xdr:row>
      <xdr:rowOff>158040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476280</xdr:colOff>
      <xdr:row>34</xdr:row>
      <xdr:rowOff>57240</xdr:rowOff>
    </xdr:from>
    <xdr:to>
      <xdr:col>20</xdr:col>
      <xdr:colOff>374040</xdr:colOff>
      <xdr:row>47</xdr:row>
      <xdr:rowOff>158040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387360</xdr:colOff>
      <xdr:row>34</xdr:row>
      <xdr:rowOff>57240</xdr:rowOff>
    </xdr:from>
    <xdr:to>
      <xdr:col>26</xdr:col>
      <xdr:colOff>5760</xdr:colOff>
      <xdr:row>47</xdr:row>
      <xdr:rowOff>158040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177840</xdr:colOff>
      <xdr:row>4</xdr:row>
      <xdr:rowOff>127080</xdr:rowOff>
    </xdr:from>
    <xdr:to>
      <xdr:col>32</xdr:col>
      <xdr:colOff>621720</xdr:colOff>
      <xdr:row>18</xdr:row>
      <xdr:rowOff>24840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27</xdr:col>
      <xdr:colOff>228600</xdr:colOff>
      <xdr:row>19</xdr:row>
      <xdr:rowOff>101520</xdr:rowOff>
    </xdr:from>
    <xdr:to>
      <xdr:col>32</xdr:col>
      <xdr:colOff>672480</xdr:colOff>
      <xdr:row>32</xdr:row>
      <xdr:rowOff>199440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7"/>
  <sheetViews>
    <sheetView tabSelected="1" topLeftCell="I19" zoomScaleNormal="100" workbookViewId="0">
      <selection activeCell="AA39" sqref="AA39"/>
    </sheetView>
  </sheetViews>
  <sheetFormatPr baseColWidth="10" defaultColWidth="10.6640625" defaultRowHeight="16" x14ac:dyDescent="0.2"/>
  <cols>
    <col min="1" max="1" width="11.83203125" customWidth="1"/>
    <col min="8" max="8" width="11" customWidth="1"/>
    <col min="14" max="14" width="14.33203125" customWidth="1"/>
    <col min="15" max="15" width="14.83203125" customWidth="1"/>
    <col min="17" max="17" width="9.6640625" customWidth="1"/>
    <col min="18" max="18" width="8.6640625" customWidth="1"/>
    <col min="20" max="20" width="6.6640625" customWidth="1"/>
  </cols>
  <sheetData>
    <row r="1" spans="1:27" ht="15.75" customHeight="1" x14ac:dyDescent="0.2">
      <c r="A1" t="s">
        <v>0</v>
      </c>
      <c r="B1">
        <v>8.3144626181532395</v>
      </c>
    </row>
    <row r="2" spans="1:27" ht="15.75" customHeight="1" x14ac:dyDescent="0.2">
      <c r="A2" t="s">
        <v>1</v>
      </c>
      <c r="B2">
        <f>25+273.15</f>
        <v>298.14999999999998</v>
      </c>
      <c r="D2" s="3" t="s">
        <v>2</v>
      </c>
      <c r="E2" s="4" t="s">
        <v>3</v>
      </c>
      <c r="F2" s="5" t="s">
        <v>4</v>
      </c>
      <c r="G2" s="5" t="s">
        <v>5</v>
      </c>
      <c r="H2" s="5" t="s">
        <v>6</v>
      </c>
      <c r="I2" s="5" t="s">
        <v>7</v>
      </c>
      <c r="J2" s="5" t="s">
        <v>8</v>
      </c>
      <c r="K2" s="4" t="s">
        <v>9</v>
      </c>
      <c r="L2" s="4" t="s">
        <v>10</v>
      </c>
      <c r="M2" s="5" t="s">
        <v>11</v>
      </c>
      <c r="N2" s="5" t="s">
        <v>12</v>
      </c>
      <c r="O2" s="5" t="s">
        <v>13</v>
      </c>
      <c r="P2" s="5" t="s">
        <v>14</v>
      </c>
      <c r="Q2" s="5" t="s">
        <v>15</v>
      </c>
      <c r="R2" s="5" t="s">
        <v>16</v>
      </c>
      <c r="S2" s="5" t="s">
        <v>17</v>
      </c>
      <c r="T2" s="5" t="s">
        <v>18</v>
      </c>
      <c r="U2" s="5" t="s">
        <v>19</v>
      </c>
      <c r="V2" s="5" t="s">
        <v>20</v>
      </c>
      <c r="W2" s="5" t="s">
        <v>21</v>
      </c>
      <c r="X2" s="5" t="s">
        <v>22</v>
      </c>
      <c r="Y2" s="5" t="s">
        <v>23</v>
      </c>
      <c r="Z2" s="4" t="s">
        <v>24</v>
      </c>
      <c r="AA2" s="6" t="s">
        <v>25</v>
      </c>
    </row>
    <row r="3" spans="1:27" ht="15.75" customHeight="1" x14ac:dyDescent="0.2">
      <c r="D3" s="2">
        <f>AVERAGE(E3:E14)</f>
        <v>7.415</v>
      </c>
      <c r="E3" s="7">
        <v>7.35</v>
      </c>
      <c r="F3" s="8">
        <f>10^-D3</f>
        <v>3.8459178204535353E-8</v>
      </c>
      <c r="G3" s="8">
        <f t="shared" ref="G3:G34" si="0">0.00000000000001/F3</f>
        <v>2.6001595631652723E-7</v>
      </c>
      <c r="H3" s="9">
        <f>AVERAGE(I3:I14)</f>
        <v>-20.466666666666669</v>
      </c>
      <c r="I3" s="9">
        <v>-20.2</v>
      </c>
      <c r="J3" s="10">
        <v>84</v>
      </c>
      <c r="K3" s="11">
        <f t="shared" ref="K3:K34" si="1">J3/$B$16</f>
        <v>1.217391304347826E-3</v>
      </c>
      <c r="L3" s="12">
        <f t="shared" ref="L3:L34" si="2">1000000*K3</f>
        <v>1217.391304347826</v>
      </c>
      <c r="M3" s="13">
        <f t="shared" ref="M3:M34" si="3">K3/($B$9*(1-K3*$B$16*$B$5/1000) - N3*($B$11+$B$12) - F3*$B$13 - G3*$B$14 - P3*65.0099)</f>
        <v>1.313491185296627E-6</v>
      </c>
      <c r="N3" s="10">
        <v>0.15</v>
      </c>
      <c r="O3" s="13">
        <f t="shared" ref="O3:O34" si="4">N3/($B$9*(1-K3*$B$16*$B$5/1000) - N3*($B$11+$B$12) - F3*$B$13 - G3*$B$14 - P3*65.0099)</f>
        <v>1.6184087818833443E-4</v>
      </c>
      <c r="P3" s="13">
        <v>1.5382271999999999E-4</v>
      </c>
      <c r="Q3" s="9">
        <v>48</v>
      </c>
      <c r="R3" s="9">
        <f t="shared" ref="R3:R34" si="5">Q3*133.322</f>
        <v>6399.4560000000001</v>
      </c>
      <c r="S3" s="9">
        <f t="shared" ref="S3:S34" si="6">$B$1*$B$2*$B$9*1000*(M3+0.25*H3*H3*M3*M3/O3)</f>
        <v>6005.4012408074404</v>
      </c>
      <c r="T3" s="14">
        <f t="shared" ref="T3:T34" si="7">R3/S3</f>
        <v>1.0656167245770207</v>
      </c>
      <c r="U3" s="15">
        <f t="shared" ref="U3:U34" si="8">T3-1</f>
        <v>6.5616724577020724E-2</v>
      </c>
      <c r="V3" s="15">
        <f t="shared" ref="V3:V14" si="9">$W$3 + $W$4*M3 + $W$5*M3*M3 + $W$6*M3*M3*M3 + $W$7*M3*M3*M3*M3</f>
        <v>0.15069580941356553</v>
      </c>
      <c r="W3" s="16">
        <v>0</v>
      </c>
      <c r="X3" s="17">
        <f t="shared" ref="X3:X34" si="10">U3-V3</f>
        <v>-8.5079084836544805E-2</v>
      </c>
      <c r="Y3" s="17">
        <f t="shared" ref="Y3:Y34" si="11">X3*X3</f>
        <v>7.2384506766239882E-3</v>
      </c>
      <c r="Z3" s="18">
        <f t="shared" ref="Z3:Z14" si="12">EXP(U3+$W$4*M3+$W$5*M3*M3/2+$W$6*M3*M3*M3/3+$W$7*M3*M3*M3*M3/4)</f>
        <v>1.228696042618578</v>
      </c>
      <c r="AA3" s="19">
        <f t="shared" ref="AA3:AA34" si="13">Z3</f>
        <v>1.228696042618578</v>
      </c>
    </row>
    <row r="4" spans="1:27" ht="15.75" customHeight="1" x14ac:dyDescent="0.2">
      <c r="D4" s="2"/>
      <c r="E4" s="20">
        <v>7.37</v>
      </c>
      <c r="F4" s="21">
        <f t="shared" ref="F4:F14" si="14">F3</f>
        <v>3.8459178204535353E-8</v>
      </c>
      <c r="G4" s="21">
        <f t="shared" si="0"/>
        <v>2.6001595631652723E-7</v>
      </c>
      <c r="H4" s="22">
        <f t="shared" ref="H4:H14" si="15">H3</f>
        <v>-20.466666666666669</v>
      </c>
      <c r="I4" s="22">
        <v>-20.3</v>
      </c>
      <c r="J4" s="23">
        <v>91</v>
      </c>
      <c r="K4" s="24">
        <f t="shared" si="1"/>
        <v>1.3188405797101448E-3</v>
      </c>
      <c r="L4" s="25">
        <f t="shared" si="2"/>
        <v>1318.8405797101448</v>
      </c>
      <c r="M4" s="26">
        <f t="shared" si="3"/>
        <v>1.4308462380954167E-6</v>
      </c>
      <c r="N4" s="23">
        <v>0.15</v>
      </c>
      <c r="O4" s="26">
        <f t="shared" si="4"/>
        <v>1.6273910510206113E-4</v>
      </c>
      <c r="P4" s="26">
        <v>1.5382271999999999E-4</v>
      </c>
      <c r="Q4" s="22">
        <v>59</v>
      </c>
      <c r="R4" s="22">
        <f t="shared" si="5"/>
        <v>7865.9980000000005</v>
      </c>
      <c r="S4" s="22">
        <f t="shared" si="6"/>
        <v>6792.4253812225425</v>
      </c>
      <c r="T4" s="27">
        <f t="shared" si="7"/>
        <v>1.1580543853665757</v>
      </c>
      <c r="U4" s="28">
        <f t="shared" si="8"/>
        <v>0.15805438536657568</v>
      </c>
      <c r="V4" s="28">
        <f t="shared" si="9"/>
        <v>0.16626366502768378</v>
      </c>
      <c r="W4" s="29">
        <v>99257.120346995594</v>
      </c>
      <c r="X4" s="30">
        <f t="shared" si="10"/>
        <v>-8.2092796611080987E-3</v>
      </c>
      <c r="Y4" s="30">
        <f t="shared" si="11"/>
        <v>6.7392272554283106E-5</v>
      </c>
      <c r="Z4" s="31">
        <f t="shared" si="12"/>
        <v>1.3660745381319404</v>
      </c>
      <c r="AA4" s="32">
        <f t="shared" si="13"/>
        <v>1.3660745381319404</v>
      </c>
    </row>
    <row r="5" spans="1:27" ht="15.75" customHeight="1" x14ac:dyDescent="0.2">
      <c r="A5" t="s">
        <v>26</v>
      </c>
      <c r="B5">
        <v>0.73299999999999998</v>
      </c>
      <c r="C5" t="s">
        <v>27</v>
      </c>
      <c r="D5" s="2"/>
      <c r="E5" s="20">
        <v>7.4</v>
      </c>
      <c r="F5" s="21">
        <f t="shared" si="14"/>
        <v>3.8459178204535353E-8</v>
      </c>
      <c r="G5" s="21">
        <f t="shared" si="0"/>
        <v>2.6001595631652723E-7</v>
      </c>
      <c r="H5" s="22">
        <f t="shared" si="15"/>
        <v>-20.466666666666669</v>
      </c>
      <c r="I5" s="22">
        <v>-20.399999999999999</v>
      </c>
      <c r="J5" s="23">
        <v>211</v>
      </c>
      <c r="K5" s="24">
        <f t="shared" si="1"/>
        <v>3.0579710144927538E-3</v>
      </c>
      <c r="L5" s="25">
        <f t="shared" si="2"/>
        <v>3057.971014492754</v>
      </c>
      <c r="M5" s="26">
        <f t="shared" si="3"/>
        <v>3.666523901094225E-6</v>
      </c>
      <c r="N5" s="23">
        <v>0.15</v>
      </c>
      <c r="O5" s="26">
        <f t="shared" si="4"/>
        <v>1.7985081694940866E-4</v>
      </c>
      <c r="P5" s="26">
        <v>1.5382271999999999E-4</v>
      </c>
      <c r="Q5" s="22">
        <v>332</v>
      </c>
      <c r="R5" s="22">
        <f t="shared" si="5"/>
        <v>44262.904000000002</v>
      </c>
      <c r="S5" s="22">
        <f t="shared" si="6"/>
        <v>28408.05883579468</v>
      </c>
      <c r="T5" s="27">
        <f t="shared" si="7"/>
        <v>1.5581108253770555</v>
      </c>
      <c r="U5" s="28">
        <f t="shared" si="8"/>
        <v>0.55811082537705548</v>
      </c>
      <c r="V5" s="28">
        <f t="shared" si="9"/>
        <v>0.53885209953356628</v>
      </c>
      <c r="W5" s="29">
        <v>11091376221.2295</v>
      </c>
      <c r="X5" s="30">
        <f t="shared" si="10"/>
        <v>1.9258725843489199E-2</v>
      </c>
      <c r="Y5" s="30">
        <f t="shared" si="11"/>
        <v>3.7089852111467879E-4</v>
      </c>
      <c r="Z5" s="31">
        <f t="shared" si="12"/>
        <v>2.7324488575959802</v>
      </c>
      <c r="AA5" s="32">
        <f t="shared" si="13"/>
        <v>2.7324488575959802</v>
      </c>
    </row>
    <row r="6" spans="1:27" ht="15.75" customHeight="1" x14ac:dyDescent="0.2">
      <c r="A6" t="s">
        <v>28</v>
      </c>
      <c r="B6" t="s">
        <v>29</v>
      </c>
      <c r="D6" s="2"/>
      <c r="E6" s="20">
        <v>7.46</v>
      </c>
      <c r="F6" s="21">
        <f t="shared" si="14"/>
        <v>3.8459178204535353E-8</v>
      </c>
      <c r="G6" s="21">
        <f t="shared" si="0"/>
        <v>2.6001595631652723E-7</v>
      </c>
      <c r="H6" s="22">
        <f t="shared" si="15"/>
        <v>-20.466666666666669</v>
      </c>
      <c r="I6" s="22">
        <v>-20.6</v>
      </c>
      <c r="J6" s="23">
        <v>211</v>
      </c>
      <c r="K6" s="24">
        <f t="shared" si="1"/>
        <v>3.0579710144927538E-3</v>
      </c>
      <c r="L6" s="25">
        <f t="shared" si="2"/>
        <v>3057.971014492754</v>
      </c>
      <c r="M6" s="26">
        <f t="shared" si="3"/>
        <v>3.666523901094225E-6</v>
      </c>
      <c r="N6" s="23">
        <v>0.15</v>
      </c>
      <c r="O6" s="26">
        <f t="shared" si="4"/>
        <v>1.7985081694940866E-4</v>
      </c>
      <c r="P6" s="26">
        <v>1.5382271999999999E-4</v>
      </c>
      <c r="Q6" s="22">
        <v>334</v>
      </c>
      <c r="R6" s="22">
        <f t="shared" si="5"/>
        <v>44529.548000000003</v>
      </c>
      <c r="S6" s="22">
        <f t="shared" si="6"/>
        <v>28408.05883579468</v>
      </c>
      <c r="T6" s="27">
        <f t="shared" si="7"/>
        <v>1.5674970351684836</v>
      </c>
      <c r="U6" s="28">
        <f t="shared" si="8"/>
        <v>0.5674970351684836</v>
      </c>
      <c r="V6" s="28">
        <f t="shared" si="9"/>
        <v>0.53885209953356628</v>
      </c>
      <c r="W6" s="29">
        <v>523786445783337</v>
      </c>
      <c r="X6" s="30">
        <f t="shared" si="10"/>
        <v>2.8644935634917323E-2</v>
      </c>
      <c r="Y6" s="30">
        <f t="shared" si="11"/>
        <v>8.2053233752855633E-4</v>
      </c>
      <c r="Z6" s="31">
        <f t="shared" si="12"/>
        <v>2.7582169389440598</v>
      </c>
      <c r="AA6" s="32">
        <f t="shared" si="13"/>
        <v>2.7582169389440598</v>
      </c>
    </row>
    <row r="7" spans="1:27" ht="15.75" customHeight="1" x14ac:dyDescent="0.2">
      <c r="A7" t="s">
        <v>30</v>
      </c>
      <c r="D7" s="2"/>
      <c r="E7" s="20">
        <v>7.48</v>
      </c>
      <c r="F7" s="21">
        <f t="shared" si="14"/>
        <v>3.8459178204535353E-8</v>
      </c>
      <c r="G7" s="21">
        <f t="shared" si="0"/>
        <v>2.6001595631652723E-7</v>
      </c>
      <c r="H7" s="22">
        <f t="shared" si="15"/>
        <v>-20.466666666666669</v>
      </c>
      <c r="I7" s="22">
        <v>-20.7</v>
      </c>
      <c r="J7" s="23">
        <v>289</v>
      </c>
      <c r="K7" s="24">
        <f t="shared" si="1"/>
        <v>4.1884057971014492E-3</v>
      </c>
      <c r="L7" s="25">
        <f t="shared" si="2"/>
        <v>4188.405797101449</v>
      </c>
      <c r="M7" s="26">
        <f t="shared" si="3"/>
        <v>5.3903304015775887E-6</v>
      </c>
      <c r="N7" s="23">
        <v>0.15</v>
      </c>
      <c r="O7" s="26">
        <f t="shared" si="4"/>
        <v>1.9304470469317663E-4</v>
      </c>
      <c r="P7" s="26">
        <v>1.5382271999999999E-4</v>
      </c>
      <c r="Q7" s="22">
        <v>844</v>
      </c>
      <c r="R7" s="22">
        <f t="shared" si="5"/>
        <v>112523.768</v>
      </c>
      <c r="S7" s="22">
        <f t="shared" si="6"/>
        <v>52278.034025234716</v>
      </c>
      <c r="T7" s="27">
        <f t="shared" si="7"/>
        <v>2.1524100915058231</v>
      </c>
      <c r="U7" s="28">
        <f t="shared" si="8"/>
        <v>1.1524100915058231</v>
      </c>
      <c r="V7" s="28">
        <f t="shared" si="9"/>
        <v>0.93933118289213102</v>
      </c>
      <c r="W7" s="29">
        <v>0</v>
      </c>
      <c r="X7" s="30">
        <f t="shared" si="10"/>
        <v>0.21307890861369205</v>
      </c>
      <c r="Y7" s="30">
        <f t="shared" si="11"/>
        <v>4.540262129600213E-2</v>
      </c>
      <c r="Z7" s="31">
        <f t="shared" si="12"/>
        <v>6.5268045924020512</v>
      </c>
      <c r="AA7" s="32">
        <f t="shared" si="13"/>
        <v>6.5268045924020512</v>
      </c>
    </row>
    <row r="8" spans="1:27" ht="15.75" customHeight="1" x14ac:dyDescent="0.2">
      <c r="D8" s="2"/>
      <c r="E8" s="20">
        <v>7.34</v>
      </c>
      <c r="F8" s="21">
        <f t="shared" si="14"/>
        <v>3.8459178204535353E-8</v>
      </c>
      <c r="G8" s="21">
        <f t="shared" si="0"/>
        <v>2.6001595631652723E-7</v>
      </c>
      <c r="H8" s="22">
        <f t="shared" si="15"/>
        <v>-20.466666666666669</v>
      </c>
      <c r="I8" s="22">
        <v>-20.2</v>
      </c>
      <c r="J8" s="23">
        <v>325</v>
      </c>
      <c r="K8" s="24">
        <f t="shared" si="1"/>
        <v>4.7101449275362322E-3</v>
      </c>
      <c r="L8" s="25">
        <f t="shared" si="2"/>
        <v>4710.144927536232</v>
      </c>
      <c r="M8" s="26">
        <f t="shared" si="3"/>
        <v>6.2742264097819643E-6</v>
      </c>
      <c r="N8" s="23">
        <v>0.15</v>
      </c>
      <c r="O8" s="26">
        <f t="shared" si="4"/>
        <v>1.9980997951151791E-4</v>
      </c>
      <c r="P8" s="26">
        <v>1.5382271999999999E-4</v>
      </c>
      <c r="Q8" s="22">
        <v>996</v>
      </c>
      <c r="R8" s="22">
        <f t="shared" si="5"/>
        <v>132788.712</v>
      </c>
      <c r="S8" s="22">
        <f t="shared" si="6"/>
        <v>66498.82422519075</v>
      </c>
      <c r="T8" s="27">
        <f t="shared" si="7"/>
        <v>1.9968580429381133</v>
      </c>
      <c r="U8" s="28">
        <f t="shared" si="8"/>
        <v>0.99685804293811331</v>
      </c>
      <c r="V8" s="28">
        <f t="shared" si="9"/>
        <v>1.1887542105422302</v>
      </c>
      <c r="W8" s="33">
        <f>SUM(Y3:Y14)</f>
        <v>0.22196469085144332</v>
      </c>
      <c r="X8" s="30">
        <f t="shared" si="10"/>
        <v>-0.19189616760411687</v>
      </c>
      <c r="Y8" s="30">
        <f t="shared" si="11"/>
        <v>3.6824139141147315E-2</v>
      </c>
      <c r="Z8" s="31">
        <f t="shared" si="12"/>
        <v>6.5604174922693943</v>
      </c>
      <c r="AA8" s="32">
        <f t="shared" si="13"/>
        <v>6.5604174922693943</v>
      </c>
    </row>
    <row r="9" spans="1:27" ht="15.75" customHeight="1" x14ac:dyDescent="0.2">
      <c r="A9" t="s">
        <v>31</v>
      </c>
      <c r="B9">
        <v>997</v>
      </c>
      <c r="C9" t="s">
        <v>32</v>
      </c>
      <c r="D9" s="2"/>
      <c r="E9" s="20">
        <v>7.38</v>
      </c>
      <c r="F9" s="21">
        <f t="shared" si="14"/>
        <v>3.8459178204535353E-8</v>
      </c>
      <c r="G9" s="21">
        <f t="shared" si="0"/>
        <v>2.6001595631652723E-7</v>
      </c>
      <c r="H9" s="22">
        <f t="shared" si="15"/>
        <v>-20.466666666666669</v>
      </c>
      <c r="I9" s="22">
        <v>-20.3</v>
      </c>
      <c r="J9" s="23">
        <v>325</v>
      </c>
      <c r="K9" s="24">
        <f t="shared" si="1"/>
        <v>4.7101449275362322E-3</v>
      </c>
      <c r="L9" s="25">
        <f t="shared" si="2"/>
        <v>4710.144927536232</v>
      </c>
      <c r="M9" s="26">
        <f t="shared" si="3"/>
        <v>6.2742264097819643E-6</v>
      </c>
      <c r="N9" s="23">
        <v>0.15</v>
      </c>
      <c r="O9" s="34">
        <f t="shared" si="4"/>
        <v>1.9980997951151791E-4</v>
      </c>
      <c r="P9" s="34">
        <v>1.5382271999999999E-4</v>
      </c>
      <c r="Q9" s="22">
        <v>996</v>
      </c>
      <c r="R9" s="22">
        <f t="shared" si="5"/>
        <v>132788.712</v>
      </c>
      <c r="S9" s="22">
        <f t="shared" si="6"/>
        <v>66498.82422519075</v>
      </c>
      <c r="T9" s="27">
        <f t="shared" si="7"/>
        <v>1.9968580429381133</v>
      </c>
      <c r="U9" s="28">
        <f t="shared" si="8"/>
        <v>0.99685804293811331</v>
      </c>
      <c r="V9" s="28">
        <f t="shared" si="9"/>
        <v>1.1887542105422302</v>
      </c>
      <c r="X9" s="30">
        <f t="shared" si="10"/>
        <v>-0.19189616760411687</v>
      </c>
      <c r="Y9" s="30">
        <f t="shared" si="11"/>
        <v>3.6824139141147315E-2</v>
      </c>
      <c r="Z9" s="31">
        <f t="shared" si="12"/>
        <v>6.5604174922693943</v>
      </c>
      <c r="AA9" s="32">
        <f t="shared" si="13"/>
        <v>6.5604174922693943</v>
      </c>
    </row>
    <row r="10" spans="1:27" ht="15.75" customHeight="1" x14ac:dyDescent="0.2">
      <c r="D10" s="2"/>
      <c r="E10" s="20">
        <v>7.4</v>
      </c>
      <c r="F10" s="21">
        <f t="shared" si="14"/>
        <v>3.8459178204535353E-8</v>
      </c>
      <c r="G10" s="21">
        <f t="shared" si="0"/>
        <v>2.6001595631652723E-7</v>
      </c>
      <c r="H10" s="22">
        <f t="shared" si="15"/>
        <v>-20.466666666666669</v>
      </c>
      <c r="I10" s="22">
        <v>-20.399999999999999</v>
      </c>
      <c r="J10" s="23">
        <v>354</v>
      </c>
      <c r="K10" s="24">
        <f t="shared" si="1"/>
        <v>5.1304347826086954E-3</v>
      </c>
      <c r="L10" s="25">
        <f t="shared" si="2"/>
        <v>5130.4347826086951</v>
      </c>
      <c r="M10" s="26">
        <f t="shared" si="3"/>
        <v>7.032616793645886E-6</v>
      </c>
      <c r="N10" s="23">
        <v>0.15</v>
      </c>
      <c r="O10" s="34">
        <f t="shared" si="4"/>
        <v>2.056146435430365E-4</v>
      </c>
      <c r="P10" s="34">
        <v>1.5382271999999999E-4</v>
      </c>
      <c r="Q10" s="22">
        <v>1423</v>
      </c>
      <c r="R10" s="22">
        <f t="shared" si="5"/>
        <v>189717.20600000001</v>
      </c>
      <c r="S10" s="22">
        <f t="shared" si="6"/>
        <v>79636.831400469629</v>
      </c>
      <c r="T10" s="27">
        <f t="shared" si="7"/>
        <v>2.3822796897326231</v>
      </c>
      <c r="U10" s="28">
        <f t="shared" si="8"/>
        <v>1.3822796897326231</v>
      </c>
      <c r="V10" s="28">
        <f t="shared" si="9"/>
        <v>1.4287730911424283</v>
      </c>
      <c r="X10" s="30">
        <f t="shared" si="10"/>
        <v>-4.6493401409805291E-2</v>
      </c>
      <c r="Y10" s="30">
        <f t="shared" si="11"/>
        <v>2.1616363746532847E-3</v>
      </c>
      <c r="Z10" s="31">
        <f t="shared" si="12"/>
        <v>11.193365523221622</v>
      </c>
      <c r="AA10" s="32">
        <f t="shared" si="13"/>
        <v>11.193365523221622</v>
      </c>
    </row>
    <row r="11" spans="1:27" ht="15.75" customHeight="1" x14ac:dyDescent="0.2">
      <c r="A11" t="s">
        <v>33</v>
      </c>
      <c r="B11">
        <v>22.989768999999999</v>
      </c>
      <c r="D11" s="2"/>
      <c r="E11" s="20">
        <v>7.5</v>
      </c>
      <c r="F11" s="21">
        <f t="shared" si="14"/>
        <v>3.8459178204535353E-8</v>
      </c>
      <c r="G11" s="21">
        <f t="shared" si="0"/>
        <v>2.6001595631652723E-7</v>
      </c>
      <c r="H11" s="22">
        <f t="shared" si="15"/>
        <v>-20.466666666666669</v>
      </c>
      <c r="I11" s="22">
        <v>-20.8</v>
      </c>
      <c r="J11" s="23">
        <v>357</v>
      </c>
      <c r="K11" s="24">
        <f t="shared" si="1"/>
        <v>5.1739130434782605E-3</v>
      </c>
      <c r="L11" s="25">
        <f t="shared" si="2"/>
        <v>5173.9130434782601</v>
      </c>
      <c r="M11" s="26">
        <f t="shared" si="3"/>
        <v>7.1135934941094751E-6</v>
      </c>
      <c r="N11" s="23">
        <v>0.15</v>
      </c>
      <c r="O11" s="34">
        <f t="shared" si="4"/>
        <v>2.0623443323258565E-4</v>
      </c>
      <c r="P11" s="34">
        <v>1.5382271999999999E-4</v>
      </c>
      <c r="Q11" s="22">
        <v>1638</v>
      </c>
      <c r="R11" s="22">
        <f t="shared" si="5"/>
        <v>218381.43600000002</v>
      </c>
      <c r="S11" s="22">
        <f t="shared" si="6"/>
        <v>81087.470096503137</v>
      </c>
      <c r="T11" s="27">
        <f t="shared" si="7"/>
        <v>2.6931588288560704</v>
      </c>
      <c r="U11" s="28">
        <f t="shared" si="8"/>
        <v>1.6931588288560704</v>
      </c>
      <c r="V11" s="28">
        <f t="shared" si="9"/>
        <v>1.4558818366452146</v>
      </c>
      <c r="X11" s="30">
        <f t="shared" si="10"/>
        <v>0.23727699221085574</v>
      </c>
      <c r="Y11" s="30">
        <f t="shared" si="11"/>
        <v>5.6300371032630497E-2</v>
      </c>
      <c r="Z11" s="31">
        <f t="shared" si="12"/>
        <v>15.529050919175464</v>
      </c>
      <c r="AA11" s="32">
        <f t="shared" si="13"/>
        <v>15.529050919175464</v>
      </c>
    </row>
    <row r="12" spans="1:27" ht="15.75" customHeight="1" x14ac:dyDescent="0.2">
      <c r="A12" t="s">
        <v>34</v>
      </c>
      <c r="B12">
        <v>35.453000000000003</v>
      </c>
      <c r="D12" s="2"/>
      <c r="E12" s="20">
        <v>7.44</v>
      </c>
      <c r="F12" s="21">
        <f t="shared" si="14"/>
        <v>3.8459178204535353E-8</v>
      </c>
      <c r="G12" s="21">
        <f t="shared" si="0"/>
        <v>2.6001595631652723E-7</v>
      </c>
      <c r="H12" s="22">
        <f t="shared" si="15"/>
        <v>-20.466666666666669</v>
      </c>
      <c r="I12" s="22">
        <v>-20.6</v>
      </c>
      <c r="J12" s="23">
        <v>413</v>
      </c>
      <c r="K12" s="24">
        <f t="shared" si="1"/>
        <v>5.9855072463768115E-3</v>
      </c>
      <c r="L12" s="25">
        <f t="shared" si="2"/>
        <v>5985.5072463768111</v>
      </c>
      <c r="M12" s="26">
        <f t="shared" si="3"/>
        <v>8.7201094437984753E-6</v>
      </c>
      <c r="N12" s="23">
        <v>0.15</v>
      </c>
      <c r="O12" s="34">
        <f t="shared" si="4"/>
        <v>2.1853058775620876E-4</v>
      </c>
      <c r="P12" s="34">
        <v>1.5382271999999999E-4</v>
      </c>
      <c r="Q12" s="22">
        <v>2620</v>
      </c>
      <c r="R12" s="22">
        <f t="shared" si="5"/>
        <v>349303.64</v>
      </c>
      <c r="S12" s="22">
        <f t="shared" si="6"/>
        <v>111611.53092131094</v>
      </c>
      <c r="T12" s="27">
        <f t="shared" si="7"/>
        <v>3.1296375662678462</v>
      </c>
      <c r="U12" s="28">
        <f t="shared" si="8"/>
        <v>2.1296375662678462</v>
      </c>
      <c r="V12" s="28">
        <f t="shared" si="9"/>
        <v>2.056236843505296</v>
      </c>
      <c r="X12" s="30">
        <f t="shared" si="10"/>
        <v>7.3400722762550163E-2</v>
      </c>
      <c r="Y12" s="30">
        <f t="shared" si="11"/>
        <v>5.38766610206475E-3</v>
      </c>
      <c r="Z12" s="31">
        <f t="shared" si="12"/>
        <v>34.214074497340469</v>
      </c>
      <c r="AA12" s="32">
        <f t="shared" si="13"/>
        <v>34.214074497340469</v>
      </c>
    </row>
    <row r="13" spans="1:27" ht="15.75" customHeight="1" x14ac:dyDescent="0.2">
      <c r="A13" t="s">
        <v>35</v>
      </c>
      <c r="B13">
        <v>19.023199999999999</v>
      </c>
      <c r="D13" s="2"/>
      <c r="E13" s="20">
        <v>7.44</v>
      </c>
      <c r="F13" s="21">
        <f t="shared" si="14"/>
        <v>3.8459178204535353E-8</v>
      </c>
      <c r="G13" s="21">
        <f t="shared" si="0"/>
        <v>2.6001595631652723E-7</v>
      </c>
      <c r="H13" s="22">
        <f t="shared" si="15"/>
        <v>-20.466666666666669</v>
      </c>
      <c r="I13" s="22">
        <v>-20.6</v>
      </c>
      <c r="J13" s="23">
        <v>428</v>
      </c>
      <c r="K13" s="24">
        <f t="shared" si="1"/>
        <v>6.2028985507246379E-3</v>
      </c>
      <c r="L13" s="25">
        <f t="shared" si="2"/>
        <v>6202.898550724638</v>
      </c>
      <c r="M13" s="26">
        <f t="shared" si="3"/>
        <v>9.1834828398793019E-6</v>
      </c>
      <c r="N13" s="23">
        <v>0.15</v>
      </c>
      <c r="O13" s="34">
        <f t="shared" si="4"/>
        <v>2.2207721353446441E-4</v>
      </c>
      <c r="P13" s="34">
        <v>1.5382271999999999E-4</v>
      </c>
      <c r="Q13" s="22">
        <v>2806</v>
      </c>
      <c r="R13" s="22">
        <f t="shared" si="5"/>
        <v>374101.53200000001</v>
      </c>
      <c r="S13" s="22">
        <f t="shared" si="6"/>
        <v>120987.14068007797</v>
      </c>
      <c r="T13" s="27">
        <f t="shared" si="7"/>
        <v>3.0920768099580394</v>
      </c>
      <c r="U13" s="28">
        <f t="shared" si="8"/>
        <v>2.0920768099580394</v>
      </c>
      <c r="V13" s="28">
        <f t="shared" si="9"/>
        <v>2.2526057084563802</v>
      </c>
      <c r="X13" s="30">
        <f t="shared" si="10"/>
        <v>-0.16052889849834084</v>
      </c>
      <c r="Y13" s="30">
        <f t="shared" si="11"/>
        <v>2.5769527253090618E-2</v>
      </c>
      <c r="Z13" s="31">
        <f t="shared" si="12"/>
        <v>36.838020022960748</v>
      </c>
      <c r="AA13" s="32">
        <f t="shared" si="13"/>
        <v>36.838020022960748</v>
      </c>
    </row>
    <row r="14" spans="1:27" ht="15.75" customHeight="1" x14ac:dyDescent="0.2">
      <c r="A14" t="s">
        <v>36</v>
      </c>
      <c r="B14">
        <v>17.007000000000001</v>
      </c>
      <c r="D14" s="2"/>
      <c r="E14" s="35">
        <v>7.42</v>
      </c>
      <c r="F14" s="36">
        <f t="shared" si="14"/>
        <v>3.8459178204535353E-8</v>
      </c>
      <c r="G14" s="36">
        <f t="shared" si="0"/>
        <v>2.6001595631652723E-7</v>
      </c>
      <c r="H14" s="37">
        <f t="shared" si="15"/>
        <v>-20.466666666666669</v>
      </c>
      <c r="I14" s="37">
        <v>-20.5</v>
      </c>
      <c r="J14" s="38">
        <v>448</v>
      </c>
      <c r="K14" s="39">
        <f t="shared" si="1"/>
        <v>6.4927536231884058E-3</v>
      </c>
      <c r="L14" s="40">
        <f t="shared" si="2"/>
        <v>6492.753623188406</v>
      </c>
      <c r="M14" s="41">
        <f t="shared" si="3"/>
        <v>9.8252279518708496E-6</v>
      </c>
      <c r="N14" s="38">
        <v>0.15</v>
      </c>
      <c r="O14" s="42">
        <f t="shared" si="4"/>
        <v>2.2698908326308773E-4</v>
      </c>
      <c r="P14" s="42">
        <v>1.5382271999999999E-4</v>
      </c>
      <c r="Q14" s="37">
        <v>3640</v>
      </c>
      <c r="R14" s="37">
        <f t="shared" si="5"/>
        <v>485292.08</v>
      </c>
      <c r="S14" s="37">
        <f t="shared" si="6"/>
        <v>134355.71534974605</v>
      </c>
      <c r="T14" s="43">
        <f t="shared" si="7"/>
        <v>3.6119943147689644</v>
      </c>
      <c r="U14" s="44">
        <f t="shared" si="8"/>
        <v>2.6119943147689644</v>
      </c>
      <c r="V14" s="44">
        <f t="shared" si="9"/>
        <v>2.5427316502022159</v>
      </c>
      <c r="W14" s="45"/>
      <c r="X14" s="46">
        <f t="shared" si="10"/>
        <v>6.9262664566748455E-2</v>
      </c>
      <c r="Y14" s="46">
        <f t="shared" si="11"/>
        <v>4.7973167028859121E-3</v>
      </c>
      <c r="Z14" s="47">
        <f t="shared" si="12"/>
        <v>72.833203778134461</v>
      </c>
      <c r="AA14" s="48">
        <f t="shared" si="13"/>
        <v>72.833203778134461</v>
      </c>
    </row>
    <row r="15" spans="1:27" ht="15.75" customHeight="1" x14ac:dyDescent="0.2">
      <c r="D15" s="2">
        <f>AVERAGE(E15:E26)</f>
        <v>5.3883333333333328</v>
      </c>
      <c r="E15" s="7">
        <v>5.41</v>
      </c>
      <c r="F15" s="8">
        <f>10^-D15</f>
        <v>4.089466610821119E-6</v>
      </c>
      <c r="G15" s="8">
        <f t="shared" si="0"/>
        <v>2.4453066748458213E-9</v>
      </c>
      <c r="H15" s="9">
        <f>AVERAGE(I15:I26)</f>
        <v>-9.3166666666666647</v>
      </c>
      <c r="I15" s="9">
        <v>-9.1999999999999993</v>
      </c>
      <c r="J15" s="10">
        <v>91</v>
      </c>
      <c r="K15" s="11">
        <f t="shared" si="1"/>
        <v>1.3188405797101448E-3</v>
      </c>
      <c r="L15" s="12">
        <f t="shared" si="2"/>
        <v>1318.8405797101448</v>
      </c>
      <c r="M15" s="13">
        <f t="shared" si="3"/>
        <v>1.4308463509253269E-6</v>
      </c>
      <c r="N15" s="10">
        <v>0.15</v>
      </c>
      <c r="O15" s="49">
        <f t="shared" si="4"/>
        <v>1.6273911793491356E-4</v>
      </c>
      <c r="P15" s="49">
        <v>1.5382271999999999E-4</v>
      </c>
      <c r="Q15" s="9">
        <v>41</v>
      </c>
      <c r="R15" s="9">
        <f t="shared" si="5"/>
        <v>5466.2020000000002</v>
      </c>
      <c r="S15" s="9">
        <f t="shared" si="6"/>
        <v>4211.0789815238541</v>
      </c>
      <c r="T15" s="14">
        <f t="shared" si="7"/>
        <v>1.2980525950672048</v>
      </c>
      <c r="U15" s="15">
        <f t="shared" si="8"/>
        <v>0.29805259506720483</v>
      </c>
      <c r="V15" s="15">
        <f t="shared" ref="V15:V26" si="16">$W$15 + $W$16*M15 + $W$17*M15*M15 + $W$18*M15*M15*M15 + $W$19*M15*M15*M15*M15</f>
        <v>0.27181693746149815</v>
      </c>
      <c r="W15" s="16">
        <v>0</v>
      </c>
      <c r="X15" s="17">
        <f t="shared" si="10"/>
        <v>2.6235657605706675E-2</v>
      </c>
      <c r="Y15" s="17">
        <f t="shared" si="11"/>
        <v>6.8830973000387453E-4</v>
      </c>
      <c r="Z15" s="18">
        <f t="shared" ref="Z15:Z26" si="17">EXP(U15+$W$16*M15+$W$17*M15*M15/2+$W$18*M15*M15*M15/3+$W$19*M15*M15*M15*M15/4)</f>
        <v>1.688771354848253</v>
      </c>
      <c r="AA15" s="19">
        <f t="shared" si="13"/>
        <v>1.688771354848253</v>
      </c>
    </row>
    <row r="16" spans="1:27" ht="15.75" customHeight="1" x14ac:dyDescent="0.2">
      <c r="A16" t="s">
        <v>37</v>
      </c>
      <c r="B16">
        <v>69000</v>
      </c>
      <c r="D16" s="2"/>
      <c r="E16" s="20">
        <v>5</v>
      </c>
      <c r="F16" s="21">
        <f t="shared" ref="F16:F26" si="18">F15</f>
        <v>4.089466610821119E-6</v>
      </c>
      <c r="G16" s="21">
        <f t="shared" si="0"/>
        <v>2.4453066748458213E-9</v>
      </c>
      <c r="H16" s="22">
        <f t="shared" ref="H16:H26" si="19">H15</f>
        <v>-9.3166666666666647</v>
      </c>
      <c r="I16" s="22">
        <v>-9.1</v>
      </c>
      <c r="J16" s="23">
        <v>130</v>
      </c>
      <c r="K16" s="24">
        <f t="shared" si="1"/>
        <v>1.8840579710144927E-3</v>
      </c>
      <c r="L16" s="25">
        <f t="shared" si="2"/>
        <v>1884.0579710144928</v>
      </c>
      <c r="M16" s="26">
        <f t="shared" si="3"/>
        <v>2.109289184628565E-6</v>
      </c>
      <c r="N16" s="23">
        <v>0.15</v>
      </c>
      <c r="O16" s="34">
        <f t="shared" si="4"/>
        <v>1.679318696992742E-4</v>
      </c>
      <c r="P16" s="34">
        <v>1.5382271999999999E-4</v>
      </c>
      <c r="Q16" s="22">
        <v>74</v>
      </c>
      <c r="R16" s="22">
        <f t="shared" si="5"/>
        <v>9865.8279999999995</v>
      </c>
      <c r="S16" s="22">
        <f t="shared" si="6"/>
        <v>6634.0536675334379</v>
      </c>
      <c r="T16" s="27">
        <f t="shared" si="7"/>
        <v>1.4871492596272808</v>
      </c>
      <c r="U16" s="28">
        <f t="shared" si="8"/>
        <v>0.48714925962728084</v>
      </c>
      <c r="V16" s="28">
        <f t="shared" si="16"/>
        <v>0.45824413167873318</v>
      </c>
      <c r="W16" s="29">
        <v>123934.104923739</v>
      </c>
      <c r="X16" s="30">
        <f t="shared" si="10"/>
        <v>2.890512794854766E-2</v>
      </c>
      <c r="Y16" s="30">
        <f t="shared" si="11"/>
        <v>8.3550642172191105E-4</v>
      </c>
      <c r="Z16" s="31">
        <f t="shared" si="17"/>
        <v>2.3428828844896983</v>
      </c>
      <c r="AA16" s="32">
        <f t="shared" si="13"/>
        <v>2.3428828844896983</v>
      </c>
    </row>
    <row r="17" spans="1:27" ht="15.75" customHeight="1" x14ac:dyDescent="0.2">
      <c r="D17" s="2"/>
      <c r="E17" s="20">
        <v>5.4</v>
      </c>
      <c r="F17" s="21">
        <f t="shared" si="18"/>
        <v>4.089466610821119E-6</v>
      </c>
      <c r="G17" s="21">
        <f t="shared" si="0"/>
        <v>2.4453066748458213E-9</v>
      </c>
      <c r="H17" s="22">
        <f t="shared" si="19"/>
        <v>-9.3166666666666647</v>
      </c>
      <c r="I17" s="22">
        <v>-9.1</v>
      </c>
      <c r="J17" s="23">
        <v>144</v>
      </c>
      <c r="K17" s="24">
        <f t="shared" si="1"/>
        <v>2.0869565217391303E-3</v>
      </c>
      <c r="L17" s="25">
        <f t="shared" si="2"/>
        <v>2086.95652173913</v>
      </c>
      <c r="M17" s="26">
        <f t="shared" si="3"/>
        <v>2.3635158540383304E-6</v>
      </c>
      <c r="N17" s="23">
        <v>0.15</v>
      </c>
      <c r="O17" s="34">
        <f t="shared" si="4"/>
        <v>1.6987770200900502E-4</v>
      </c>
      <c r="P17" s="34">
        <v>1.5382271999999999E-4</v>
      </c>
      <c r="Q17" s="22">
        <v>90</v>
      </c>
      <c r="R17" s="22">
        <f t="shared" si="5"/>
        <v>11998.98</v>
      </c>
      <c r="S17" s="22">
        <f t="shared" si="6"/>
        <v>7605.1008452559363</v>
      </c>
      <c r="T17" s="27">
        <f t="shared" si="7"/>
        <v>1.5777542262947066</v>
      </c>
      <c r="U17" s="28">
        <f t="shared" si="8"/>
        <v>0.57775422629470663</v>
      </c>
      <c r="V17" s="28">
        <f t="shared" si="16"/>
        <v>0.53605868448020222</v>
      </c>
      <c r="W17" s="29">
        <v>50180419634.1493</v>
      </c>
      <c r="X17" s="30">
        <f t="shared" si="10"/>
        <v>4.1695541814504411E-2</v>
      </c>
      <c r="Y17" s="30">
        <f t="shared" si="11"/>
        <v>1.7385182072050859E-3</v>
      </c>
      <c r="Z17" s="31">
        <f t="shared" si="17"/>
        <v>2.7140454448169815</v>
      </c>
      <c r="AA17" s="32">
        <f t="shared" si="13"/>
        <v>2.7140454448169815</v>
      </c>
    </row>
    <row r="18" spans="1:27" ht="15.75" customHeight="1" x14ac:dyDescent="0.2">
      <c r="D18" s="2"/>
      <c r="E18" s="20">
        <v>5.44</v>
      </c>
      <c r="F18" s="21">
        <f t="shared" si="18"/>
        <v>4.089466610821119E-6</v>
      </c>
      <c r="G18" s="21">
        <f t="shared" si="0"/>
        <v>2.4453066748458213E-9</v>
      </c>
      <c r="H18" s="22">
        <f t="shared" si="19"/>
        <v>-9.3166666666666647</v>
      </c>
      <c r="I18" s="22">
        <v>-9.5</v>
      </c>
      <c r="J18" s="23">
        <v>234</v>
      </c>
      <c r="K18" s="24">
        <f t="shared" si="1"/>
        <v>3.3913043478260869E-3</v>
      </c>
      <c r="L18" s="25">
        <f t="shared" si="2"/>
        <v>3391.304347826087</v>
      </c>
      <c r="M18" s="26">
        <f t="shared" si="3"/>
        <v>4.1498258057362571E-6</v>
      </c>
      <c r="N18" s="23">
        <v>0.15</v>
      </c>
      <c r="O18" s="34">
        <f t="shared" si="4"/>
        <v>1.8354998756141136E-4</v>
      </c>
      <c r="P18" s="34">
        <v>1.5382271999999999E-4</v>
      </c>
      <c r="Q18" s="22">
        <v>260</v>
      </c>
      <c r="R18" s="22">
        <f t="shared" si="5"/>
        <v>34663.72</v>
      </c>
      <c r="S18" s="22">
        <f t="shared" si="6"/>
        <v>15288.262534249436</v>
      </c>
      <c r="T18" s="27">
        <f t="shared" si="7"/>
        <v>2.2673420162915709</v>
      </c>
      <c r="U18" s="28">
        <f t="shared" si="8"/>
        <v>1.2673420162915709</v>
      </c>
      <c r="V18" s="28">
        <f t="shared" si="16"/>
        <v>1.1772217562774843</v>
      </c>
      <c r="W18" s="29">
        <v>-2815989326070770</v>
      </c>
      <c r="X18" s="30">
        <f t="shared" si="10"/>
        <v>9.0120260014086684E-2</v>
      </c>
      <c r="Y18" s="30">
        <f t="shared" si="11"/>
        <v>8.1216612650065918E-3</v>
      </c>
      <c r="Z18" s="31">
        <f t="shared" si="17"/>
        <v>8.5561117670111546</v>
      </c>
      <c r="AA18" s="32">
        <f t="shared" si="13"/>
        <v>8.5561117670111546</v>
      </c>
    </row>
    <row r="19" spans="1:27" ht="15.75" customHeight="1" x14ac:dyDescent="0.2">
      <c r="D19" s="2"/>
      <c r="E19" s="20">
        <v>5.45</v>
      </c>
      <c r="F19" s="21">
        <f t="shared" si="18"/>
        <v>4.089466610821119E-6</v>
      </c>
      <c r="G19" s="21">
        <f t="shared" si="0"/>
        <v>2.4453066748458213E-9</v>
      </c>
      <c r="H19" s="22">
        <f t="shared" si="19"/>
        <v>-9.3166666666666647</v>
      </c>
      <c r="I19" s="22">
        <v>-9.6</v>
      </c>
      <c r="J19" s="23">
        <v>240</v>
      </c>
      <c r="K19" s="24">
        <f t="shared" si="1"/>
        <v>3.4782608695652175E-3</v>
      </c>
      <c r="L19" s="25">
        <f t="shared" si="2"/>
        <v>3478.2608695652175</v>
      </c>
      <c r="M19" s="26">
        <f t="shared" si="3"/>
        <v>4.2791917727262256E-6</v>
      </c>
      <c r="N19" s="23">
        <v>0.15</v>
      </c>
      <c r="O19" s="34">
        <f t="shared" si="4"/>
        <v>1.8454014519881848E-4</v>
      </c>
      <c r="P19" s="34">
        <v>1.5382271999999999E-4</v>
      </c>
      <c r="Q19" s="22">
        <v>269</v>
      </c>
      <c r="R19" s="22">
        <f t="shared" si="5"/>
        <v>35863.618000000002</v>
      </c>
      <c r="S19" s="22">
        <f t="shared" si="6"/>
        <v>15897.901049808921</v>
      </c>
      <c r="T19" s="27">
        <f t="shared" si="7"/>
        <v>2.2558712554341285</v>
      </c>
      <c r="U19" s="28">
        <f t="shared" si="8"/>
        <v>1.2558712554341285</v>
      </c>
      <c r="V19" s="28">
        <f t="shared" si="16"/>
        <v>1.2285594038810381</v>
      </c>
      <c r="W19" s="29">
        <v>0</v>
      </c>
      <c r="X19" s="30">
        <f t="shared" si="10"/>
        <v>2.7311851553090349E-2</v>
      </c>
      <c r="Y19" s="30">
        <f t="shared" si="11"/>
        <v>7.4593723525804374E-4</v>
      </c>
      <c r="Z19" s="31">
        <f t="shared" si="17"/>
        <v>8.7766597948878839</v>
      </c>
      <c r="AA19" s="32">
        <f t="shared" si="13"/>
        <v>8.7766597948878839</v>
      </c>
    </row>
    <row r="20" spans="1:27" ht="15.75" customHeight="1" x14ac:dyDescent="0.2">
      <c r="A20" t="s">
        <v>38</v>
      </c>
      <c r="D20" s="2"/>
      <c r="E20" s="20">
        <v>5.42</v>
      </c>
      <c r="F20" s="21">
        <f t="shared" si="18"/>
        <v>4.089466610821119E-6</v>
      </c>
      <c r="G20" s="21">
        <f t="shared" si="0"/>
        <v>2.4453066748458213E-9</v>
      </c>
      <c r="H20" s="22">
        <f t="shared" si="19"/>
        <v>-9.3166666666666647</v>
      </c>
      <c r="I20" s="22">
        <v>-9.3000000000000007</v>
      </c>
      <c r="J20" s="23">
        <v>245</v>
      </c>
      <c r="K20" s="24">
        <f t="shared" si="1"/>
        <v>3.5507246376811595E-3</v>
      </c>
      <c r="L20" s="25">
        <f t="shared" si="2"/>
        <v>3550.7246376811595</v>
      </c>
      <c r="M20" s="26">
        <f t="shared" si="3"/>
        <v>4.3880677389785874E-6</v>
      </c>
      <c r="N20" s="23">
        <v>0.15</v>
      </c>
      <c r="O20" s="34">
        <f t="shared" si="4"/>
        <v>1.8537347387113622E-4</v>
      </c>
      <c r="P20" s="34">
        <v>1.5382271999999999E-4</v>
      </c>
      <c r="Q20" s="22">
        <v>269</v>
      </c>
      <c r="R20" s="22">
        <f t="shared" si="5"/>
        <v>35863.618000000002</v>
      </c>
      <c r="S20" s="22">
        <f t="shared" si="6"/>
        <v>16416.084735170571</v>
      </c>
      <c r="T20" s="27">
        <f t="shared" si="7"/>
        <v>2.1846633090997725</v>
      </c>
      <c r="U20" s="28">
        <f t="shared" si="8"/>
        <v>1.1846633090997725</v>
      </c>
      <c r="V20" s="28">
        <f t="shared" si="16"/>
        <v>1.2721312073985449</v>
      </c>
      <c r="W20" s="33">
        <f>SUM(Y15:Y26)</f>
        <v>0.31673309314908882</v>
      </c>
      <c r="X20" s="30">
        <f t="shared" si="10"/>
        <v>-8.746789829877244E-2</v>
      </c>
      <c r="Y20" s="30">
        <f t="shared" si="11"/>
        <v>7.6506332328043986E-3</v>
      </c>
      <c r="Z20" s="31">
        <f t="shared" si="17"/>
        <v>8.4342407335279184</v>
      </c>
      <c r="AA20" s="32">
        <f t="shared" si="13"/>
        <v>8.4342407335279184</v>
      </c>
    </row>
    <row r="21" spans="1:27" ht="15.75" customHeight="1" x14ac:dyDescent="0.2">
      <c r="D21" s="2"/>
      <c r="E21" s="20">
        <v>5.4</v>
      </c>
      <c r="F21" s="21">
        <f t="shared" si="18"/>
        <v>4.089466610821119E-6</v>
      </c>
      <c r="G21" s="21">
        <f t="shared" si="0"/>
        <v>2.4453066748458213E-9</v>
      </c>
      <c r="H21" s="22">
        <f t="shared" si="19"/>
        <v>-9.3166666666666647</v>
      </c>
      <c r="I21" s="22">
        <v>-9.1</v>
      </c>
      <c r="J21" s="23">
        <v>338</v>
      </c>
      <c r="K21" s="24">
        <f t="shared" si="1"/>
        <v>4.8985507246376812E-3</v>
      </c>
      <c r="L21" s="25">
        <f t="shared" si="2"/>
        <v>4898.550724637681</v>
      </c>
      <c r="M21" s="26">
        <f t="shared" si="3"/>
        <v>6.608832079991797E-6</v>
      </c>
      <c r="N21" s="23">
        <v>0.15</v>
      </c>
      <c r="O21" s="34">
        <f t="shared" si="4"/>
        <v>2.023710415027074E-4</v>
      </c>
      <c r="P21" s="34">
        <v>1.5382271999999999E-4</v>
      </c>
      <c r="Q21" s="22">
        <v>618</v>
      </c>
      <c r="R21" s="22">
        <f t="shared" si="5"/>
        <v>82392.995999999999</v>
      </c>
      <c r="S21" s="22">
        <f t="shared" si="6"/>
        <v>27909.004269321435</v>
      </c>
      <c r="T21" s="27">
        <f t="shared" si="7"/>
        <v>2.9522012037731242</v>
      </c>
      <c r="U21" s="28">
        <f t="shared" si="8"/>
        <v>1.9522012037731242</v>
      </c>
      <c r="V21" s="28">
        <f t="shared" si="16"/>
        <v>2.1979327223297882</v>
      </c>
      <c r="X21" s="30">
        <f t="shared" si="10"/>
        <v>-0.24573151855666397</v>
      </c>
      <c r="Y21" s="30">
        <f t="shared" si="11"/>
        <v>6.0383979212164089E-2</v>
      </c>
      <c r="Z21" s="31">
        <f t="shared" si="17"/>
        <v>36.458359372484637</v>
      </c>
      <c r="AA21" s="32">
        <f t="shared" si="13"/>
        <v>36.458359372484637</v>
      </c>
    </row>
    <row r="22" spans="1:27" ht="15.75" customHeight="1" x14ac:dyDescent="0.2">
      <c r="D22" s="2"/>
      <c r="E22" s="20">
        <v>5.42</v>
      </c>
      <c r="F22" s="21">
        <f t="shared" si="18"/>
        <v>4.089466610821119E-6</v>
      </c>
      <c r="G22" s="21">
        <f t="shared" si="0"/>
        <v>2.4453066748458213E-9</v>
      </c>
      <c r="H22" s="22">
        <f t="shared" si="19"/>
        <v>-9.3166666666666647</v>
      </c>
      <c r="I22" s="22">
        <v>-9.3000000000000007</v>
      </c>
      <c r="J22" s="23">
        <v>395</v>
      </c>
      <c r="K22" s="24">
        <f t="shared" si="1"/>
        <v>5.72463768115942E-3</v>
      </c>
      <c r="L22" s="25">
        <f t="shared" si="2"/>
        <v>5724.63768115942</v>
      </c>
      <c r="M22" s="26">
        <f t="shared" si="3"/>
        <v>8.1832313394896682E-6</v>
      </c>
      <c r="N22" s="23">
        <v>0.15</v>
      </c>
      <c r="O22" s="34">
        <f t="shared" si="4"/>
        <v>2.1442137813599513E-4</v>
      </c>
      <c r="P22" s="34">
        <v>1.5382271999999999E-4</v>
      </c>
      <c r="Q22" s="22">
        <v>1005</v>
      </c>
      <c r="R22" s="22">
        <f t="shared" si="5"/>
        <v>133988.61000000002</v>
      </c>
      <c r="S22" s="22">
        <f t="shared" si="6"/>
        <v>36974.714371715461</v>
      </c>
      <c r="T22" s="27">
        <f t="shared" si="7"/>
        <v>3.6237902652331848</v>
      </c>
      <c r="U22" s="28">
        <f t="shared" si="8"/>
        <v>2.6237902652331848</v>
      </c>
      <c r="V22" s="28">
        <f t="shared" si="16"/>
        <v>2.8313864842160514</v>
      </c>
      <c r="X22" s="30">
        <f t="shared" si="10"/>
        <v>-0.20759621898286662</v>
      </c>
      <c r="Y22" s="30">
        <f t="shared" si="11"/>
        <v>4.3096190135982308E-2</v>
      </c>
      <c r="Z22" s="31">
        <f t="shared" si="17"/>
        <v>121.96868469682302</v>
      </c>
      <c r="AA22" s="32">
        <f t="shared" si="13"/>
        <v>121.96868469682302</v>
      </c>
    </row>
    <row r="23" spans="1:27" ht="15.75" customHeight="1" x14ac:dyDescent="0.2">
      <c r="D23" s="2"/>
      <c r="E23" s="20">
        <v>5.44</v>
      </c>
      <c r="F23" s="21">
        <f t="shared" si="18"/>
        <v>4.089466610821119E-6</v>
      </c>
      <c r="G23" s="21">
        <f t="shared" si="0"/>
        <v>2.4453066748458213E-9</v>
      </c>
      <c r="H23" s="22">
        <f t="shared" si="19"/>
        <v>-9.3166666666666647</v>
      </c>
      <c r="I23" s="22">
        <v>-9.5</v>
      </c>
      <c r="J23" s="23">
        <v>411</v>
      </c>
      <c r="K23" s="24">
        <f t="shared" si="1"/>
        <v>5.956521739130435E-3</v>
      </c>
      <c r="L23" s="25">
        <f t="shared" si="2"/>
        <v>5956.521739130435</v>
      </c>
      <c r="M23" s="26">
        <f t="shared" si="3"/>
        <v>8.6594431130945971E-6</v>
      </c>
      <c r="N23" s="23">
        <v>0.15</v>
      </c>
      <c r="O23" s="34">
        <f t="shared" si="4"/>
        <v>2.1806626817646974E-4</v>
      </c>
      <c r="P23" s="34">
        <v>1.5382271999999999E-4</v>
      </c>
      <c r="Q23" s="22">
        <v>1230</v>
      </c>
      <c r="R23" s="22">
        <f t="shared" si="5"/>
        <v>163986.06</v>
      </c>
      <c r="S23" s="22">
        <f t="shared" si="6"/>
        <v>39844.357601614058</v>
      </c>
      <c r="T23" s="27">
        <f t="shared" si="7"/>
        <v>4.1156658024110566</v>
      </c>
      <c r="U23" s="28">
        <f t="shared" si="8"/>
        <v>3.1156658024110566</v>
      </c>
      <c r="V23" s="28">
        <f t="shared" si="16"/>
        <v>3.0075020533702768</v>
      </c>
      <c r="X23" s="30">
        <f t="shared" si="10"/>
        <v>0.10816374904077986</v>
      </c>
      <c r="Y23" s="30">
        <f t="shared" si="11"/>
        <v>1.1699396606556806E-2</v>
      </c>
      <c r="Z23" s="31">
        <f t="shared" si="17"/>
        <v>235.27879110265741</v>
      </c>
      <c r="AA23" s="32">
        <f t="shared" si="13"/>
        <v>235.27879110265741</v>
      </c>
    </row>
    <row r="24" spans="1:27" ht="15.75" customHeight="1" x14ac:dyDescent="0.2">
      <c r="D24" s="2"/>
      <c r="E24" s="20">
        <v>5.42</v>
      </c>
      <c r="F24" s="21">
        <f t="shared" si="18"/>
        <v>4.089466610821119E-6</v>
      </c>
      <c r="G24" s="21">
        <f t="shared" si="0"/>
        <v>2.4453066748458213E-9</v>
      </c>
      <c r="H24" s="22">
        <f t="shared" si="19"/>
        <v>-9.3166666666666647</v>
      </c>
      <c r="I24" s="22">
        <v>-9.3000000000000007</v>
      </c>
      <c r="J24" s="23">
        <v>414</v>
      </c>
      <c r="K24" s="24">
        <f t="shared" si="1"/>
        <v>6.0000000000000001E-3</v>
      </c>
      <c r="L24" s="25">
        <f t="shared" si="2"/>
        <v>6000</v>
      </c>
      <c r="M24" s="26">
        <f t="shared" si="3"/>
        <v>8.7505409845162911E-6</v>
      </c>
      <c r="N24" s="23">
        <v>0.15</v>
      </c>
      <c r="O24" s="34">
        <f t="shared" si="4"/>
        <v>2.1876352461290725E-4</v>
      </c>
      <c r="P24" s="34">
        <v>1.5382271999999999E-4</v>
      </c>
      <c r="Q24" s="22">
        <v>1286</v>
      </c>
      <c r="R24" s="22">
        <f t="shared" si="5"/>
        <v>171452.092</v>
      </c>
      <c r="S24" s="22">
        <f t="shared" si="6"/>
        <v>40399.554683417802</v>
      </c>
      <c r="T24" s="27">
        <f t="shared" si="7"/>
        <v>4.2439104426656806</v>
      </c>
      <c r="U24" s="28">
        <f t="shared" si="8"/>
        <v>3.2439104426656806</v>
      </c>
      <c r="V24" s="28">
        <f t="shared" si="16"/>
        <v>3.0400611485716005</v>
      </c>
      <c r="X24" s="30">
        <f t="shared" si="10"/>
        <v>0.20384929409408015</v>
      </c>
      <c r="Y24" s="30">
        <f t="shared" si="11"/>
        <v>4.1554534702654779E-2</v>
      </c>
      <c r="Z24" s="31">
        <f t="shared" si="17"/>
        <v>276.07154292065701</v>
      </c>
      <c r="AA24" s="32">
        <f t="shared" si="13"/>
        <v>276.07154292065701</v>
      </c>
    </row>
    <row r="25" spans="1:27" ht="15.75" customHeight="1" x14ac:dyDescent="0.2">
      <c r="D25" s="2"/>
      <c r="E25" s="20">
        <v>5.41</v>
      </c>
      <c r="F25" s="21">
        <f t="shared" si="18"/>
        <v>4.089466610821119E-6</v>
      </c>
      <c r="G25" s="21">
        <f t="shared" si="0"/>
        <v>2.4453066748458213E-9</v>
      </c>
      <c r="H25" s="22">
        <f t="shared" si="19"/>
        <v>-9.3166666666666647</v>
      </c>
      <c r="I25" s="22">
        <v>-9.1999999999999993</v>
      </c>
      <c r="J25" s="23">
        <v>420</v>
      </c>
      <c r="K25" s="24">
        <f t="shared" si="1"/>
        <v>6.0869565217391303E-3</v>
      </c>
      <c r="L25" s="25">
        <f t="shared" si="2"/>
        <v>6086.95652173913</v>
      </c>
      <c r="M25" s="26">
        <f t="shared" si="3"/>
        <v>8.9344956620331625E-6</v>
      </c>
      <c r="N25" s="23">
        <v>0.15</v>
      </c>
      <c r="O25" s="34">
        <f t="shared" si="4"/>
        <v>2.2017150024296008E-4</v>
      </c>
      <c r="P25" s="34">
        <v>1.5382271999999999E-4</v>
      </c>
      <c r="Q25" s="22">
        <v>1370</v>
      </c>
      <c r="R25" s="22">
        <f t="shared" si="5"/>
        <v>182651.14</v>
      </c>
      <c r="S25" s="22">
        <f t="shared" si="6"/>
        <v>41526.621196246262</v>
      </c>
      <c r="T25" s="27">
        <f t="shared" si="7"/>
        <v>4.3984108202983414</v>
      </c>
      <c r="U25" s="28">
        <f t="shared" si="8"/>
        <v>3.3984108202983414</v>
      </c>
      <c r="V25" s="28">
        <f t="shared" si="16"/>
        <v>3.1045933922737632</v>
      </c>
      <c r="X25" s="30">
        <f t="shared" si="10"/>
        <v>0.29381742802457822</v>
      </c>
      <c r="Y25" s="30">
        <f t="shared" si="11"/>
        <v>8.6328681010978209E-2</v>
      </c>
      <c r="Z25" s="31">
        <f t="shared" si="17"/>
        <v>343.46259489027022</v>
      </c>
      <c r="AA25" s="32">
        <f t="shared" si="13"/>
        <v>343.46259489027022</v>
      </c>
    </row>
    <row r="26" spans="1:27" ht="15.75" customHeight="1" x14ac:dyDescent="0.2">
      <c r="D26" s="2"/>
      <c r="E26" s="35">
        <v>5.45</v>
      </c>
      <c r="F26" s="36">
        <f t="shared" si="18"/>
        <v>4.089466610821119E-6</v>
      </c>
      <c r="G26" s="36">
        <f t="shared" si="0"/>
        <v>2.4453066748458213E-9</v>
      </c>
      <c r="H26" s="37">
        <f t="shared" si="19"/>
        <v>-9.3166666666666647</v>
      </c>
      <c r="I26" s="37">
        <v>-9.6</v>
      </c>
      <c r="J26" s="38">
        <v>454</v>
      </c>
      <c r="K26" s="39">
        <f t="shared" si="1"/>
        <v>6.579710144927536E-3</v>
      </c>
      <c r="L26" s="40">
        <f t="shared" si="2"/>
        <v>6579.710144927536</v>
      </c>
      <c r="M26" s="41">
        <f t="shared" si="3"/>
        <v>1.002332523950463E-5</v>
      </c>
      <c r="N26" s="38">
        <v>0.15</v>
      </c>
      <c r="O26" s="42">
        <f t="shared" si="4"/>
        <v>2.2850532209002844E-4</v>
      </c>
      <c r="P26" s="42">
        <v>1.5382271999999999E-4</v>
      </c>
      <c r="Q26" s="37">
        <v>1529</v>
      </c>
      <c r="R26" s="37">
        <f t="shared" si="5"/>
        <v>203849.33800000002</v>
      </c>
      <c r="S26" s="37">
        <f t="shared" si="6"/>
        <v>48353.328496235961</v>
      </c>
      <c r="T26" s="43">
        <f t="shared" si="7"/>
        <v>4.2158284515174289</v>
      </c>
      <c r="U26" s="44">
        <f t="shared" si="8"/>
        <v>3.2158284515174289</v>
      </c>
      <c r="V26" s="44">
        <f t="shared" si="16"/>
        <v>3.4479701009230292</v>
      </c>
      <c r="W26" s="45"/>
      <c r="X26" s="46">
        <f t="shared" si="10"/>
        <v>-0.23214164940560034</v>
      </c>
      <c r="Y26" s="46">
        <f t="shared" si="11"/>
        <v>5.3889745388752665E-2</v>
      </c>
      <c r="Z26" s="47">
        <f t="shared" si="17"/>
        <v>417.19461891292173</v>
      </c>
      <c r="AA26" s="48">
        <f t="shared" si="13"/>
        <v>417.19461891292173</v>
      </c>
    </row>
    <row r="27" spans="1:27" ht="15.75" customHeight="1" x14ac:dyDescent="0.2">
      <c r="D27" s="2">
        <f>AVERAGE(E27:E34)</f>
        <v>4.5137499999999999</v>
      </c>
      <c r="E27" s="7">
        <v>4.46</v>
      </c>
      <c r="F27" s="8">
        <f>10^-D27</f>
        <v>3.063726548946777E-5</v>
      </c>
      <c r="G27" s="8">
        <f t="shared" si="0"/>
        <v>3.2639988720395815E-10</v>
      </c>
      <c r="H27" s="9">
        <f>AVERAGE(I27:I34)</f>
        <v>4.25</v>
      </c>
      <c r="I27" s="9">
        <v>5.5</v>
      </c>
      <c r="J27" s="10">
        <v>126</v>
      </c>
      <c r="K27" s="11">
        <f t="shared" si="1"/>
        <v>1.8260869565217392E-3</v>
      </c>
      <c r="L27" s="12">
        <f t="shared" si="2"/>
        <v>1826.0869565217392</v>
      </c>
      <c r="M27" s="13">
        <f t="shared" si="3"/>
        <v>2.0377203635245373E-6</v>
      </c>
      <c r="N27" s="10">
        <v>0.15</v>
      </c>
      <c r="O27" s="49">
        <f t="shared" si="4"/>
        <v>1.6738417271808698E-4</v>
      </c>
      <c r="P27" s="49">
        <v>1.5382271999999999E-4</v>
      </c>
      <c r="Q27" s="9">
        <v>47</v>
      </c>
      <c r="R27" s="9">
        <f t="shared" si="5"/>
        <v>6266.134</v>
      </c>
      <c r="S27" s="9">
        <f t="shared" si="6"/>
        <v>5313.1247833567422</v>
      </c>
      <c r="T27" s="14">
        <f t="shared" si="7"/>
        <v>1.1793688752856963</v>
      </c>
      <c r="U27" s="15">
        <f t="shared" si="8"/>
        <v>0.17936887528569634</v>
      </c>
      <c r="V27" s="15">
        <f t="shared" ref="V27:V34" si="20">$W$27 + $W$28*M27 + $W$29*M27*M27 + $W$30*M27*M27*M27 + $W$31*M27*M27*M27*M27</f>
        <v>0.39543935484193704</v>
      </c>
      <c r="W27" s="16">
        <v>0</v>
      </c>
      <c r="X27" s="17">
        <f t="shared" si="10"/>
        <v>-0.2160704795562407</v>
      </c>
      <c r="Y27" s="17">
        <f t="shared" si="11"/>
        <v>4.6686452135663831E-2</v>
      </c>
      <c r="Z27" s="18">
        <f t="shared" ref="Z27:Z34" si="21">EXP(U27+$W$28*M27+$W$29*M27*M27/2+$W$30*M27*M27*M27/3+$W$31*M27*M27*M27*M27/4)</f>
        <v>2.586826564072247</v>
      </c>
      <c r="AA27" s="19">
        <f t="shared" si="13"/>
        <v>2.586826564072247</v>
      </c>
    </row>
    <row r="28" spans="1:27" ht="15.75" customHeight="1" x14ac:dyDescent="0.2">
      <c r="D28" s="2"/>
      <c r="E28" s="20">
        <v>4.54</v>
      </c>
      <c r="F28" s="21">
        <f t="shared" ref="F28:F34" si="22">F27</f>
        <v>3.063726548946777E-5</v>
      </c>
      <c r="G28" s="21">
        <f t="shared" si="0"/>
        <v>3.2639988720395815E-10</v>
      </c>
      <c r="H28" s="22">
        <f t="shared" ref="H28:H33" si="23">H27</f>
        <v>4.25</v>
      </c>
      <c r="I28" s="22">
        <v>3.6</v>
      </c>
      <c r="J28" s="23">
        <v>182</v>
      </c>
      <c r="K28" s="24">
        <f t="shared" si="1"/>
        <v>2.6376811594202897E-3</v>
      </c>
      <c r="L28" s="25">
        <f t="shared" si="2"/>
        <v>2637.6811594202895</v>
      </c>
      <c r="M28" s="26">
        <f t="shared" si="3"/>
        <v>3.0842236314617493E-6</v>
      </c>
      <c r="N28" s="23">
        <v>0.15</v>
      </c>
      <c r="O28" s="34">
        <f t="shared" si="4"/>
        <v>1.753940361847753E-4</v>
      </c>
      <c r="P28" s="34">
        <v>1.5382271999999999E-4</v>
      </c>
      <c r="Q28" s="22">
        <v>93</v>
      </c>
      <c r="R28" s="22">
        <f t="shared" si="5"/>
        <v>12398.946</v>
      </c>
      <c r="S28" s="22">
        <f t="shared" si="6"/>
        <v>8228.0045028702298</v>
      </c>
      <c r="T28" s="27">
        <f t="shared" si="7"/>
        <v>1.5069201767785607</v>
      </c>
      <c r="U28" s="28">
        <f t="shared" si="8"/>
        <v>0.50692017677856072</v>
      </c>
      <c r="V28" s="28">
        <f t="shared" si="20"/>
        <v>0.32004312367810328</v>
      </c>
      <c r="W28" s="29">
        <v>627005.25568375899</v>
      </c>
      <c r="X28" s="30">
        <f t="shared" si="10"/>
        <v>0.18687705310045744</v>
      </c>
      <c r="Y28" s="30">
        <f t="shared" si="11"/>
        <v>3.4923032975511185E-2</v>
      </c>
      <c r="Z28" s="31">
        <f t="shared" si="21"/>
        <v>4.1674957322020187</v>
      </c>
      <c r="AA28" s="32">
        <f t="shared" si="13"/>
        <v>4.1674957322020187</v>
      </c>
    </row>
    <row r="29" spans="1:27" ht="15.75" customHeight="1" x14ac:dyDescent="0.2">
      <c r="D29" s="2"/>
      <c r="E29" s="20">
        <v>4.5199999999999996</v>
      </c>
      <c r="F29" s="21">
        <f t="shared" si="22"/>
        <v>3.063726548946777E-5</v>
      </c>
      <c r="G29" s="21">
        <f t="shared" si="0"/>
        <v>3.2639988720395815E-10</v>
      </c>
      <c r="H29" s="22">
        <f t="shared" si="23"/>
        <v>4.25</v>
      </c>
      <c r="I29" s="22">
        <v>4.0999999999999996</v>
      </c>
      <c r="J29" s="23">
        <v>278</v>
      </c>
      <c r="K29" s="24">
        <f t="shared" si="1"/>
        <v>4.0289855072463765E-3</v>
      </c>
      <c r="L29" s="25">
        <f t="shared" si="2"/>
        <v>4028.9855072463765</v>
      </c>
      <c r="M29" s="26">
        <f t="shared" si="3"/>
        <v>5.1320712370371747E-6</v>
      </c>
      <c r="N29" s="23">
        <v>0.15</v>
      </c>
      <c r="O29" s="34">
        <f t="shared" si="4"/>
        <v>1.9106811979616821E-4</v>
      </c>
      <c r="P29" s="34">
        <v>1.5382271999999999E-4</v>
      </c>
      <c r="Q29" s="22">
        <v>182</v>
      </c>
      <c r="R29" s="22">
        <f t="shared" si="5"/>
        <v>24264.603999999999</v>
      </c>
      <c r="S29" s="22">
        <f t="shared" si="6"/>
        <v>14222.452504239916</v>
      </c>
      <c r="T29" s="27">
        <f t="shared" si="7"/>
        <v>1.7060773444500077</v>
      </c>
      <c r="U29" s="28">
        <f t="shared" si="8"/>
        <v>0.70607734445000769</v>
      </c>
      <c r="V29" s="28">
        <f t="shared" si="20"/>
        <v>0.50985553342066225</v>
      </c>
      <c r="W29" s="29">
        <v>-312647295024.34302</v>
      </c>
      <c r="X29" s="30">
        <f t="shared" si="10"/>
        <v>0.19622181102934544</v>
      </c>
      <c r="Y29" s="30">
        <f t="shared" si="11"/>
        <v>3.8502999123636153E-2</v>
      </c>
      <c r="Z29" s="31">
        <f t="shared" si="21"/>
        <v>6.0706301945268111</v>
      </c>
      <c r="AA29" s="32">
        <f t="shared" si="13"/>
        <v>6.0706301945268111</v>
      </c>
    </row>
    <row r="30" spans="1:27" ht="15.75" customHeight="1" x14ac:dyDescent="0.2">
      <c r="D30" s="2"/>
      <c r="E30" s="20">
        <v>4.5</v>
      </c>
      <c r="F30" s="21">
        <f t="shared" si="22"/>
        <v>3.063726548946777E-5</v>
      </c>
      <c r="G30" s="21">
        <f t="shared" si="0"/>
        <v>3.2639988720395815E-10</v>
      </c>
      <c r="H30" s="22">
        <f t="shared" si="23"/>
        <v>4.25</v>
      </c>
      <c r="I30" s="22">
        <v>4.5</v>
      </c>
      <c r="J30" s="23">
        <v>317</v>
      </c>
      <c r="K30" s="24">
        <f t="shared" si="1"/>
        <v>4.5942028985507246E-3</v>
      </c>
      <c r="L30" s="25">
        <f t="shared" si="2"/>
        <v>4594.202898550725</v>
      </c>
      <c r="M30" s="26">
        <f t="shared" si="3"/>
        <v>6.0724971660441973E-6</v>
      </c>
      <c r="N30" s="23">
        <v>0.15</v>
      </c>
      <c r="O30" s="34">
        <f t="shared" si="4"/>
        <v>1.9826607466421906E-4</v>
      </c>
      <c r="P30" s="34">
        <v>1.5382271999999999E-4</v>
      </c>
      <c r="Q30" s="22">
        <v>228</v>
      </c>
      <c r="R30" s="22">
        <f t="shared" si="5"/>
        <v>30397.416000000001</v>
      </c>
      <c r="S30" s="22">
        <f t="shared" si="6"/>
        <v>17084.016716966722</v>
      </c>
      <c r="T30" s="27">
        <f t="shared" si="7"/>
        <v>1.7792897597560464</v>
      </c>
      <c r="U30" s="28">
        <f t="shared" si="8"/>
        <v>0.77928975975604642</v>
      </c>
      <c r="V30" s="28">
        <f t="shared" si="20"/>
        <v>0.87069566087158323</v>
      </c>
      <c r="W30" s="29">
        <v>5.4614421425382E+16</v>
      </c>
      <c r="X30" s="30">
        <f t="shared" si="10"/>
        <v>-9.1405901115536814E-2</v>
      </c>
      <c r="Y30" s="30">
        <f t="shared" si="11"/>
        <v>8.3550387587432943E-3</v>
      </c>
      <c r="Z30" s="31">
        <f t="shared" si="21"/>
        <v>7.3116664595257905</v>
      </c>
      <c r="AA30" s="32">
        <f t="shared" si="13"/>
        <v>7.3116664595257905</v>
      </c>
    </row>
    <row r="31" spans="1:27" ht="15.75" customHeight="1" x14ac:dyDescent="0.2">
      <c r="D31" s="2"/>
      <c r="E31" s="20">
        <v>4.5</v>
      </c>
      <c r="F31" s="21">
        <f t="shared" si="22"/>
        <v>3.063726548946777E-5</v>
      </c>
      <c r="G31" s="21">
        <f t="shared" si="0"/>
        <v>3.2639988720395815E-10</v>
      </c>
      <c r="H31" s="22">
        <f t="shared" si="23"/>
        <v>4.25</v>
      </c>
      <c r="I31" s="22">
        <v>4.5</v>
      </c>
      <c r="J31" s="23">
        <v>318</v>
      </c>
      <c r="K31" s="24">
        <f t="shared" si="1"/>
        <v>4.6086956521739133E-3</v>
      </c>
      <c r="L31" s="25">
        <f t="shared" si="2"/>
        <v>4608.695652173913</v>
      </c>
      <c r="M31" s="26">
        <f t="shared" si="3"/>
        <v>6.097543252608734E-6</v>
      </c>
      <c r="N31" s="23">
        <v>0.15</v>
      </c>
      <c r="O31" s="34">
        <f t="shared" si="4"/>
        <v>1.9845777567452952E-4</v>
      </c>
      <c r="P31" s="34">
        <v>1.5382271999999999E-4</v>
      </c>
      <c r="Q31" s="22">
        <v>244</v>
      </c>
      <c r="R31" s="22">
        <f t="shared" si="5"/>
        <v>32530.567999999999</v>
      </c>
      <c r="S31" s="22">
        <f t="shared" si="6"/>
        <v>17161.054958726058</v>
      </c>
      <c r="T31" s="27">
        <f t="shared" si="7"/>
        <v>1.8956042083799078</v>
      </c>
      <c r="U31" s="28">
        <f t="shared" si="8"/>
        <v>0.89560420837990784</v>
      </c>
      <c r="V31" s="28">
        <f t="shared" si="20"/>
        <v>0.8826666306140134</v>
      </c>
      <c r="W31" s="29">
        <v>-2.6749659158105298E+21</v>
      </c>
      <c r="X31" s="30">
        <f t="shared" si="10"/>
        <v>1.2937577765894437E-2</v>
      </c>
      <c r="Y31" s="30">
        <f t="shared" si="11"/>
        <v>1.6738091844856607E-4</v>
      </c>
      <c r="Z31" s="31">
        <f t="shared" si="21"/>
        <v>8.24324482571771</v>
      </c>
      <c r="AA31" s="32">
        <f t="shared" si="13"/>
        <v>8.24324482571771</v>
      </c>
    </row>
    <row r="32" spans="1:27" ht="15.75" customHeight="1" x14ac:dyDescent="0.2">
      <c r="D32" s="2"/>
      <c r="E32" s="20">
        <v>4.5199999999999996</v>
      </c>
      <c r="F32" s="21">
        <f t="shared" si="22"/>
        <v>3.063726548946777E-5</v>
      </c>
      <c r="G32" s="21">
        <f t="shared" si="0"/>
        <v>3.2639988720395815E-10</v>
      </c>
      <c r="H32" s="22">
        <f t="shared" si="23"/>
        <v>4.25</v>
      </c>
      <c r="I32" s="22">
        <v>4.0999999999999996</v>
      </c>
      <c r="J32" s="23">
        <v>343</v>
      </c>
      <c r="K32" s="24">
        <f t="shared" si="1"/>
        <v>4.9710144927536228E-3</v>
      </c>
      <c r="L32" s="25">
        <f t="shared" si="2"/>
        <v>4971.014492753623</v>
      </c>
      <c r="M32" s="26">
        <f t="shared" si="3"/>
        <v>6.7398262215466848E-6</v>
      </c>
      <c r="N32" s="23">
        <v>0.15</v>
      </c>
      <c r="O32" s="34">
        <f t="shared" si="4"/>
        <v>2.0337376499419296E-4</v>
      </c>
      <c r="P32" s="34">
        <v>1.5382271999999999E-4</v>
      </c>
      <c r="Q32" s="22">
        <v>284</v>
      </c>
      <c r="R32" s="22">
        <f t="shared" si="5"/>
        <v>37863.448000000004</v>
      </c>
      <c r="S32" s="22">
        <f t="shared" si="6"/>
        <v>19150.399490469164</v>
      </c>
      <c r="T32" s="27">
        <f t="shared" si="7"/>
        <v>1.9771623050915472</v>
      </c>
      <c r="U32" s="28">
        <f t="shared" si="8"/>
        <v>0.97716230509154722</v>
      </c>
      <c r="V32" s="28">
        <f t="shared" si="20"/>
        <v>1.2248141033408837</v>
      </c>
      <c r="W32" s="33">
        <f>SUM(Y27:Y34)</f>
        <v>0.2176194113942371</v>
      </c>
      <c r="X32" s="30">
        <f t="shared" si="10"/>
        <v>-0.24765179824933647</v>
      </c>
      <c r="Y32" s="30">
        <f t="shared" si="11"/>
        <v>6.1331413176130056E-2</v>
      </c>
      <c r="Z32" s="31">
        <f t="shared" si="21"/>
        <v>9.9310190760792558</v>
      </c>
      <c r="AA32" s="32">
        <f t="shared" si="13"/>
        <v>9.9310190760792558</v>
      </c>
    </row>
    <row r="33" spans="4:27" ht="15.75" customHeight="1" x14ac:dyDescent="0.2">
      <c r="D33" s="2"/>
      <c r="E33" s="20">
        <v>4.57</v>
      </c>
      <c r="F33" s="21">
        <f t="shared" si="22"/>
        <v>3.063726548946777E-5</v>
      </c>
      <c r="G33" s="21">
        <f t="shared" si="0"/>
        <v>3.2639988720395815E-10</v>
      </c>
      <c r="H33" s="22">
        <f t="shared" si="23"/>
        <v>4.25</v>
      </c>
      <c r="I33" s="22">
        <v>3.2</v>
      </c>
      <c r="J33" s="23">
        <v>418</v>
      </c>
      <c r="K33" s="24">
        <f t="shared" si="1"/>
        <v>6.0579710144927539E-3</v>
      </c>
      <c r="L33" s="25">
        <f t="shared" si="2"/>
        <v>6057.971014492754</v>
      </c>
      <c r="M33" s="26">
        <f t="shared" si="3"/>
        <v>8.8729214635843882E-6</v>
      </c>
      <c r="N33" s="23">
        <v>0.15</v>
      </c>
      <c r="O33" s="34">
        <f t="shared" si="4"/>
        <v>2.1970032810549861E-4</v>
      </c>
      <c r="P33" s="34">
        <v>1.5382271999999999E-4</v>
      </c>
      <c r="Q33" s="22">
        <v>716</v>
      </c>
      <c r="R33" s="22">
        <f t="shared" si="5"/>
        <v>95458.551999999996</v>
      </c>
      <c r="S33" s="22">
        <f t="shared" si="6"/>
        <v>25928.909899350252</v>
      </c>
      <c r="T33" s="27">
        <f t="shared" si="7"/>
        <v>3.6815489880040069</v>
      </c>
      <c r="U33" s="28">
        <f t="shared" si="8"/>
        <v>2.6815489880040069</v>
      </c>
      <c r="V33" s="28">
        <f t="shared" si="20"/>
        <v>2.5201479839447032</v>
      </c>
      <c r="X33" s="30">
        <f t="shared" si="10"/>
        <v>0.16140100405930369</v>
      </c>
      <c r="Y33" s="30">
        <f t="shared" si="11"/>
        <v>2.6050284111351366E-2</v>
      </c>
      <c r="Z33" s="31">
        <f t="shared" si="21"/>
        <v>90.902766378776278</v>
      </c>
      <c r="AA33" s="32">
        <f t="shared" si="13"/>
        <v>90.902766378776278</v>
      </c>
    </row>
    <row r="34" spans="4:27" ht="15.75" customHeight="1" x14ac:dyDescent="0.2">
      <c r="D34" s="2"/>
      <c r="E34" s="35">
        <v>4.5</v>
      </c>
      <c r="F34" s="36">
        <f t="shared" si="22"/>
        <v>3.063726548946777E-5</v>
      </c>
      <c r="G34" s="36">
        <f t="shared" si="0"/>
        <v>3.2639988720395815E-10</v>
      </c>
      <c r="H34" s="37">
        <f>H28</f>
        <v>4.25</v>
      </c>
      <c r="I34" s="37">
        <v>4.5</v>
      </c>
      <c r="J34" s="38">
        <v>475</v>
      </c>
      <c r="K34" s="39">
        <f t="shared" si="1"/>
        <v>6.8840579710144926E-3</v>
      </c>
      <c r="L34" s="40">
        <f t="shared" si="2"/>
        <v>6884.057971014493</v>
      </c>
      <c r="M34" s="41">
        <f t="shared" si="3"/>
        <v>1.0738010010968626E-5</v>
      </c>
      <c r="N34" s="38">
        <v>0.15</v>
      </c>
      <c r="O34" s="42">
        <f t="shared" si="4"/>
        <v>2.3397558655479007E-4</v>
      </c>
      <c r="P34" s="42">
        <v>1.5382271999999999E-4</v>
      </c>
      <c r="Q34" s="37">
        <v>889</v>
      </c>
      <c r="R34" s="37">
        <f t="shared" si="5"/>
        <v>118523.258</v>
      </c>
      <c r="S34" s="37">
        <f t="shared" si="6"/>
        <v>32039.162622097279</v>
      </c>
      <c r="T34" s="43">
        <f t="shared" si="7"/>
        <v>3.6993244610661264</v>
      </c>
      <c r="U34" s="44">
        <f t="shared" si="8"/>
        <v>2.6993244610661264</v>
      </c>
      <c r="V34" s="44">
        <f t="shared" si="20"/>
        <v>2.7393595730898568</v>
      </c>
      <c r="W34" s="45"/>
      <c r="X34" s="46">
        <f t="shared" si="10"/>
        <v>-4.0035112023730335E-2</v>
      </c>
      <c r="Y34" s="46">
        <f t="shared" si="11"/>
        <v>1.6028101947526373E-3</v>
      </c>
      <c r="Z34" s="47">
        <f t="shared" si="21"/>
        <v>157.01860922435853</v>
      </c>
      <c r="AA34" s="48">
        <f t="shared" si="13"/>
        <v>157.01860922435853</v>
      </c>
    </row>
    <row r="35" spans="4:27" ht="15.75" customHeight="1" x14ac:dyDescent="0.2">
      <c r="E35" s="50"/>
    </row>
    <row r="36" spans="4:27" ht="15.75" customHeight="1" x14ac:dyDescent="0.2">
      <c r="E36" s="50"/>
    </row>
    <row r="37" spans="4:27" ht="15.75" customHeight="1" x14ac:dyDescent="0.2">
      <c r="E37" s="50"/>
    </row>
  </sheetData>
  <mergeCells count="3">
    <mergeCell ref="D3:D14"/>
    <mergeCell ref="D15:D26"/>
    <mergeCell ref="D27:D34"/>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4"/>
  <sheetViews>
    <sheetView zoomScaleNormal="100" workbookViewId="0"/>
  </sheetViews>
  <sheetFormatPr baseColWidth="10" defaultColWidth="8.6640625" defaultRowHeight="16" x14ac:dyDescent="0.2"/>
  <cols>
    <col min="1" max="1" width="10" customWidth="1"/>
    <col min="2" max="3" width="45" customWidth="1"/>
    <col min="4" max="4" width="70" customWidth="1"/>
  </cols>
  <sheetData>
    <row r="1" spans="1:4" x14ac:dyDescent="0.2">
      <c r="A1" s="51" t="s">
        <v>39</v>
      </c>
    </row>
    <row r="3" spans="1:4" ht="75" customHeight="1" x14ac:dyDescent="0.2">
      <c r="A3" s="1" t="s">
        <v>40</v>
      </c>
      <c r="B3" s="1"/>
      <c r="C3" s="1"/>
      <c r="D3" s="1"/>
    </row>
    <row r="4" spans="1:4" ht="90" customHeight="1" x14ac:dyDescent="0.2">
      <c r="A4" s="1" t="s">
        <v>41</v>
      </c>
      <c r="B4" s="1"/>
      <c r="C4" s="1"/>
      <c r="D4" s="1"/>
    </row>
    <row r="5" spans="1:4" ht="45" customHeight="1" x14ac:dyDescent="0.2">
      <c r="A5" s="1" t="s">
        <v>42</v>
      </c>
      <c r="B5" s="1"/>
      <c r="C5" s="1"/>
      <c r="D5" s="1"/>
    </row>
    <row r="7" spans="1:4" x14ac:dyDescent="0.2">
      <c r="A7" s="52" t="s">
        <v>43</v>
      </c>
      <c r="B7" s="52" t="s">
        <v>44</v>
      </c>
      <c r="C7" s="52" t="s">
        <v>45</v>
      </c>
      <c r="D7" s="52" t="s">
        <v>46</v>
      </c>
    </row>
    <row r="8" spans="1:4" ht="26" x14ac:dyDescent="0.2">
      <c r="A8" s="53" t="s">
        <v>47</v>
      </c>
      <c r="B8" s="54" t="s">
        <v>48</v>
      </c>
      <c r="C8" s="54" t="s">
        <v>49</v>
      </c>
      <c r="D8" s="54" t="s">
        <v>50</v>
      </c>
    </row>
    <row r="9" spans="1:4" ht="26" x14ac:dyDescent="0.2">
      <c r="A9" s="53" t="s">
        <v>51</v>
      </c>
      <c r="B9" s="54" t="s">
        <v>52</v>
      </c>
      <c r="C9" s="54" t="s">
        <v>53</v>
      </c>
      <c r="D9" s="54" t="s">
        <v>54</v>
      </c>
    </row>
    <row r="10" spans="1:4" ht="26" x14ac:dyDescent="0.2">
      <c r="A10" s="53" t="s">
        <v>55</v>
      </c>
      <c r="B10" s="54" t="s">
        <v>56</v>
      </c>
      <c r="C10" s="54" t="s">
        <v>57</v>
      </c>
      <c r="D10" s="54" t="s">
        <v>50</v>
      </c>
    </row>
    <row r="11" spans="1:4" ht="26" x14ac:dyDescent="0.2">
      <c r="A11" s="53" t="s">
        <v>58</v>
      </c>
      <c r="B11" s="54" t="s">
        <v>59</v>
      </c>
      <c r="C11" s="54" t="s">
        <v>60</v>
      </c>
      <c r="D11" s="54" t="s">
        <v>54</v>
      </c>
    </row>
    <row r="12" spans="1:4" ht="26" x14ac:dyDescent="0.2">
      <c r="A12" s="53" t="s">
        <v>61</v>
      </c>
      <c r="B12" s="54" t="s">
        <v>62</v>
      </c>
      <c r="C12" s="54" t="s">
        <v>63</v>
      </c>
      <c r="D12" s="54" t="s">
        <v>50</v>
      </c>
    </row>
    <row r="13" spans="1:4" ht="26" x14ac:dyDescent="0.2">
      <c r="A13" s="53" t="s">
        <v>64</v>
      </c>
      <c r="B13" s="54" t="s">
        <v>65</v>
      </c>
      <c r="C13" s="54" t="s">
        <v>66</v>
      </c>
      <c r="D13" s="54" t="s">
        <v>54</v>
      </c>
    </row>
    <row r="14" spans="1:4" ht="26" x14ac:dyDescent="0.2">
      <c r="A14" s="53" t="s">
        <v>67</v>
      </c>
      <c r="B14" s="54" t="s">
        <v>68</v>
      </c>
      <c r="C14" s="54" t="s">
        <v>69</v>
      </c>
      <c r="D14" s="54" t="s">
        <v>50</v>
      </c>
    </row>
    <row r="15" spans="1:4" ht="26" x14ac:dyDescent="0.2">
      <c r="A15" s="53" t="s">
        <v>70</v>
      </c>
      <c r="B15" s="54" t="s">
        <v>71</v>
      </c>
      <c r="C15" s="54" t="s">
        <v>72</v>
      </c>
      <c r="D15" s="54" t="s">
        <v>54</v>
      </c>
    </row>
    <row r="16" spans="1:4" ht="26" x14ac:dyDescent="0.2">
      <c r="A16" s="53" t="s">
        <v>73</v>
      </c>
      <c r="B16" s="54" t="s">
        <v>74</v>
      </c>
      <c r="C16" s="54" t="s">
        <v>75</v>
      </c>
      <c r="D16" s="54" t="s">
        <v>50</v>
      </c>
    </row>
    <row r="17" spans="1:4" ht="26" x14ac:dyDescent="0.2">
      <c r="A17" s="53" t="s">
        <v>76</v>
      </c>
      <c r="B17" s="54" t="s">
        <v>77</v>
      </c>
      <c r="C17" s="54" t="s">
        <v>78</v>
      </c>
      <c r="D17" s="54" t="s">
        <v>54</v>
      </c>
    </row>
    <row r="18" spans="1:4" ht="26" x14ac:dyDescent="0.2">
      <c r="A18" s="53" t="s">
        <v>79</v>
      </c>
      <c r="B18" s="54" t="s">
        <v>80</v>
      </c>
      <c r="C18" s="54" t="s">
        <v>81</v>
      </c>
      <c r="D18" s="54" t="s">
        <v>50</v>
      </c>
    </row>
    <row r="19" spans="1:4" ht="26" x14ac:dyDescent="0.2">
      <c r="A19" s="53" t="s">
        <v>82</v>
      </c>
      <c r="B19" s="54" t="s">
        <v>83</v>
      </c>
      <c r="C19" s="54" t="s">
        <v>84</v>
      </c>
      <c r="D19" s="54" t="s">
        <v>54</v>
      </c>
    </row>
    <row r="20" spans="1:4" ht="26" x14ac:dyDescent="0.2">
      <c r="A20" s="53" t="s">
        <v>85</v>
      </c>
      <c r="B20" s="54" t="s">
        <v>86</v>
      </c>
      <c r="C20" s="54" t="s">
        <v>87</v>
      </c>
      <c r="D20" s="54" t="s">
        <v>50</v>
      </c>
    </row>
    <row r="21" spans="1:4" ht="26" x14ac:dyDescent="0.2">
      <c r="A21" s="53" t="s">
        <v>88</v>
      </c>
      <c r="B21" s="54" t="s">
        <v>89</v>
      </c>
      <c r="C21" s="54" t="s">
        <v>90</v>
      </c>
      <c r="D21" s="54" t="s">
        <v>54</v>
      </c>
    </row>
    <row r="22" spans="1:4" ht="26" x14ac:dyDescent="0.2">
      <c r="A22" s="53" t="s">
        <v>91</v>
      </c>
      <c r="B22" s="54" t="s">
        <v>92</v>
      </c>
      <c r="C22" s="54" t="s">
        <v>93</v>
      </c>
      <c r="D22" s="54" t="s">
        <v>50</v>
      </c>
    </row>
    <row r="23" spans="1:4" ht="26" x14ac:dyDescent="0.2">
      <c r="A23" s="53" t="s">
        <v>94</v>
      </c>
      <c r="B23" s="54" t="s">
        <v>95</v>
      </c>
      <c r="C23" s="54" t="s">
        <v>96</v>
      </c>
      <c r="D23" s="54" t="s">
        <v>54</v>
      </c>
    </row>
    <row r="24" spans="1:4" ht="26" x14ac:dyDescent="0.2">
      <c r="A24" s="53" t="s">
        <v>97</v>
      </c>
      <c r="B24" s="54" t="s">
        <v>98</v>
      </c>
      <c r="C24" s="54" t="s">
        <v>99</v>
      </c>
      <c r="D24" s="54" t="s">
        <v>50</v>
      </c>
    </row>
    <row r="25" spans="1:4" ht="26" x14ac:dyDescent="0.2">
      <c r="A25" s="53" t="s">
        <v>100</v>
      </c>
      <c r="B25" s="54" t="s">
        <v>101</v>
      </c>
      <c r="C25" s="54" t="s">
        <v>102</v>
      </c>
      <c r="D25" s="54" t="s">
        <v>54</v>
      </c>
    </row>
    <row r="26" spans="1:4" ht="26" x14ac:dyDescent="0.2">
      <c r="A26" s="53" t="s">
        <v>103</v>
      </c>
      <c r="B26" s="54" t="s">
        <v>104</v>
      </c>
      <c r="C26" s="54" t="s">
        <v>105</v>
      </c>
      <c r="D26" s="54" t="s">
        <v>50</v>
      </c>
    </row>
    <row r="27" spans="1:4" ht="26" x14ac:dyDescent="0.2">
      <c r="A27" s="53" t="s">
        <v>106</v>
      </c>
      <c r="B27" s="54" t="s">
        <v>107</v>
      </c>
      <c r="C27" s="54" t="s">
        <v>108</v>
      </c>
      <c r="D27" s="54" t="s">
        <v>54</v>
      </c>
    </row>
    <row r="28" spans="1:4" ht="26" x14ac:dyDescent="0.2">
      <c r="A28" s="53" t="s">
        <v>109</v>
      </c>
      <c r="B28" s="54" t="s">
        <v>110</v>
      </c>
      <c r="C28" s="54" t="s">
        <v>111</v>
      </c>
      <c r="D28" s="54" t="s">
        <v>50</v>
      </c>
    </row>
    <row r="29" spans="1:4" ht="26" x14ac:dyDescent="0.2">
      <c r="A29" s="53" t="s">
        <v>112</v>
      </c>
      <c r="B29" s="54" t="s">
        <v>113</v>
      </c>
      <c r="C29" s="54" t="s">
        <v>114</v>
      </c>
      <c r="D29" s="54" t="s">
        <v>54</v>
      </c>
    </row>
    <row r="30" spans="1:4" ht="26" x14ac:dyDescent="0.2">
      <c r="A30" s="53" t="s">
        <v>115</v>
      </c>
      <c r="B30" s="54" t="s">
        <v>116</v>
      </c>
      <c r="C30" s="54" t="s">
        <v>117</v>
      </c>
      <c r="D30" s="54" t="s">
        <v>50</v>
      </c>
    </row>
    <row r="31" spans="1:4" ht="26" x14ac:dyDescent="0.2">
      <c r="A31" s="53" t="s">
        <v>118</v>
      </c>
      <c r="B31" s="54" t="s">
        <v>119</v>
      </c>
      <c r="C31" s="54" t="s">
        <v>120</v>
      </c>
      <c r="D31" s="54" t="s">
        <v>54</v>
      </c>
    </row>
    <row r="32" spans="1:4" ht="26" x14ac:dyDescent="0.2">
      <c r="A32" s="53" t="s">
        <v>121</v>
      </c>
      <c r="B32" s="54" t="s">
        <v>122</v>
      </c>
      <c r="C32" s="54" t="s">
        <v>123</v>
      </c>
      <c r="D32" s="54" t="s">
        <v>50</v>
      </c>
    </row>
    <row r="33" spans="1:4" ht="26" x14ac:dyDescent="0.2">
      <c r="A33" s="53" t="s">
        <v>124</v>
      </c>
      <c r="B33" s="54" t="s">
        <v>125</v>
      </c>
      <c r="C33" s="54" t="s">
        <v>126</v>
      </c>
      <c r="D33" s="54" t="s">
        <v>54</v>
      </c>
    </row>
    <row r="34" spans="1:4" ht="26" x14ac:dyDescent="0.2">
      <c r="A34" s="53" t="s">
        <v>127</v>
      </c>
      <c r="B34" s="54" t="s">
        <v>128</v>
      </c>
      <c r="C34" s="54" t="s">
        <v>129</v>
      </c>
      <c r="D34" s="54" t="s">
        <v>50</v>
      </c>
    </row>
    <row r="35" spans="1:4" ht="26" x14ac:dyDescent="0.2">
      <c r="A35" s="53" t="s">
        <v>130</v>
      </c>
      <c r="B35" s="54" t="s">
        <v>131</v>
      </c>
      <c r="C35" s="54" t="s">
        <v>132</v>
      </c>
      <c r="D35" s="54" t="s">
        <v>54</v>
      </c>
    </row>
    <row r="36" spans="1:4" ht="26" x14ac:dyDescent="0.2">
      <c r="A36" s="53" t="s">
        <v>133</v>
      </c>
      <c r="B36" s="54" t="s">
        <v>134</v>
      </c>
      <c r="C36" s="54" t="s">
        <v>135</v>
      </c>
      <c r="D36" s="54" t="s">
        <v>50</v>
      </c>
    </row>
    <row r="37" spans="1:4" ht="26" x14ac:dyDescent="0.2">
      <c r="A37" s="53" t="s">
        <v>136</v>
      </c>
      <c r="B37" s="54" t="s">
        <v>137</v>
      </c>
      <c r="C37" s="54" t="s">
        <v>138</v>
      </c>
      <c r="D37" s="54" t="s">
        <v>54</v>
      </c>
    </row>
    <row r="38" spans="1:4" ht="26" x14ac:dyDescent="0.2">
      <c r="A38" s="53" t="s">
        <v>139</v>
      </c>
      <c r="B38" s="54" t="s">
        <v>140</v>
      </c>
      <c r="C38" s="54" t="s">
        <v>141</v>
      </c>
      <c r="D38" s="54" t="s">
        <v>50</v>
      </c>
    </row>
    <row r="39" spans="1:4" ht="26" x14ac:dyDescent="0.2">
      <c r="A39" s="53" t="s">
        <v>142</v>
      </c>
      <c r="B39" s="54" t="s">
        <v>143</v>
      </c>
      <c r="C39" s="54" t="s">
        <v>144</v>
      </c>
      <c r="D39" s="54" t="s">
        <v>54</v>
      </c>
    </row>
    <row r="40" spans="1:4" ht="26" x14ac:dyDescent="0.2">
      <c r="A40" s="53" t="s">
        <v>145</v>
      </c>
      <c r="B40" s="54" t="s">
        <v>146</v>
      </c>
      <c r="C40" s="54" t="s">
        <v>147</v>
      </c>
      <c r="D40" s="54" t="s">
        <v>50</v>
      </c>
    </row>
    <row r="41" spans="1:4" ht="26" x14ac:dyDescent="0.2">
      <c r="A41" s="53" t="s">
        <v>148</v>
      </c>
      <c r="B41" s="54" t="s">
        <v>149</v>
      </c>
      <c r="C41" s="54" t="s">
        <v>150</v>
      </c>
      <c r="D41" s="54" t="s">
        <v>54</v>
      </c>
    </row>
    <row r="42" spans="1:4" ht="26" x14ac:dyDescent="0.2">
      <c r="A42" s="53" t="s">
        <v>151</v>
      </c>
      <c r="B42" s="54" t="s">
        <v>152</v>
      </c>
      <c r="C42" s="54" t="s">
        <v>153</v>
      </c>
      <c r="D42" s="54" t="s">
        <v>50</v>
      </c>
    </row>
    <row r="43" spans="1:4" ht="26" x14ac:dyDescent="0.2">
      <c r="A43" s="53" t="s">
        <v>154</v>
      </c>
      <c r="B43" s="54" t="s">
        <v>155</v>
      </c>
      <c r="C43" s="54" t="s">
        <v>156</v>
      </c>
      <c r="D43" s="54" t="s">
        <v>54</v>
      </c>
    </row>
    <row r="44" spans="1:4" ht="26" x14ac:dyDescent="0.2">
      <c r="A44" s="53" t="s">
        <v>157</v>
      </c>
      <c r="B44" s="54" t="s">
        <v>158</v>
      </c>
      <c r="C44" s="54" t="s">
        <v>159</v>
      </c>
      <c r="D44" s="54" t="s">
        <v>50</v>
      </c>
    </row>
    <row r="45" spans="1:4" ht="26" x14ac:dyDescent="0.2">
      <c r="A45" s="53" t="s">
        <v>160</v>
      </c>
      <c r="B45" s="54" t="s">
        <v>161</v>
      </c>
      <c r="C45" s="54" t="s">
        <v>162</v>
      </c>
      <c r="D45" s="54" t="s">
        <v>54</v>
      </c>
    </row>
    <row r="46" spans="1:4" ht="26" x14ac:dyDescent="0.2">
      <c r="A46" s="53" t="s">
        <v>163</v>
      </c>
      <c r="B46" s="54" t="s">
        <v>164</v>
      </c>
      <c r="C46" s="54" t="s">
        <v>165</v>
      </c>
      <c r="D46" s="54" t="s">
        <v>50</v>
      </c>
    </row>
    <row r="47" spans="1:4" ht="26" x14ac:dyDescent="0.2">
      <c r="A47" s="53" t="s">
        <v>166</v>
      </c>
      <c r="B47" s="54" t="s">
        <v>167</v>
      </c>
      <c r="C47" s="54" t="s">
        <v>168</v>
      </c>
      <c r="D47" s="54" t="s">
        <v>54</v>
      </c>
    </row>
    <row r="48" spans="1:4" ht="26" x14ac:dyDescent="0.2">
      <c r="A48" s="53" t="s">
        <v>169</v>
      </c>
      <c r="B48" s="54" t="s">
        <v>170</v>
      </c>
      <c r="C48" s="54" t="s">
        <v>171</v>
      </c>
      <c r="D48" s="54" t="s">
        <v>50</v>
      </c>
    </row>
    <row r="49" spans="1:4" ht="26" x14ac:dyDescent="0.2">
      <c r="A49" s="53" t="s">
        <v>172</v>
      </c>
      <c r="B49" s="54" t="s">
        <v>173</v>
      </c>
      <c r="C49" s="54" t="s">
        <v>174</v>
      </c>
      <c r="D49" s="54" t="s">
        <v>54</v>
      </c>
    </row>
    <row r="50" spans="1:4" ht="26" x14ac:dyDescent="0.2">
      <c r="A50" s="53" t="s">
        <v>175</v>
      </c>
      <c r="B50" s="54" t="s">
        <v>176</v>
      </c>
      <c r="C50" s="54" t="s">
        <v>177</v>
      </c>
      <c r="D50" s="54" t="s">
        <v>50</v>
      </c>
    </row>
    <row r="51" spans="1:4" ht="26" x14ac:dyDescent="0.2">
      <c r="A51" s="53" t="s">
        <v>178</v>
      </c>
      <c r="B51" s="54" t="s">
        <v>179</v>
      </c>
      <c r="C51" s="54" t="s">
        <v>180</v>
      </c>
      <c r="D51" s="54" t="s">
        <v>54</v>
      </c>
    </row>
    <row r="52" spans="1:4" ht="26" x14ac:dyDescent="0.2">
      <c r="A52" s="53" t="s">
        <v>181</v>
      </c>
      <c r="B52" s="54" t="s">
        <v>182</v>
      </c>
      <c r="C52" s="54" t="s">
        <v>183</v>
      </c>
      <c r="D52" s="54" t="s">
        <v>50</v>
      </c>
    </row>
    <row r="53" spans="1:4" ht="26" x14ac:dyDescent="0.2">
      <c r="A53" s="53" t="s">
        <v>184</v>
      </c>
      <c r="B53" s="54" t="s">
        <v>185</v>
      </c>
      <c r="C53" s="54" t="s">
        <v>186</v>
      </c>
      <c r="D53" s="54" t="s">
        <v>54</v>
      </c>
    </row>
    <row r="54" spans="1:4" ht="26" x14ac:dyDescent="0.2">
      <c r="A54" s="53" t="s">
        <v>187</v>
      </c>
      <c r="B54" s="54" t="s">
        <v>188</v>
      </c>
      <c r="C54" s="54" t="s">
        <v>189</v>
      </c>
      <c r="D54" s="54" t="s">
        <v>50</v>
      </c>
    </row>
    <row r="55" spans="1:4" ht="26" x14ac:dyDescent="0.2">
      <c r="A55" s="53" t="s">
        <v>190</v>
      </c>
      <c r="B55" s="54" t="s">
        <v>191</v>
      </c>
      <c r="C55" s="54" t="s">
        <v>192</v>
      </c>
      <c r="D55" s="54" t="s">
        <v>54</v>
      </c>
    </row>
    <row r="56" spans="1:4" ht="26" x14ac:dyDescent="0.2">
      <c r="A56" s="53" t="s">
        <v>193</v>
      </c>
      <c r="B56" s="54" t="s">
        <v>194</v>
      </c>
      <c r="C56" s="54" t="s">
        <v>195</v>
      </c>
      <c r="D56" s="54" t="s">
        <v>50</v>
      </c>
    </row>
    <row r="57" spans="1:4" ht="26" x14ac:dyDescent="0.2">
      <c r="A57" s="53" t="s">
        <v>196</v>
      </c>
      <c r="B57" s="54" t="s">
        <v>197</v>
      </c>
      <c r="C57" s="54" t="s">
        <v>198</v>
      </c>
      <c r="D57" s="54" t="s">
        <v>54</v>
      </c>
    </row>
    <row r="58" spans="1:4" ht="26" x14ac:dyDescent="0.2">
      <c r="A58" s="53" t="s">
        <v>199</v>
      </c>
      <c r="B58" s="54" t="s">
        <v>200</v>
      </c>
      <c r="C58" s="54" t="s">
        <v>201</v>
      </c>
      <c r="D58" s="54" t="s">
        <v>50</v>
      </c>
    </row>
    <row r="59" spans="1:4" ht="26" x14ac:dyDescent="0.2">
      <c r="A59" s="53" t="s">
        <v>202</v>
      </c>
      <c r="B59" s="54" t="s">
        <v>203</v>
      </c>
      <c r="C59" s="54" t="s">
        <v>204</v>
      </c>
      <c r="D59" s="54" t="s">
        <v>54</v>
      </c>
    </row>
    <row r="60" spans="1:4" ht="26" x14ac:dyDescent="0.2">
      <c r="A60" s="53" t="s">
        <v>205</v>
      </c>
      <c r="B60" s="54" t="s">
        <v>206</v>
      </c>
      <c r="C60" s="54" t="s">
        <v>207</v>
      </c>
      <c r="D60" s="54" t="s">
        <v>50</v>
      </c>
    </row>
    <row r="61" spans="1:4" ht="26" x14ac:dyDescent="0.2">
      <c r="A61" s="53" t="s">
        <v>208</v>
      </c>
      <c r="B61" s="54" t="s">
        <v>209</v>
      </c>
      <c r="C61" s="54" t="s">
        <v>210</v>
      </c>
      <c r="D61" s="54" t="s">
        <v>54</v>
      </c>
    </row>
    <row r="62" spans="1:4" ht="26" x14ac:dyDescent="0.2">
      <c r="A62" s="53" t="s">
        <v>211</v>
      </c>
      <c r="B62" s="54" t="s">
        <v>212</v>
      </c>
      <c r="C62" s="54" t="s">
        <v>213</v>
      </c>
      <c r="D62" s="54" t="s">
        <v>50</v>
      </c>
    </row>
    <row r="63" spans="1:4" ht="26" x14ac:dyDescent="0.2">
      <c r="A63" s="53" t="s">
        <v>214</v>
      </c>
      <c r="B63" s="54" t="s">
        <v>215</v>
      </c>
      <c r="C63" s="54" t="s">
        <v>216</v>
      </c>
      <c r="D63" s="54" t="s">
        <v>54</v>
      </c>
    </row>
    <row r="64" spans="1:4" ht="26" x14ac:dyDescent="0.2">
      <c r="A64" s="53" t="s">
        <v>217</v>
      </c>
      <c r="B64" s="54" t="s">
        <v>218</v>
      </c>
      <c r="C64" s="54" t="s">
        <v>219</v>
      </c>
      <c r="D64" s="54" t="s">
        <v>50</v>
      </c>
    </row>
    <row r="65" spans="1:4" ht="26" x14ac:dyDescent="0.2">
      <c r="A65" s="53" t="s">
        <v>220</v>
      </c>
      <c r="B65" s="54" t="s">
        <v>221</v>
      </c>
      <c r="C65" s="54" t="s">
        <v>222</v>
      </c>
      <c r="D65" s="54" t="s">
        <v>54</v>
      </c>
    </row>
    <row r="66" spans="1:4" ht="26" x14ac:dyDescent="0.2">
      <c r="A66" s="53" t="s">
        <v>223</v>
      </c>
      <c r="B66" s="54" t="s">
        <v>224</v>
      </c>
      <c r="C66" s="54" t="s">
        <v>225</v>
      </c>
      <c r="D66" s="54" t="s">
        <v>50</v>
      </c>
    </row>
    <row r="67" spans="1:4" ht="26" x14ac:dyDescent="0.2">
      <c r="A67" s="53" t="s">
        <v>226</v>
      </c>
      <c r="B67" s="54" t="s">
        <v>227</v>
      </c>
      <c r="C67" s="54" t="s">
        <v>228</v>
      </c>
      <c r="D67" s="54" t="s">
        <v>54</v>
      </c>
    </row>
    <row r="68" spans="1:4" ht="26" x14ac:dyDescent="0.2">
      <c r="A68" s="53" t="s">
        <v>229</v>
      </c>
      <c r="B68" s="54" t="s">
        <v>230</v>
      </c>
      <c r="C68" s="54" t="s">
        <v>231</v>
      </c>
      <c r="D68" s="54" t="s">
        <v>50</v>
      </c>
    </row>
    <row r="69" spans="1:4" ht="26" x14ac:dyDescent="0.2">
      <c r="A69" s="53" t="s">
        <v>232</v>
      </c>
      <c r="B69" s="54" t="s">
        <v>233</v>
      </c>
      <c r="C69" s="54" t="s">
        <v>234</v>
      </c>
      <c r="D69" s="54" t="s">
        <v>54</v>
      </c>
    </row>
    <row r="70" spans="1:4" ht="26" x14ac:dyDescent="0.2">
      <c r="A70" s="53" t="s">
        <v>235</v>
      </c>
      <c r="B70" s="54" t="s">
        <v>236</v>
      </c>
      <c r="C70" s="54" t="s">
        <v>237</v>
      </c>
      <c r="D70" s="54" t="s">
        <v>50</v>
      </c>
    </row>
    <row r="71" spans="1:4" ht="26" x14ac:dyDescent="0.2">
      <c r="A71" s="53" t="s">
        <v>238</v>
      </c>
      <c r="B71" s="54" t="s">
        <v>239</v>
      </c>
      <c r="C71" s="54" t="s">
        <v>240</v>
      </c>
      <c r="D71" s="54" t="s">
        <v>54</v>
      </c>
    </row>
    <row r="72" spans="1:4" ht="26" x14ac:dyDescent="0.2">
      <c r="A72" s="53" t="s">
        <v>241</v>
      </c>
      <c r="B72" s="54" t="s">
        <v>242</v>
      </c>
      <c r="C72" s="54" t="s">
        <v>243</v>
      </c>
      <c r="D72" s="54" t="s">
        <v>244</v>
      </c>
    </row>
    <row r="73" spans="1:4" ht="26" x14ac:dyDescent="0.2">
      <c r="A73" s="53" t="s">
        <v>245</v>
      </c>
      <c r="B73" s="54" t="s">
        <v>246</v>
      </c>
      <c r="C73" s="54" t="s">
        <v>247</v>
      </c>
      <c r="D73" s="54" t="s">
        <v>244</v>
      </c>
    </row>
    <row r="74" spans="1:4" ht="26" x14ac:dyDescent="0.2">
      <c r="A74" s="53" t="s">
        <v>248</v>
      </c>
      <c r="B74" s="54" t="s">
        <v>249</v>
      </c>
      <c r="C74" s="54" t="s">
        <v>250</v>
      </c>
      <c r="D74" s="54" t="s">
        <v>244</v>
      </c>
    </row>
    <row r="75" spans="1:4" ht="26" x14ac:dyDescent="0.2">
      <c r="A75" s="53" t="s">
        <v>251</v>
      </c>
      <c r="B75" s="54" t="s">
        <v>252</v>
      </c>
      <c r="C75" s="54" t="s">
        <v>253</v>
      </c>
      <c r="D75" s="54" t="s">
        <v>244</v>
      </c>
    </row>
    <row r="76" spans="1:4" ht="26" x14ac:dyDescent="0.2">
      <c r="A76" s="53" t="s">
        <v>254</v>
      </c>
      <c r="B76" s="54" t="s">
        <v>255</v>
      </c>
      <c r="C76" s="54" t="s">
        <v>256</v>
      </c>
      <c r="D76" s="54" t="s">
        <v>244</v>
      </c>
    </row>
    <row r="77" spans="1:4" ht="26" x14ac:dyDescent="0.2">
      <c r="A77" s="53" t="s">
        <v>257</v>
      </c>
      <c r="B77" s="54" t="s">
        <v>258</v>
      </c>
      <c r="C77" s="54" t="s">
        <v>259</v>
      </c>
      <c r="D77" s="54" t="s">
        <v>244</v>
      </c>
    </row>
    <row r="78" spans="1:4" ht="26" x14ac:dyDescent="0.2">
      <c r="A78" s="53" t="s">
        <v>260</v>
      </c>
      <c r="B78" s="54" t="s">
        <v>261</v>
      </c>
      <c r="C78" s="54" t="s">
        <v>262</v>
      </c>
      <c r="D78" s="54" t="s">
        <v>244</v>
      </c>
    </row>
    <row r="79" spans="1:4" ht="26" x14ac:dyDescent="0.2">
      <c r="A79" s="53" t="s">
        <v>263</v>
      </c>
      <c r="B79" s="54" t="s">
        <v>264</v>
      </c>
      <c r="C79" s="54" t="s">
        <v>265</v>
      </c>
      <c r="D79" s="54" t="s">
        <v>244</v>
      </c>
    </row>
    <row r="80" spans="1:4" ht="26" x14ac:dyDescent="0.2">
      <c r="A80" s="53" t="s">
        <v>266</v>
      </c>
      <c r="B80" s="54" t="s">
        <v>267</v>
      </c>
      <c r="C80" s="54" t="s">
        <v>268</v>
      </c>
      <c r="D80" s="54" t="s">
        <v>244</v>
      </c>
    </row>
    <row r="81" spans="1:4" ht="26" x14ac:dyDescent="0.2">
      <c r="A81" s="53" t="s">
        <v>269</v>
      </c>
      <c r="B81" s="54" t="s">
        <v>270</v>
      </c>
      <c r="C81" s="54" t="s">
        <v>271</v>
      </c>
      <c r="D81" s="54" t="s">
        <v>244</v>
      </c>
    </row>
    <row r="82" spans="1:4" ht="26" x14ac:dyDescent="0.2">
      <c r="A82" s="53" t="s">
        <v>272</v>
      </c>
      <c r="B82" s="54" t="s">
        <v>273</v>
      </c>
      <c r="C82" s="54" t="s">
        <v>274</v>
      </c>
      <c r="D82" s="54" t="s">
        <v>244</v>
      </c>
    </row>
    <row r="83" spans="1:4" ht="26" x14ac:dyDescent="0.2">
      <c r="A83" s="53" t="s">
        <v>275</v>
      </c>
      <c r="B83" s="54" t="s">
        <v>276</v>
      </c>
      <c r="C83" s="54" t="s">
        <v>277</v>
      </c>
      <c r="D83" s="54" t="s">
        <v>244</v>
      </c>
    </row>
    <row r="84" spans="1:4" ht="26" x14ac:dyDescent="0.2">
      <c r="A84" s="53" t="s">
        <v>278</v>
      </c>
      <c r="B84" s="54" t="s">
        <v>279</v>
      </c>
      <c r="C84" s="54" t="s">
        <v>280</v>
      </c>
      <c r="D84" s="54" t="s">
        <v>244</v>
      </c>
    </row>
    <row r="85" spans="1:4" ht="26" x14ac:dyDescent="0.2">
      <c r="A85" s="53" t="s">
        <v>281</v>
      </c>
      <c r="B85" s="54" t="s">
        <v>282</v>
      </c>
      <c r="C85" s="54" t="s">
        <v>283</v>
      </c>
      <c r="D85" s="54" t="s">
        <v>244</v>
      </c>
    </row>
    <row r="86" spans="1:4" ht="26" x14ac:dyDescent="0.2">
      <c r="A86" s="53" t="s">
        <v>284</v>
      </c>
      <c r="B86" s="54" t="s">
        <v>285</v>
      </c>
      <c r="C86" s="54" t="s">
        <v>286</v>
      </c>
      <c r="D86" s="54" t="s">
        <v>244</v>
      </c>
    </row>
    <row r="87" spans="1:4" ht="26" x14ac:dyDescent="0.2">
      <c r="A87" s="53" t="s">
        <v>287</v>
      </c>
      <c r="B87" s="54" t="s">
        <v>288</v>
      </c>
      <c r="C87" s="54" t="s">
        <v>289</v>
      </c>
      <c r="D87" s="54" t="s">
        <v>244</v>
      </c>
    </row>
    <row r="88" spans="1:4" ht="26" x14ac:dyDescent="0.2">
      <c r="A88" s="53" t="s">
        <v>290</v>
      </c>
      <c r="B88" s="54" t="s">
        <v>291</v>
      </c>
      <c r="C88" s="54" t="s">
        <v>292</v>
      </c>
      <c r="D88" s="54" t="s">
        <v>244</v>
      </c>
    </row>
    <row r="89" spans="1:4" ht="26" x14ac:dyDescent="0.2">
      <c r="A89" s="53" t="s">
        <v>293</v>
      </c>
      <c r="B89" s="54" t="s">
        <v>294</v>
      </c>
      <c r="C89" s="54" t="s">
        <v>295</v>
      </c>
      <c r="D89" s="54" t="s">
        <v>244</v>
      </c>
    </row>
    <row r="90" spans="1:4" ht="26" x14ac:dyDescent="0.2">
      <c r="A90" s="53" t="s">
        <v>296</v>
      </c>
      <c r="B90" s="54" t="s">
        <v>297</v>
      </c>
      <c r="C90" s="54" t="s">
        <v>298</v>
      </c>
      <c r="D90" s="54" t="s">
        <v>244</v>
      </c>
    </row>
    <row r="91" spans="1:4" ht="26" x14ac:dyDescent="0.2">
      <c r="A91" s="53" t="s">
        <v>299</v>
      </c>
      <c r="B91" s="54" t="s">
        <v>300</v>
      </c>
      <c r="C91" s="54" t="s">
        <v>301</v>
      </c>
      <c r="D91" s="54" t="s">
        <v>244</v>
      </c>
    </row>
    <row r="92" spans="1:4" ht="26" x14ac:dyDescent="0.2">
      <c r="A92" s="53" t="s">
        <v>302</v>
      </c>
      <c r="B92" s="54" t="s">
        <v>303</v>
      </c>
      <c r="C92" s="54" t="s">
        <v>304</v>
      </c>
      <c r="D92" s="54" t="s">
        <v>244</v>
      </c>
    </row>
    <row r="93" spans="1:4" ht="26" x14ac:dyDescent="0.2">
      <c r="A93" s="53" t="s">
        <v>305</v>
      </c>
      <c r="B93" s="54" t="s">
        <v>306</v>
      </c>
      <c r="C93" s="54" t="s">
        <v>307</v>
      </c>
      <c r="D93" s="54" t="s">
        <v>244</v>
      </c>
    </row>
    <row r="94" spans="1:4" ht="26" x14ac:dyDescent="0.2">
      <c r="A94" s="53" t="s">
        <v>308</v>
      </c>
      <c r="B94" s="54" t="s">
        <v>309</v>
      </c>
      <c r="C94" s="54" t="s">
        <v>310</v>
      </c>
      <c r="D94" s="54" t="s">
        <v>244</v>
      </c>
    </row>
    <row r="95" spans="1:4" ht="26" x14ac:dyDescent="0.2">
      <c r="A95" s="53" t="s">
        <v>311</v>
      </c>
      <c r="B95" s="54" t="s">
        <v>312</v>
      </c>
      <c r="C95" s="54" t="s">
        <v>313</v>
      </c>
      <c r="D95" s="54" t="s">
        <v>244</v>
      </c>
    </row>
    <row r="96" spans="1:4" ht="26" x14ac:dyDescent="0.2">
      <c r="A96" s="53" t="s">
        <v>314</v>
      </c>
      <c r="B96" s="54" t="s">
        <v>315</v>
      </c>
      <c r="C96" s="54" t="s">
        <v>316</v>
      </c>
      <c r="D96" s="54" t="s">
        <v>244</v>
      </c>
    </row>
    <row r="97" spans="1:4" ht="26" x14ac:dyDescent="0.2">
      <c r="A97" s="53" t="s">
        <v>317</v>
      </c>
      <c r="B97" s="54" t="s">
        <v>318</v>
      </c>
      <c r="C97" s="54" t="s">
        <v>319</v>
      </c>
      <c r="D97" s="54" t="s">
        <v>244</v>
      </c>
    </row>
    <row r="98" spans="1:4" ht="26" x14ac:dyDescent="0.2">
      <c r="A98" s="53" t="s">
        <v>320</v>
      </c>
      <c r="B98" s="54" t="s">
        <v>321</v>
      </c>
      <c r="C98" s="54" t="s">
        <v>322</v>
      </c>
      <c r="D98" s="54" t="s">
        <v>244</v>
      </c>
    </row>
    <row r="99" spans="1:4" ht="26" x14ac:dyDescent="0.2">
      <c r="A99" s="53" t="s">
        <v>323</v>
      </c>
      <c r="B99" s="54" t="s">
        <v>324</v>
      </c>
      <c r="C99" s="54" t="s">
        <v>325</v>
      </c>
      <c r="D99" s="54" t="s">
        <v>244</v>
      </c>
    </row>
    <row r="100" spans="1:4" ht="26" x14ac:dyDescent="0.2">
      <c r="A100" s="53" t="s">
        <v>326</v>
      </c>
      <c r="B100" s="54" t="s">
        <v>327</v>
      </c>
      <c r="C100" s="54" t="s">
        <v>328</v>
      </c>
      <c r="D100" s="54" t="s">
        <v>244</v>
      </c>
    </row>
    <row r="101" spans="1:4" ht="26" x14ac:dyDescent="0.2">
      <c r="A101" s="53" t="s">
        <v>329</v>
      </c>
      <c r="B101" s="54" t="s">
        <v>330</v>
      </c>
      <c r="C101" s="54" t="s">
        <v>331</v>
      </c>
      <c r="D101" s="54" t="s">
        <v>244</v>
      </c>
    </row>
    <row r="102" spans="1:4" ht="26" x14ac:dyDescent="0.2">
      <c r="A102" s="53" t="s">
        <v>332</v>
      </c>
      <c r="B102" s="54" t="s">
        <v>333</v>
      </c>
      <c r="C102" s="54" t="s">
        <v>334</v>
      </c>
      <c r="D102" s="54" t="s">
        <v>244</v>
      </c>
    </row>
    <row r="103" spans="1:4" ht="26" x14ac:dyDescent="0.2">
      <c r="A103" s="53" t="s">
        <v>335</v>
      </c>
      <c r="B103" s="54" t="s">
        <v>336</v>
      </c>
      <c r="C103" s="54" t="s">
        <v>337</v>
      </c>
      <c r="D103" s="54" t="s">
        <v>244</v>
      </c>
    </row>
    <row r="104" spans="1:4" x14ac:dyDescent="0.2">
      <c r="A104" s="53" t="s">
        <v>338</v>
      </c>
      <c r="B104" s="54" t="s">
        <v>339</v>
      </c>
      <c r="C104" s="54" t="s">
        <v>25</v>
      </c>
      <c r="D104" s="54" t="s">
        <v>340</v>
      </c>
    </row>
    <row r="105" spans="1:4" x14ac:dyDescent="0.2">
      <c r="A105" s="53" t="s">
        <v>341</v>
      </c>
      <c r="B105" s="54" t="s">
        <v>342</v>
      </c>
      <c r="C105" s="54" t="s">
        <v>343</v>
      </c>
      <c r="D105" s="54" t="s">
        <v>344</v>
      </c>
    </row>
    <row r="106" spans="1:4" x14ac:dyDescent="0.2">
      <c r="A106" s="53" t="s">
        <v>345</v>
      </c>
      <c r="B106" s="54" t="s">
        <v>346</v>
      </c>
      <c r="C106" s="54" t="s">
        <v>347</v>
      </c>
      <c r="D106" s="54" t="s">
        <v>344</v>
      </c>
    </row>
    <row r="107" spans="1:4" x14ac:dyDescent="0.2">
      <c r="A107" s="53" t="s">
        <v>348</v>
      </c>
      <c r="B107" s="54" t="s">
        <v>349</v>
      </c>
      <c r="C107" s="54" t="s">
        <v>350</v>
      </c>
      <c r="D107" s="54" t="s">
        <v>344</v>
      </c>
    </row>
    <row r="108" spans="1:4" x14ac:dyDescent="0.2">
      <c r="A108" s="53" t="s">
        <v>351</v>
      </c>
      <c r="B108" s="54" t="s">
        <v>352</v>
      </c>
      <c r="C108" s="54" t="s">
        <v>353</v>
      </c>
      <c r="D108" s="54" t="s">
        <v>354</v>
      </c>
    </row>
    <row r="109" spans="1:4" x14ac:dyDescent="0.2">
      <c r="A109" s="53" t="s">
        <v>355</v>
      </c>
      <c r="B109" s="54" t="s">
        <v>356</v>
      </c>
      <c r="C109" s="54" t="s">
        <v>357</v>
      </c>
      <c r="D109" s="54" t="s">
        <v>354</v>
      </c>
    </row>
    <row r="110" spans="1:4" x14ac:dyDescent="0.2">
      <c r="A110" s="53" t="s">
        <v>358</v>
      </c>
      <c r="B110" s="54" t="s">
        <v>359</v>
      </c>
      <c r="C110" s="54" t="s">
        <v>360</v>
      </c>
      <c r="D110" s="54" t="s">
        <v>354</v>
      </c>
    </row>
    <row r="111" spans="1:4" x14ac:dyDescent="0.2">
      <c r="A111" s="53" t="s">
        <v>361</v>
      </c>
      <c r="B111" s="54" t="s">
        <v>362</v>
      </c>
      <c r="C111" s="54" t="s">
        <v>363</v>
      </c>
      <c r="D111" s="54" t="s">
        <v>364</v>
      </c>
    </row>
    <row r="112" spans="1:4" x14ac:dyDescent="0.2">
      <c r="A112" s="53" t="s">
        <v>365</v>
      </c>
      <c r="B112" s="54" t="s">
        <v>366</v>
      </c>
      <c r="C112" s="54" t="s">
        <v>367</v>
      </c>
      <c r="D112" s="54" t="s">
        <v>364</v>
      </c>
    </row>
    <row r="113" spans="1:4" x14ac:dyDescent="0.2">
      <c r="A113" s="53" t="s">
        <v>368</v>
      </c>
      <c r="B113" s="54" t="s">
        <v>369</v>
      </c>
      <c r="C113" s="54" t="s">
        <v>370</v>
      </c>
      <c r="D113" s="54" t="s">
        <v>364</v>
      </c>
    </row>
    <row r="114" spans="1:4" x14ac:dyDescent="0.2">
      <c r="A114" s="53" t="s">
        <v>371</v>
      </c>
      <c r="B114" s="54" t="s">
        <v>372</v>
      </c>
      <c r="C114" s="54" t="s">
        <v>373</v>
      </c>
      <c r="D114" s="54" t="s">
        <v>364</v>
      </c>
    </row>
  </sheetData>
  <mergeCells count="3">
    <mergeCell ref="A3:D3"/>
    <mergeCell ref="A4:D4"/>
    <mergeCell ref="A5:D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BSA</vt:lpstr>
      <vt:lpstr>Corrections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Filipe Menezes</dc:creator>
  <dc:description/>
  <cp:lastModifiedBy>Dr Filipe Menezes</cp:lastModifiedBy>
  <cp:revision>2</cp:revision>
  <dcterms:created xsi:type="dcterms:W3CDTF">2023-04-12T21:19:53Z</dcterms:created>
  <dcterms:modified xsi:type="dcterms:W3CDTF">2026-10-09T22:17:09Z</dcterms:modified>
  <dc:language>en-US</dc:language>
</cp:coreProperties>
</file>