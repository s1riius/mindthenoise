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2SO4" sheetId="1" state="visible" r:id="rId3"/>
    <sheet name="Corrections log" sheetId="2" state="visible" r:id="rId4"/>
  </sheets>
  <definedNames>
    <definedName function="false" hidden="true" localSheetId="0" name="solver_adj" vbProcedure="false">K2SO4!$S$23:$S$26</definedName>
    <definedName function="false" hidden="true" localSheetId="0" name="solver_cvg" vbProcedure="false">0.0001</definedName>
    <definedName function="false" hidden="true" localSheetId="0" name="solver_drv" vbProcedure="false">2</definedName>
    <definedName function="false" hidden="true" localSheetId="0" name="solver_eng" vbProcedure="false">1</definedName>
    <definedName function="false" hidden="true" localSheetId="0" name="solver_itr" vbProcedure="false">2147483647</definedName>
    <definedName function="false" hidden="true" localSheetId="0" name="solver_lin" vbProcedure="false">2</definedName>
    <definedName function="false" hidden="true" localSheetId="0" name="solver_mip" vbProcedure="false">2147483647</definedName>
    <definedName function="false" hidden="true" localSheetId="0" name="solver_mni" vbProcedure="false">30</definedName>
    <definedName function="false" hidden="true" localSheetId="0" name="solver_mrt" vbProcedure="false">0.075</definedName>
    <definedName function="false" hidden="true" localSheetId="0" name="solver_msl" vbProcedure="false">2</definedName>
    <definedName function="false" hidden="true" localSheetId="0" name="solver_neg" vbProcedure="false">2</definedName>
    <definedName function="false" hidden="true" localSheetId="0" name="solver_nod" vbProcedure="false">2147483647</definedName>
    <definedName function="false" hidden="true" localSheetId="0" name="solver_num" vbProcedure="false">0</definedName>
    <definedName function="false" hidden="true" localSheetId="0" name="solver_opt" vbProcedure="false">K2SO4!$S$27</definedName>
    <definedName function="false" hidden="true" localSheetId="0" name="solver_pre" vbProcedure="false">0.000001</definedName>
    <definedName function="false" hidden="true" localSheetId="0" name="solver_rbv" vbProcedure="false">1</definedName>
    <definedName function="false" hidden="true" localSheetId="0" name="solver_rlx" vbProcedure="false">2</definedName>
    <definedName function="false" hidden="true" localSheetId="0" name="solver_rsd" vbProcedure="false">0</definedName>
    <definedName function="false" hidden="true" localSheetId="0" name="solver_scl" vbProcedure="false">1</definedName>
    <definedName function="false" hidden="true" localSheetId="0" name="solver_sho" vbProcedure="false">2</definedName>
    <definedName function="false" hidden="true" localSheetId="0" name="solver_ssz" vbProcedure="false">100</definedName>
    <definedName function="false" hidden="true" localSheetId="0" name="solver_tim" vbProcedure="false">2147483647</definedName>
    <definedName function="false" hidden="true" localSheetId="0" name="solver_tol" vbProcedure="false">0.01</definedName>
    <definedName function="false" hidden="true" localSheetId="0" name="solver_typ" vbProcedure="false">2</definedName>
    <definedName function="false" hidden="true" localSheetId="0" name="solver_val" vbProcedure="false">0</definedName>
    <definedName function="false" hidden="true" localSheetId="0" name="solver_ver" vbProcedure="false">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<sst xmlns="http://schemas.openxmlformats.org/spreadsheetml/2006/main" count="915" uniqueCount="638">
  <si>
    <t xml:space="preserve">R</t>
  </si>
  <si>
    <t xml:space="preserve">T</t>
  </si>
  <si>
    <t xml:space="preserve">I</t>
  </si>
  <si>
    <t xml:space="preserve">MW (kg/mol)</t>
  </si>
  <si>
    <t xml:space="preserve">MW (g/mol)</t>
  </si>
  <si>
    <t xml:space="preserve">deviation</t>
  </si>
  <si>
    <t xml:space="preserve">MWmin</t>
  </si>
  <si>
    <t xml:space="preserve">MWmax </t>
  </si>
  <si>
    <t xml:space="preserve">pH</t>
  </si>
  <si>
    <t xml:space="preserve">[H3O+]</t>
  </si>
  <si>
    <t xml:space="preserve">[OH-]</t>
  </si>
  <si>
    <t xml:space="preserve">[P] (g/L)</t>
  </si>
  <si>
    <t xml:space="preserve">[P] (mol/L)</t>
  </si>
  <si>
    <t xml:space="preserve">[P] (uM)</t>
  </si>
  <si>
    <t xml:space="preserve">mP (mol/g)</t>
  </si>
  <si>
    <t xml:space="preserve">[Buffer] (mol/L)</t>
  </si>
  <si>
    <t xml:space="preserve">I (mol/g)</t>
  </si>
  <si>
    <t xml:space="preserve">𝝥 (mmH2O)</t>
  </si>
  <si>
    <t xml:space="preserve">𝝥 (Pa)</t>
  </si>
  <si>
    <t xml:space="preserve">𝝥0 (Pa)</t>
  </si>
  <si>
    <t xml:space="preserve">𝝫 vH</t>
  </si>
  <si>
    <t xml:space="preserve">𝝫 vH - 1</t>
  </si>
  <si>
    <t xml:space="preserve">𝝫 vH - 1 fit</t>
  </si>
  <si>
    <t xml:space="preserve">vHpolynomial</t>
  </si>
  <si>
    <t xml:space="preserve">res</t>
  </si>
  <si>
    <t xml:space="preserve">res2</t>
  </si>
  <si>
    <t xml:space="preserve">𝝫</t>
  </si>
  <si>
    <t xml:space="preserve">𝝫-1</t>
  </si>
  <si>
    <t xml:space="preserve">𝝫-1 fit</t>
  </si>
  <si>
    <t xml:space="preserve">polynomial</t>
  </si>
  <si>
    <t xml:space="preserve">𝜸 (m)</t>
  </si>
  <si>
    <t xml:space="preserve">𝜸 vH (m)</t>
  </si>
  <si>
    <t xml:space="preserve">𝜸 Agena (m)</t>
  </si>
  <si>
    <t xml:space="preserve">𝜸 (m) [plotted]</t>
  </si>
  <si>
    <t xml:space="preserve">𝜸 vH (m) [plotted]</t>
  </si>
  <si>
    <t xml:space="preserve">𝜸 Agena (m) [plotted]</t>
  </si>
  <si>
    <t xml:space="preserve">Partial</t>
  </si>
  <si>
    <t xml:space="preserve">mL/g</t>
  </si>
  <si>
    <t xml:space="preserve">Specific</t>
  </si>
  <si>
    <t xml:space="preserve">10.1016/S0021-9258(18)56031-2</t>
  </si>
  <si>
    <t xml:space="preserve">Volume</t>
  </si>
  <si>
    <t xml:space="preserve">Rho(H2O)</t>
  </si>
  <si>
    <t xml:space="preserve">g/L</t>
  </si>
  <si>
    <t xml:space="preserve">MW(K)</t>
  </si>
  <si>
    <t xml:space="preserve">MW(SO4)</t>
  </si>
  <si>
    <t xml:space="preserve">MW(H3O+)</t>
  </si>
  <si>
    <t xml:space="preserve">B2 (L.mol/g.g)</t>
  </si>
  <si>
    <t xml:space="preserve">B2 (L/g)</t>
  </si>
  <si>
    <t xml:space="preserve">B2 (L/mol)</t>
  </si>
  <si>
    <t xml:space="preserve">B2 (mL/mol)</t>
  </si>
  <si>
    <t xml:space="preserve">D2 (g/mol)</t>
  </si>
  <si>
    <t xml:space="preserve">MW(OH-)</t>
  </si>
  <si>
    <t xml:space="preserve">questionable</t>
  </si>
  <si>
    <t xml:space="preserve">B3 (L2.mol/g3)</t>
  </si>
  <si>
    <t xml:space="preserve">B3 (L/g)</t>
  </si>
  <si>
    <t xml:space="preserve">B3 (L2/mol2)</t>
  </si>
  <si>
    <t xml:space="preserve">B3 (mL2/mol2)</t>
  </si>
  <si>
    <t xml:space="preserve">C3 ((g/mol)2)</t>
  </si>
  <si>
    <t xml:space="preserve">Charge</t>
  </si>
  <si>
    <t xml:space="preserve">Corrections applied to this workbook</t>
  </si>
  <si>
    <t xml:space="preserve">Donnan reference (equation 10): the term (Z m_P)^2/(4 m_S) is exact only for 1:1 electrolytes. For a general electrolyte, the dilute Donnan limit is (Z m_P)^2/(4 I), with I the ionic strength (both on the molal scale); for 1:1 salts I = m_S. The buffer-molality column now holds the ionic strength: I = 3[K2SO4].</t>
  </si>
  <si>
    <t xml:space="preserve">Molality: the original water mass per litre, rho_w - c*M - (salt masses), assumes that the solution density equals the density of water, which overestimates the volume of water displaced by the protein by a factor of about 1/(nu*rho_w) = 1.36. The protein term is now rho_w*c*M*nu (nu = protein partial specific volume, cell B5). The salt terms were kept as in the original; note that subtracting salt masses (instead of salt volumes) underestimates the water mass at high salt (by about 20% at 5 M NaCl).</t>
  </si>
  <si>
    <t xml:space="preserve">Molal versus molar scale: the original conversion in the "(c)" columns, gamma_m*rho*18.015/(rho*18.015 + sum c), differs from gamma_m by less than 1e-4, so all plotted activity coefficients are in fact on the molality scale (per kg of water), like the virial (Agena) values. These columns now equal the molal values explicitly and are labelled accordingly. A molar-scale conversion (gamma_c = gamma_m*m*rho_w/c) would require the solution density, which is not available; with the salt-mass approximation used here it would be unreliable at high salt.</t>
  </si>
  <si>
    <t xml:space="preserve">K4:K12: K2SO4 concentration changed from 0.03/3 to 0.05/3 M so that the ionic strength matches the table (I = 0.05 M) and the B2/B3 values used for this block. Please confirm against Haynes et al.</t>
  </si>
  <si>
    <t xml:space="preserve">Third virial term (AL19:AN21): B3 converted to the molar basis with M^3 and equation 13 implemented as C3 = rho^2 (B3 - 2 B2 nu M + (nu M)^2). This assumes that B3 in column AJ is given in L2 mol g-3 (please confirm against Haynes et al.).</t>
  </si>
  <si>
    <t xml:space="preserve">Polynomial fits of phi-1 versus molality were recomputed by linear least squares with the same terms and the same data points as the original Solver fits (points whose residual was set to 0 in the original remain excluded).</t>
  </si>
  <si>
    <t xml:space="preserve">Cell</t>
  </si>
  <si>
    <t xml:space="preserve">Original</t>
  </si>
  <si>
    <t xml:space="preserve">Corrected</t>
  </si>
  <si>
    <t xml:space="preserve">Reason</t>
  </si>
  <si>
    <t xml:space="preserve">J4</t>
  </si>
  <si>
    <t xml:space="preserve">=H4/($B$9 - H4*$AK$3 - K4*($B$11+$B$11+$B$12) - E4*$B$13 - F4*$B$14 - 0.5*E4*$B$12)</t>
  </si>
  <si>
    <t xml:space="preserve">=H4/($B$9*(1-H4*$AK$3*$B$5/1000) - K4*($B$11+$B$11+$B$12) - E4*$B$13 - F4*$B$14 - 0.5*E4*$B$12)</t>
  </si>
  <si>
    <t xml:space="preserve">molality: protein term of the water mass uses the partial specific volume, rho_w*(1 - c*M*nu), instead of subtracting the protein mass from rho_w</t>
  </si>
  <si>
    <t xml:space="preserve">L4</t>
  </si>
  <si>
    <t xml:space="preserve">=K4/($B$9 - H4*$AK$3 - K4*(2*$B$11+$B$12) - E4*$B$13 - F4*$B$14 - 0.5*E4*$B$12)</t>
  </si>
  <si>
    <t xml:space="preserve">=K4/($B$9*(1-H4*$AK$3*$B$5/1000) - K4*(2*$B$11+$B$12) - E4*$B$13 - F4*$B$14 - 0.5*E4*$B$12)</t>
  </si>
  <si>
    <t xml:space="preserve">buffer molality: same correction</t>
  </si>
  <si>
    <t xml:space="preserve">J5</t>
  </si>
  <si>
    <t xml:space="preserve">=H5/($B$9 - H5*$AK$3 - K5*($B$11+$B$11+$B$12) - E5*$B$13 - F5*$B$14 - 0.5*E5*$B$12)</t>
  </si>
  <si>
    <t xml:space="preserve">=H5/($B$9*(1-H5*$AK$3*$B$5/1000) - K5*($B$11+$B$11+$B$12) - E5*$B$13 - F5*$B$14 - 0.5*E5*$B$12)</t>
  </si>
  <si>
    <t xml:space="preserve">L5</t>
  </si>
  <si>
    <t xml:space="preserve">=K5/($B$9 - H5*$AK$3 - K5*(2*$B$11+$B$12) - E5*$B$13 - F5*$B$14 - 0.5*E5*$B$12)</t>
  </si>
  <si>
    <t xml:space="preserve">=K5/($B$9*(1-H5*$AK$3*$B$5/1000) - K5*(2*$B$11+$B$12) - E5*$B$13 - F5*$B$14 - 0.5*E5*$B$12)</t>
  </si>
  <si>
    <t xml:space="preserve">J6</t>
  </si>
  <si>
    <t xml:space="preserve">=H6/($B$9 - H6*$AK$3 - K6*($B$11+$B$11+$B$12) - E6*$B$13 - F6*$B$14 - 0.5*E6*$B$12)</t>
  </si>
  <si>
    <t xml:space="preserve">=H6/($B$9*(1-H6*$AK$3*$B$5/1000) - K6*($B$11+$B$11+$B$12) - E6*$B$13 - F6*$B$14 - 0.5*E6*$B$12)</t>
  </si>
  <si>
    <t xml:space="preserve">L6</t>
  </si>
  <si>
    <t xml:space="preserve">=K6/($B$9 - H6*$AK$3 - K6*(2*$B$11+$B$12) - E6*$B$13 - F6*$B$14 - 0.5*E6*$B$12)</t>
  </si>
  <si>
    <t xml:space="preserve">=K6/($B$9*(1-H6*$AK$3*$B$5/1000) - K6*(2*$B$11+$B$12) - E6*$B$13 - F6*$B$14 - 0.5*E6*$B$12)</t>
  </si>
  <si>
    <t xml:space="preserve">J7</t>
  </si>
  <si>
    <t xml:space="preserve">=H7/($B$9 - H7*$AK$3 - K7*($B$11+$B$11+$B$12) - E7*$B$13 - F7*$B$14 - 0.5*E7*$B$12)</t>
  </si>
  <si>
    <t xml:space="preserve">=H7/($B$9*(1-H7*$AK$3*$B$5/1000) - K7*($B$11+$B$11+$B$12) - E7*$B$13 - F7*$B$14 - 0.5*E7*$B$12)</t>
  </si>
  <si>
    <t xml:space="preserve">L7</t>
  </si>
  <si>
    <t xml:space="preserve">=K7/($B$9 - H7*$AK$3 - K7*(2*$B$11+$B$12) - E7*$B$13 - F7*$B$14 - 0.5*E7*$B$12)</t>
  </si>
  <si>
    <t xml:space="preserve">=K7/($B$9*(1-H7*$AK$3*$B$5/1000) - K7*(2*$B$11+$B$12) - E7*$B$13 - F7*$B$14 - 0.5*E7*$B$12)</t>
  </si>
  <si>
    <t xml:space="preserve">J8</t>
  </si>
  <si>
    <t xml:space="preserve">=H8/($B$9 - H8*$AK$3 - K8*($B$11+$B$11+$B$12) - E8*$B$13 - F8*$B$14 - 0.5*E8*$B$12)</t>
  </si>
  <si>
    <t xml:space="preserve">=H8/($B$9*(1-H8*$AK$3*$B$5/1000) - K8*($B$11+$B$11+$B$12) - E8*$B$13 - F8*$B$14 - 0.5*E8*$B$12)</t>
  </si>
  <si>
    <t xml:space="preserve">L8</t>
  </si>
  <si>
    <t xml:space="preserve">=K8/($B$9 - H8*$AK$3 - K8*(2*$B$11+$B$12) - E8*$B$13 - F8*$B$14 - 0.5*E8*$B$12)</t>
  </si>
  <si>
    <t xml:space="preserve">=K8/($B$9*(1-H8*$AK$3*$B$5/1000) - K8*(2*$B$11+$B$12) - E8*$B$13 - F8*$B$14 - 0.5*E8*$B$12)</t>
  </si>
  <si>
    <t xml:space="preserve">J9</t>
  </si>
  <si>
    <t xml:space="preserve">=H9/($B$9 - H9*$AK$3 - K9*($B$11+$B$11+$B$12) - E9*$B$13 - F9*$B$14 - 0.5*E9*$B$12)</t>
  </si>
  <si>
    <t xml:space="preserve">=H9/($B$9*(1-H9*$AK$3*$B$5/1000) - K9*($B$11+$B$11+$B$12) - E9*$B$13 - F9*$B$14 - 0.5*E9*$B$12)</t>
  </si>
  <si>
    <t xml:space="preserve">L9</t>
  </si>
  <si>
    <t xml:space="preserve">=K9/($B$9 - H9*$AK$3 - K9*(2*$B$11+$B$12) - E9*$B$13 - F9*$B$14 - 0.5*E9*$B$12)</t>
  </si>
  <si>
    <t xml:space="preserve">=K9/($B$9*(1-H9*$AK$3*$B$5/1000) - K9*(2*$B$11+$B$12) - E9*$B$13 - F9*$B$14 - 0.5*E9*$B$12)</t>
  </si>
  <si>
    <t xml:space="preserve">J10</t>
  </si>
  <si>
    <t xml:space="preserve">=H10/($B$9 - H10*$AK$3 - K10*($B$11+$B$11+$B$12) - E10*$B$13 - F10*$B$14 - 0.5*E10*$B$12)</t>
  </si>
  <si>
    <t xml:space="preserve">=H10/($B$9*(1-H10*$AK$3*$B$5/1000) - K10*($B$11+$B$11+$B$12) - E10*$B$13 - F10*$B$14 - 0.5*E10*$B$12)</t>
  </si>
  <si>
    <t xml:space="preserve">L10</t>
  </si>
  <si>
    <t xml:space="preserve">=K10/($B$9 - H10*$AK$3 - K10*(2*$B$11+$B$12) - E10*$B$13 - F10*$B$14 - 0.5*E10*$B$12)</t>
  </si>
  <si>
    <t xml:space="preserve">=K10/($B$9*(1-H10*$AK$3*$B$5/1000) - K10*(2*$B$11+$B$12) - E10*$B$13 - F10*$B$14 - 0.5*E10*$B$12)</t>
  </si>
  <si>
    <t xml:space="preserve">J11</t>
  </si>
  <si>
    <t xml:space="preserve">=H11/($B$9 - H11*$AK$3 - K11*($B$11+$B$11+$B$12) - E11*$B$13 - F11*$B$14 - 0.5*E11*$B$12)</t>
  </si>
  <si>
    <t xml:space="preserve">=H11/($B$9*(1-H11*$AK$3*$B$5/1000) - K11*($B$11+$B$11+$B$12) - E11*$B$13 - F11*$B$14 - 0.5*E11*$B$12)</t>
  </si>
  <si>
    <t xml:space="preserve">L11</t>
  </si>
  <si>
    <t xml:space="preserve">=K11/($B$9 - H11*$AK$3 - K11*(2*$B$11+$B$12) - E11*$B$13 - F11*$B$14 - 0.5*E11*$B$12)</t>
  </si>
  <si>
    <t xml:space="preserve">=K11/($B$9*(1-H11*$AK$3*$B$5/1000) - K11*(2*$B$11+$B$12) - E11*$B$13 - F11*$B$14 - 0.5*E11*$B$12)</t>
  </si>
  <si>
    <t xml:space="preserve">J12</t>
  </si>
  <si>
    <t xml:space="preserve">=H12/($B$9 - H12*$AK$3 - K12*($B$11+$B$11+$B$12) - E12*$B$13 - F12*$B$14 - 0.5*E12*$B$12)</t>
  </si>
  <si>
    <t xml:space="preserve">=H12/($B$9*(1-H12*$AK$3*$B$5/1000) - K12*($B$11+$B$11+$B$12) - E12*$B$13 - F12*$B$14 - 0.5*E12*$B$12)</t>
  </si>
  <si>
    <t xml:space="preserve">L12</t>
  </si>
  <si>
    <t xml:space="preserve">=K12/($B$9 - H12*$AK$3 - K12*(2*$B$11+$B$12) - E12*$B$13 - F12*$B$14 - 0.5*E12*$B$12)</t>
  </si>
  <si>
    <t xml:space="preserve">=K12/($B$9*(1-H12*$AK$3*$B$5/1000) - K12*(2*$B$11+$B$12) - E12*$B$13 - F12*$B$14 - 0.5*E12*$B$12)</t>
  </si>
  <si>
    <t xml:space="preserve">J13</t>
  </si>
  <si>
    <t xml:space="preserve">=H13/($B$9 - H13*$AK$4 - K13*($B$11+$B$11+$B$12) - E13*$B$13 - F13*$B$14 - 0.5*E13*$B$12)</t>
  </si>
  <si>
    <t xml:space="preserve">=H13/($B$9*(1-H13*$AK$4*$B$5/1000) - K13*($B$11+$B$11+$B$12) - E13*$B$13 - F13*$B$14 - 0.5*E13*$B$12)</t>
  </si>
  <si>
    <t xml:space="preserve">L13</t>
  </si>
  <si>
    <t xml:space="preserve">=K13/($B$9 - H13*$AK$4 - K13*(2*$B$11+$B$12) - E13*$B$13 - F13*$B$14 - 0.5*E13*$B$12)</t>
  </si>
  <si>
    <t xml:space="preserve">=K13/($B$9*(1-H13*$AK$4*$B$5/1000) - K13*(2*$B$11+$B$12) - E13*$B$13 - F13*$B$14 - 0.5*E13*$B$12)</t>
  </si>
  <si>
    <t xml:space="preserve">J14</t>
  </si>
  <si>
    <t xml:space="preserve">=H14/($B$9 - H14*$AK$4 - K14*($B$11+$B$11+$B$12) - E14*$B$13 - F14*$B$14 - 0.5*E14*$B$12)</t>
  </si>
  <si>
    <t xml:space="preserve">=H14/($B$9*(1-H14*$AK$4*$B$5/1000) - K14*($B$11+$B$11+$B$12) - E14*$B$13 - F14*$B$14 - 0.5*E14*$B$12)</t>
  </si>
  <si>
    <t xml:space="preserve">L14</t>
  </si>
  <si>
    <t xml:space="preserve">=K14/($B$9 - H14*$AK$4 - K14*(2*$B$11+$B$12) - E14*$B$13 - F14*$B$14 - 0.5*E14*$B$12)</t>
  </si>
  <si>
    <t xml:space="preserve">=K14/($B$9*(1-H14*$AK$4*$B$5/1000) - K14*(2*$B$11+$B$12) - E14*$B$13 - F14*$B$14 - 0.5*E14*$B$12)</t>
  </si>
  <si>
    <t xml:space="preserve">J15</t>
  </si>
  <si>
    <t xml:space="preserve">=H15/($B$9 - H15*$AK$4 - K15*($B$11+$B$11+$B$12) - E15*$B$13 - F15*$B$14 - 0.5*E15*$B$12)</t>
  </si>
  <si>
    <t xml:space="preserve">=H15/($B$9*(1-H15*$AK$4*$B$5/1000) - K15*($B$11+$B$11+$B$12) - E15*$B$13 - F15*$B$14 - 0.5*E15*$B$12)</t>
  </si>
  <si>
    <t xml:space="preserve">L15</t>
  </si>
  <si>
    <t xml:space="preserve">=K15/($B$9 - H15*$AK$4 - K15*(2*$B$11+$B$12) - E15*$B$13 - F15*$B$14 - 0.5*E15*$B$12)</t>
  </si>
  <si>
    <t xml:space="preserve">=K15/($B$9*(1-H15*$AK$4*$B$5/1000) - K15*(2*$B$11+$B$12) - E15*$B$13 - F15*$B$14 - 0.5*E15*$B$12)</t>
  </si>
  <si>
    <t xml:space="preserve">J16</t>
  </si>
  <si>
    <t xml:space="preserve">=H16/($B$9 - H16*$AK$4 - K16*($B$11+$B$11+$B$12) - E16*$B$13 - F16*$B$14 - 0.5*E16*$B$12)</t>
  </si>
  <si>
    <t xml:space="preserve">=H16/($B$9*(1-H16*$AK$4*$B$5/1000) - K16*($B$11+$B$11+$B$12) - E16*$B$13 - F16*$B$14 - 0.5*E16*$B$12)</t>
  </si>
  <si>
    <t xml:space="preserve">L16</t>
  </si>
  <si>
    <t xml:space="preserve">=K16/($B$9 - H16*$AK$4 - K16*(2*$B$11+$B$12) - E16*$B$13 - F16*$B$14 - 0.5*E16*$B$12)</t>
  </si>
  <si>
    <t xml:space="preserve">=K16/($B$9*(1-H16*$AK$4*$B$5/1000) - K16*(2*$B$11+$B$12) - E16*$B$13 - F16*$B$14 - 0.5*E16*$B$12)</t>
  </si>
  <si>
    <t xml:space="preserve">J17</t>
  </si>
  <si>
    <t xml:space="preserve">=H17/($B$9 - H17*$AK$4 - K17*($B$11+$B$11+$B$12) - E17*$B$13 - F17*$B$14 - 0.5*E17*$B$12)</t>
  </si>
  <si>
    <t xml:space="preserve">=H17/($B$9*(1-H17*$AK$4*$B$5/1000) - K17*($B$11+$B$11+$B$12) - E17*$B$13 - F17*$B$14 - 0.5*E17*$B$12)</t>
  </si>
  <si>
    <t xml:space="preserve">L17</t>
  </si>
  <si>
    <t xml:space="preserve">=K17/($B$9 - H17*$AK$4 - K17*(2*$B$11+$B$12) - E17*$B$13 - F17*$B$14 - 0.5*E17*$B$12)</t>
  </si>
  <si>
    <t xml:space="preserve">=K17/($B$9*(1-H17*$AK$4*$B$5/1000) - K17*(2*$B$11+$B$12) - E17*$B$13 - F17*$B$14 - 0.5*E17*$B$12)</t>
  </si>
  <si>
    <t xml:space="preserve">J18</t>
  </si>
  <si>
    <t xml:space="preserve">=H18/($B$9 - H18*$AK$4 - K18*($B$11+$B$11+$B$12) - E18*$B$13 - F18*$B$14 - 0.5*E18*$B$12)</t>
  </si>
  <si>
    <t xml:space="preserve">=H18/($B$9*(1-H18*$AK$4*$B$5/1000) - K18*($B$11+$B$11+$B$12) - E18*$B$13 - F18*$B$14 - 0.5*E18*$B$12)</t>
  </si>
  <si>
    <t xml:space="preserve">L18</t>
  </si>
  <si>
    <t xml:space="preserve">=K18/($B$9 - H18*$AK$4 - K18*(2*$B$11+$B$12) - E18*$B$13 - F18*$B$14 - 0.5*E18*$B$12)</t>
  </si>
  <si>
    <t xml:space="preserve">=K18/($B$9*(1-H18*$AK$4*$B$5/1000) - K18*(2*$B$11+$B$12) - E18*$B$13 - F18*$B$14 - 0.5*E18*$B$12)</t>
  </si>
  <si>
    <t xml:space="preserve">J19</t>
  </si>
  <si>
    <t xml:space="preserve">=H19/($B$9 - H19*$AK$4 - K19*($B$11+$B$11+$B$12) - E19*$B$13 - F19*$B$14 - 0.5*E19*$B$12)</t>
  </si>
  <si>
    <t xml:space="preserve">=H19/($B$9*(1-H19*$AK$4*$B$5/1000) - K19*($B$11+$B$11+$B$12) - E19*$B$13 - F19*$B$14 - 0.5*E19*$B$12)</t>
  </si>
  <si>
    <t xml:space="preserve">L19</t>
  </si>
  <si>
    <t xml:space="preserve">=K19/($B$9 - H19*$AK$4 - K19*(2*$B$11+$B$12) - E19*$B$13 - F19*$B$14 - 0.5*E19*$B$12)</t>
  </si>
  <si>
    <t xml:space="preserve">=K19/($B$9*(1-H19*$AK$4*$B$5/1000) - K19*(2*$B$11+$B$12) - E19*$B$13 - F19*$B$14 - 0.5*E19*$B$12)</t>
  </si>
  <si>
    <t xml:space="preserve">J20</t>
  </si>
  <si>
    <t xml:space="preserve">=H20/($B$9 - H20*$AK$4 - K20*($B$11+$B$11+$B$12) - E20*$B$13 - F20*$B$14 - 0.5*E20*$B$12)</t>
  </si>
  <si>
    <t xml:space="preserve">=H20/($B$9*(1-H20*$AK$4*$B$5/1000) - K20*($B$11+$B$11+$B$12) - E20*$B$13 - F20*$B$14 - 0.5*E20*$B$12)</t>
  </si>
  <si>
    <t xml:space="preserve">L20</t>
  </si>
  <si>
    <t xml:space="preserve">=K20/($B$9 - H20*$AK$4 - K20*(2*$B$11+$B$12) - E20*$B$13 - F20*$B$14 - 0.5*E20*$B$12)</t>
  </si>
  <si>
    <t xml:space="preserve">=K20/($B$9*(1-H20*$AK$4*$B$5/1000) - K20*(2*$B$11+$B$12) - E20*$B$13 - F20*$B$14 - 0.5*E20*$B$12)</t>
  </si>
  <si>
    <t xml:space="preserve">J21</t>
  </si>
  <si>
    <t xml:space="preserve">=H21/($B$9 - H21*$AK$4 - K21*($B$11+$B$11+$B$12) - E21*$B$13 - F21*$B$14 - 0.5*E21*$B$12)</t>
  </si>
  <si>
    <t xml:space="preserve">=H21/($B$9*(1-H21*$AK$4*$B$5/1000) - K21*($B$11+$B$11+$B$12) - E21*$B$13 - F21*$B$14 - 0.5*E21*$B$12)</t>
  </si>
  <si>
    <t xml:space="preserve">L21</t>
  </si>
  <si>
    <t xml:space="preserve">=K21/($B$9 - H21*$AK$4 - K21*(2*$B$11+$B$12) - E21*$B$13 - F21*$B$14 - 0.5*E21*$B$12)</t>
  </si>
  <si>
    <t xml:space="preserve">=K21/($B$9*(1-H21*$AK$4*$B$5/1000) - K21*(2*$B$11+$B$12) - E21*$B$13 - F21*$B$14 - 0.5*E21*$B$12)</t>
  </si>
  <si>
    <t xml:space="preserve">J22</t>
  </si>
  <si>
    <t xml:space="preserve">=H22/($B$9 - H22*$AK$5 - K22*($B$11+$B$11+$B$12) - E22*$B$13 - F22*$B$14 - 0.5*E22*$B$12)</t>
  </si>
  <si>
    <t xml:space="preserve">=H22/($B$9*(1-H22*$AK$5*$B$5/1000) - K22*($B$11+$B$11+$B$12) - E22*$B$13 - F22*$B$14 - 0.5*E22*$B$12)</t>
  </si>
  <si>
    <t xml:space="preserve">L22</t>
  </si>
  <si>
    <t xml:space="preserve">=K22/($B$9 - H22*$AK$5 - K22*(2*$B$11+$B$12) - E22*$B$13 - F22*$B$14 - 0.5*E22*$B$12)</t>
  </si>
  <si>
    <t xml:space="preserve">=K22/($B$9*(1-H22*$AK$5*$B$5/1000) - K22*(2*$B$11+$B$12) - E22*$B$13 - F22*$B$14 - 0.5*E22*$B$12)</t>
  </si>
  <si>
    <t xml:space="preserve">J23</t>
  </si>
  <si>
    <t xml:space="preserve">=H23/($B$9 - H23*$AK$5 - K23*($B$11+$B$11+$B$12) - E23*$B$13 - F23*$B$14 - 0.5*E23*$B$12)</t>
  </si>
  <si>
    <t xml:space="preserve">=H23/($B$9*(1-H23*$AK$5*$B$5/1000) - K23*($B$11+$B$11+$B$12) - E23*$B$13 - F23*$B$14 - 0.5*E23*$B$12)</t>
  </si>
  <si>
    <t xml:space="preserve">L23</t>
  </si>
  <si>
    <t xml:space="preserve">=K23/($B$9 - H23*$AK$5 - K23*(2*$B$11+$B$12) - E23*$B$13 - F23*$B$14 - 0.5*E23*$B$12)</t>
  </si>
  <si>
    <t xml:space="preserve">=K23/($B$9*(1-H23*$AK$5*$B$5/1000) - K23*(2*$B$11+$B$12) - E23*$B$13 - F23*$B$14 - 0.5*E23*$B$12)</t>
  </si>
  <si>
    <t xml:space="preserve">J24</t>
  </si>
  <si>
    <t xml:space="preserve">=H24/($B$9 - H24*$AK$5 - K24*($B$11+$B$11+$B$12) - E24*$B$13 - F24*$B$14 - 0.5*E24*$B$12)</t>
  </si>
  <si>
    <t xml:space="preserve">=H24/($B$9*(1-H24*$AK$5*$B$5/1000) - K24*($B$11+$B$11+$B$12) - E24*$B$13 - F24*$B$14 - 0.5*E24*$B$12)</t>
  </si>
  <si>
    <t xml:space="preserve">L24</t>
  </si>
  <si>
    <t xml:space="preserve">=K24/($B$9 - H24*$AK$5 - K24*(2*$B$11+$B$12) - E24*$B$13 - F24*$B$14 - 0.5*E24*$B$12)</t>
  </si>
  <si>
    <t xml:space="preserve">=K24/($B$9*(1-H24*$AK$5*$B$5/1000) - K24*(2*$B$11+$B$12) - E24*$B$13 - F24*$B$14 - 0.5*E24*$B$12)</t>
  </si>
  <si>
    <t xml:space="preserve">J25</t>
  </si>
  <si>
    <t xml:space="preserve">=H25/($B$9 - H25*$AK$5 - K25*($B$11+$B$11+$B$12) - E25*$B$13 - F25*$B$14 - 0.5*E25*$B$12)</t>
  </si>
  <si>
    <t xml:space="preserve">=H25/($B$9*(1-H25*$AK$5*$B$5/1000) - K25*($B$11+$B$11+$B$12) - E25*$B$13 - F25*$B$14 - 0.5*E25*$B$12)</t>
  </si>
  <si>
    <t xml:space="preserve">L25</t>
  </si>
  <si>
    <t xml:space="preserve">=K25/($B$9 - H25*$AK$5 - K25*(2*$B$11+$B$12) - E25*$B$13 - F25*$B$14 - 0.5*E25*$B$12)</t>
  </si>
  <si>
    <t xml:space="preserve">=K25/($B$9*(1-H25*$AK$5*$B$5/1000) - K25*(2*$B$11+$B$12) - E25*$B$13 - F25*$B$14 - 0.5*E25*$B$12)</t>
  </si>
  <si>
    <t xml:space="preserve">J26</t>
  </si>
  <si>
    <t xml:space="preserve">=H26/($B$9 - H26*$AK$5 - K26*($B$11+$B$11+$B$12) - E26*$B$13 - F26*$B$14 - 0.5*E26*$B$12)</t>
  </si>
  <si>
    <t xml:space="preserve">=H26/($B$9*(1-H26*$AK$5*$B$5/1000) - K26*($B$11+$B$11+$B$12) - E26*$B$13 - F26*$B$14 - 0.5*E26*$B$12)</t>
  </si>
  <si>
    <t xml:space="preserve">L26</t>
  </si>
  <si>
    <t xml:space="preserve">=K26/($B$9 - H26*$AK$5 - K26*(2*$B$11+$B$12) - E26*$B$13 - F26*$B$14 - 0.5*E26*$B$12)</t>
  </si>
  <si>
    <t xml:space="preserve">=K26/($B$9*(1-H26*$AK$5*$B$5/1000) - K26*(2*$B$11+$B$12) - E26*$B$13 - F26*$B$14 - 0.5*E26*$B$12)</t>
  </si>
  <si>
    <t xml:space="preserve">J27</t>
  </si>
  <si>
    <t xml:space="preserve">=H27/($B$9 - H27*$AK$5 - K27*($B$11+$B$11+$B$12) - E27*$B$13 - F27*$B$14 - 0.5*E27*$B$12)</t>
  </si>
  <si>
    <t xml:space="preserve">=H27/($B$9*(1-H27*$AK$5*$B$5/1000) - K27*($B$11+$B$11+$B$12) - E27*$B$13 - F27*$B$14 - 0.5*E27*$B$12)</t>
  </si>
  <si>
    <t xml:space="preserve">L27</t>
  </si>
  <si>
    <t xml:space="preserve">=K27/($B$9 - H27*$AK$5 - K27*(2*$B$11+$B$12) - E27*$B$13 - F27*$B$14 - 0.5*E27*$B$12)</t>
  </si>
  <si>
    <t xml:space="preserve">=K27/($B$9*(1-H27*$AK$5*$B$5/1000) - K27*(2*$B$11+$B$12) - E27*$B$13 - F27*$B$14 - 0.5*E27*$B$12)</t>
  </si>
  <si>
    <t xml:space="preserve">J28</t>
  </si>
  <si>
    <t xml:space="preserve">=H28/($B$9 - H28*$AK$5 - K28*($B$11+$B$11+$B$12) - E28*$B$13 - F28*$B$14 - 0.5*E28*$B$12)</t>
  </si>
  <si>
    <t xml:space="preserve">=H28/($B$9*(1-H28*$AK$5*$B$5/1000) - K28*($B$11+$B$11+$B$12) - E28*$B$13 - F28*$B$14 - 0.5*E28*$B$12)</t>
  </si>
  <si>
    <t xml:space="preserve">L28</t>
  </si>
  <si>
    <t xml:space="preserve">=K28/($B$9 - H28*$AK$5 - K28*(2*$B$11+$B$12) - E28*$B$13 - F28*$B$14 - 0.5*E28*$B$12)</t>
  </si>
  <si>
    <t xml:space="preserve">=K28/($B$9*(1-H28*$AK$5*$B$5/1000) - K28*(2*$B$11+$B$12) - E28*$B$13 - F28*$B$14 - 0.5*E28*$B$12)</t>
  </si>
  <si>
    <t xml:space="preserve">J29</t>
  </si>
  <si>
    <t xml:space="preserve">=H29/($B$9 - H29*$AK$5 - K29*($B$11+$B$11+$B$12) - E29*$B$13 - F29*$B$14 - 0.5*E29*$B$12)</t>
  </si>
  <si>
    <t xml:space="preserve">=H29/($B$9*(1-H29*$AK$5*$B$5/1000) - K29*($B$11+$B$11+$B$12) - E29*$B$13 - F29*$B$14 - 0.5*E29*$B$12)</t>
  </si>
  <si>
    <t xml:space="preserve">L29</t>
  </si>
  <si>
    <t xml:space="preserve">=K29/($B$9 - H29*$AK$5 - K29*(2*$B$11+$B$12) - E29*$B$13 - F29*$B$14 - 0.5*E29*$B$12)</t>
  </si>
  <si>
    <t xml:space="preserve">=K29/($B$9*(1-H29*$AK$5*$B$5/1000) - K29*(2*$B$11+$B$12) - E29*$B$13 - F29*$B$14 - 0.5*E29*$B$12)</t>
  </si>
  <si>
    <t xml:space="preserve">J30</t>
  </si>
  <si>
    <t xml:space="preserve">=H30/($B$9 - H30*$AK$5 - K30*($B$11+$B$11+$B$12) - E30*$B$13 - F30*$B$14 - 0.5*E30*$B$12)</t>
  </si>
  <si>
    <t xml:space="preserve">=H30/($B$9*(1-H30*$AK$5*$B$5/1000) - K30*($B$11+$B$11+$B$12) - E30*$B$13 - F30*$B$14 - 0.5*E30*$B$12)</t>
  </si>
  <si>
    <t xml:space="preserve">L30</t>
  </si>
  <si>
    <t xml:space="preserve">=K30/($B$9 - H30*$AK$5 - K30*(2*$B$11+$B$12) - E30*$B$13 - F30*$B$14 - 0.5*E30*$B$12)</t>
  </si>
  <si>
    <t xml:space="preserve">=K30/($B$9*(1-H30*$AK$5*$B$5/1000) - K30*(2*$B$11+$B$12) - E30*$B$13 - F30*$B$14 - 0.5*E30*$B$12)</t>
  </si>
  <si>
    <t xml:space="preserve">=(3*K4)/($B$9*(1-H4*$AK$3*$B$5/1000) - K4*(2*$B$11+$B$12) - E4*$B$13 - F4*$B$14 - 0.5*E4*$B$12)</t>
  </si>
  <si>
    <t xml:space="preserve">Donnan term (equation 10): ionic strength (molal) instead of salt molality, which generalises the 1:1 expression to multivalent electrolytes</t>
  </si>
  <si>
    <t xml:space="preserve">=(3*K5)/($B$9*(1-H5*$AK$3*$B$5/1000) - K5*(2*$B$11+$B$12) - E5*$B$13 - F5*$B$14 - 0.5*E5*$B$12)</t>
  </si>
  <si>
    <t xml:space="preserve">=(3*K6)/($B$9*(1-H6*$AK$3*$B$5/1000) - K6*(2*$B$11+$B$12) - E6*$B$13 - F6*$B$14 - 0.5*E6*$B$12)</t>
  </si>
  <si>
    <t xml:space="preserve">=(3*K7)/($B$9*(1-H7*$AK$3*$B$5/1000) - K7*(2*$B$11+$B$12) - E7*$B$13 - F7*$B$14 - 0.5*E7*$B$12)</t>
  </si>
  <si>
    <t xml:space="preserve">=(3*K8)/($B$9*(1-H8*$AK$3*$B$5/1000) - K8*(2*$B$11+$B$12) - E8*$B$13 - F8*$B$14 - 0.5*E8*$B$12)</t>
  </si>
  <si>
    <t xml:space="preserve">=(3*K9)/($B$9*(1-H9*$AK$3*$B$5/1000) - K9*(2*$B$11+$B$12) - E9*$B$13 - F9*$B$14 - 0.5*E9*$B$12)</t>
  </si>
  <si>
    <t xml:space="preserve">=(3*K10)/($B$9*(1-H10*$AK$3*$B$5/1000) - K10*(2*$B$11+$B$12) - E10*$B$13 - F10*$B$14 - 0.5*E10*$B$12)</t>
  </si>
  <si>
    <t xml:space="preserve">=(3*K11)/($B$9*(1-H11*$AK$3*$B$5/1000) - K11*(2*$B$11+$B$12) - E11*$B$13 - F11*$B$14 - 0.5*E11*$B$12)</t>
  </si>
  <si>
    <t xml:space="preserve">=(3*K12)/($B$9*(1-H12*$AK$3*$B$5/1000) - K12*(2*$B$11+$B$12) - E12*$B$13 - F12*$B$14 - 0.5*E12*$B$12)</t>
  </si>
  <si>
    <t xml:space="preserve">=(3*K13)/($B$9*(1-H13*$AK$4*$B$5/1000) - K13*(2*$B$11+$B$12) - E13*$B$13 - F13*$B$14 - 0.5*E13*$B$12)</t>
  </si>
  <si>
    <t xml:space="preserve">=(3*K14)/($B$9*(1-H14*$AK$4*$B$5/1000) - K14*(2*$B$11+$B$12) - E14*$B$13 - F14*$B$14 - 0.5*E14*$B$12)</t>
  </si>
  <si>
    <t xml:space="preserve">=(3*K15)/($B$9*(1-H15*$AK$4*$B$5/1000) - K15*(2*$B$11+$B$12) - E15*$B$13 - F15*$B$14 - 0.5*E15*$B$12)</t>
  </si>
  <si>
    <t xml:space="preserve">=(3*K16)/($B$9*(1-H16*$AK$4*$B$5/1000) - K16*(2*$B$11+$B$12) - E16*$B$13 - F16*$B$14 - 0.5*E16*$B$12)</t>
  </si>
  <si>
    <t xml:space="preserve">=(3*K17)/($B$9*(1-H17*$AK$4*$B$5/1000) - K17*(2*$B$11+$B$12) - E17*$B$13 - F17*$B$14 - 0.5*E17*$B$12)</t>
  </si>
  <si>
    <t xml:space="preserve">=(3*K18)/($B$9*(1-H18*$AK$4*$B$5/1000) - K18*(2*$B$11+$B$12) - E18*$B$13 - F18*$B$14 - 0.5*E18*$B$12)</t>
  </si>
  <si>
    <t xml:space="preserve">=(3*K19)/($B$9*(1-H19*$AK$4*$B$5/1000) - K19*(2*$B$11+$B$12) - E19*$B$13 - F19*$B$14 - 0.5*E19*$B$12)</t>
  </si>
  <si>
    <t xml:space="preserve">=(3*K20)/($B$9*(1-H20*$AK$4*$B$5/1000) - K20*(2*$B$11+$B$12) - E20*$B$13 - F20*$B$14 - 0.5*E20*$B$12)</t>
  </si>
  <si>
    <t xml:space="preserve">=(3*K21)/($B$9*(1-H21*$AK$4*$B$5/1000) - K21*(2*$B$11+$B$12) - E21*$B$13 - F21*$B$14 - 0.5*E21*$B$12)</t>
  </si>
  <si>
    <t xml:space="preserve">=(3*K22)/($B$9*(1-H22*$AK$5*$B$5/1000) - K22*(2*$B$11+$B$12) - E22*$B$13 - F22*$B$14 - 0.5*E22*$B$12)</t>
  </si>
  <si>
    <t xml:space="preserve">=(3*K23)/($B$9*(1-H23*$AK$5*$B$5/1000) - K23*(2*$B$11+$B$12) - E23*$B$13 - F23*$B$14 - 0.5*E23*$B$12)</t>
  </si>
  <si>
    <t xml:space="preserve">=(3*K24)/($B$9*(1-H24*$AK$5*$B$5/1000) - K24*(2*$B$11+$B$12) - E24*$B$13 - F24*$B$14 - 0.5*E24*$B$12)</t>
  </si>
  <si>
    <t xml:space="preserve">=(3*K25)/($B$9*(1-H25*$AK$5*$B$5/1000) - K25*(2*$B$11+$B$12) - E25*$B$13 - F25*$B$14 - 0.5*E25*$B$12)</t>
  </si>
  <si>
    <t xml:space="preserve">=(3*K26)/($B$9*(1-H26*$AK$5*$B$5/1000) - K26*(2*$B$11+$B$12) - E26*$B$13 - F26*$B$14 - 0.5*E26*$B$12)</t>
  </si>
  <si>
    <t xml:space="preserve">=(3*K27)/($B$9*(1-H27*$AK$5*$B$5/1000) - K27*(2*$B$11+$B$12) - E27*$B$13 - F27*$B$14 - 0.5*E27*$B$12)</t>
  </si>
  <si>
    <t xml:space="preserve">=(3*K28)/($B$9*(1-H28*$AK$5*$B$5/1000) - K28*(2*$B$11+$B$12) - E28*$B$13 - F28*$B$14 - 0.5*E28*$B$12)</t>
  </si>
  <si>
    <t xml:space="preserve">=(3*K29)/($B$9*(1-H29*$AK$5*$B$5/1000) - K29*(2*$B$11+$B$12) - E29*$B$13 - F29*$B$14 - 0.5*E29*$B$12)</t>
  </si>
  <si>
    <t xml:space="preserve">=(3*K30)/($B$9*(1-H30*$AK$5*$B$5/1000) - K30*(2*$B$11+$B$12) - E30*$B$13 - F30*$B$14 - 0.5*E30*$B$12)</t>
  </si>
  <si>
    <t xml:space="preserve">L3</t>
  </si>
  <si>
    <t xml:space="preserve">mBuffer (mol/g)</t>
  </si>
  <si>
    <t xml:space="preserve">header</t>
  </si>
  <si>
    <t xml:space="preserve">AE4</t>
  </si>
  <si>
    <t xml:space="preserve">=AB4*$B$9*18.01528/($B$9*18.01528 + H4+E4+F4+K4)</t>
  </si>
  <si>
    <t xml:space="preserve">=AB4</t>
  </si>
  <si>
    <t xml:space="preserve">the original "molar" conversion equals gamma_m to within 1e-4; the column now states that it holds the molal value</t>
  </si>
  <si>
    <t xml:space="preserve">AF4</t>
  </si>
  <si>
    <t xml:space="preserve">=AC4*$B$9*18.01528/($B$9*18.01528 + H4+E4+F4+K4)</t>
  </si>
  <si>
    <t xml:space="preserve">=AC4</t>
  </si>
  <si>
    <t xml:space="preserve">AG4</t>
  </si>
  <si>
    <t xml:space="preserve">=AD4*$B$9*18.01528/($B$9*18.01528 + H4+E4+F4+K4)</t>
  </si>
  <si>
    <t xml:space="preserve">=AD4</t>
  </si>
  <si>
    <t xml:space="preserve">AE5</t>
  </si>
  <si>
    <t xml:space="preserve">=AB5*$B$9*18.01528/($B$9*18.01528 + H5+E5+F5+K5)</t>
  </si>
  <si>
    <t xml:space="preserve">=AB5</t>
  </si>
  <si>
    <t xml:space="preserve">AF5</t>
  </si>
  <si>
    <t xml:space="preserve">=AC5*$B$9*18.01528/($B$9*18.01528 + H5+E5+F5+K5)</t>
  </si>
  <si>
    <t xml:space="preserve">=AC5</t>
  </si>
  <si>
    <t xml:space="preserve">AG5</t>
  </si>
  <si>
    <t xml:space="preserve">=AD5*$B$9*18.01528/($B$9*18.01528 + H5+E5+F5+K5)</t>
  </si>
  <si>
    <t xml:space="preserve">=AD5</t>
  </si>
  <si>
    <t xml:space="preserve">AE6</t>
  </si>
  <si>
    <t xml:space="preserve">=AB6*$B$9*18.01528/($B$9*18.01528 + H6+E6+F6+K6)</t>
  </si>
  <si>
    <t xml:space="preserve">=AB6</t>
  </si>
  <si>
    <t xml:space="preserve">AF6</t>
  </si>
  <si>
    <t xml:space="preserve">=AC6*$B$9*18.01528/($B$9*18.01528 + H6+E6+F6+K6)</t>
  </si>
  <si>
    <t xml:space="preserve">=AC6</t>
  </si>
  <si>
    <t xml:space="preserve">AG6</t>
  </si>
  <si>
    <t xml:space="preserve">=AD6*$B$9*18.01528/($B$9*18.01528 + H6+E6+F6+K6)</t>
  </si>
  <si>
    <t xml:space="preserve">=AD6</t>
  </si>
  <si>
    <t xml:space="preserve">AE7</t>
  </si>
  <si>
    <t xml:space="preserve">=AB7*$B$9*18.01528/($B$9*18.01528 + H7+E7+F7+K7)</t>
  </si>
  <si>
    <t xml:space="preserve">=AB7</t>
  </si>
  <si>
    <t xml:space="preserve">AF7</t>
  </si>
  <si>
    <t xml:space="preserve">=AC7*$B$9*18.01528/($B$9*18.01528 + H7+E7+F7+K7)</t>
  </si>
  <si>
    <t xml:space="preserve">=AC7</t>
  </si>
  <si>
    <t xml:space="preserve">AG7</t>
  </si>
  <si>
    <t xml:space="preserve">=AD7*$B$9*18.01528/($B$9*18.01528 + H7+E7+F7+K7)</t>
  </si>
  <si>
    <t xml:space="preserve">=AD7</t>
  </si>
  <si>
    <t xml:space="preserve">AE8</t>
  </si>
  <si>
    <t xml:space="preserve">=AB8*$B$9*18.01528/($B$9*18.01528 + H8+E8+F8+K8)</t>
  </si>
  <si>
    <t xml:space="preserve">=AB8</t>
  </si>
  <si>
    <t xml:space="preserve">AF8</t>
  </si>
  <si>
    <t xml:space="preserve">=AC8*$B$9*18.01528/($B$9*18.01528 + H8+E8+F8+K8)</t>
  </si>
  <si>
    <t xml:space="preserve">=AC8</t>
  </si>
  <si>
    <t xml:space="preserve">AG8</t>
  </si>
  <si>
    <t xml:space="preserve">=AD8*$B$9*18.01528/($B$9*18.01528 + H8+E8+F8+K8)</t>
  </si>
  <si>
    <t xml:space="preserve">=AD8</t>
  </si>
  <si>
    <t xml:space="preserve">AE9</t>
  </si>
  <si>
    <t xml:space="preserve">=AB9*$B$9*18.01528/($B$9*18.01528 + H9+E9+F9+K9)</t>
  </si>
  <si>
    <t xml:space="preserve">=AB9</t>
  </si>
  <si>
    <t xml:space="preserve">AF9</t>
  </si>
  <si>
    <t xml:space="preserve">=AC9*$B$9*18.01528/($B$9*18.01528 + H9+E9+F9+K9)</t>
  </si>
  <si>
    <t xml:space="preserve">=AC9</t>
  </si>
  <si>
    <t xml:space="preserve">AG9</t>
  </si>
  <si>
    <t xml:space="preserve">=AD9*$B$9*18.01528/($B$9*18.01528 + H9+E9+F9+K9)</t>
  </si>
  <si>
    <t xml:space="preserve">=AD9</t>
  </si>
  <si>
    <t xml:space="preserve">AE10</t>
  </si>
  <si>
    <t xml:space="preserve">=AB10*$B$9*18.01528/($B$9*18.01528 + H10+E10+F10+K10)</t>
  </si>
  <si>
    <t xml:space="preserve">=AB10</t>
  </si>
  <si>
    <t xml:space="preserve">AF10</t>
  </si>
  <si>
    <t xml:space="preserve">=AC10*$B$9*18.01528/($B$9*18.01528 + H10+E10+F10+K10)</t>
  </si>
  <si>
    <t xml:space="preserve">=AC10</t>
  </si>
  <si>
    <t xml:space="preserve">AG10</t>
  </si>
  <si>
    <t xml:space="preserve">=AD10*$B$9*18.01528/($B$9*18.01528 + H10+E10+F10+K10)</t>
  </si>
  <si>
    <t xml:space="preserve">=AD10</t>
  </si>
  <si>
    <t xml:space="preserve">AE11</t>
  </si>
  <si>
    <t xml:space="preserve">=AB11*$B$9*18.01528/($B$9*18.01528 + H11+E11+F11+K11)</t>
  </si>
  <si>
    <t xml:space="preserve">=AB11</t>
  </si>
  <si>
    <t xml:space="preserve">AF11</t>
  </si>
  <si>
    <t xml:space="preserve">=AC11*$B$9*18.01528/($B$9*18.01528 + H11+E11+F11+K11)</t>
  </si>
  <si>
    <t xml:space="preserve">=AC11</t>
  </si>
  <si>
    <t xml:space="preserve">AG11</t>
  </si>
  <si>
    <t xml:space="preserve">=AD11*$B$9*18.01528/($B$9*18.01528 + H11+E11+F11+K11)</t>
  </si>
  <si>
    <t xml:space="preserve">=AD11</t>
  </si>
  <si>
    <t xml:space="preserve">AE12</t>
  </si>
  <si>
    <t xml:space="preserve">=AB12*$B$9*18.01528/($B$9*18.01528 + H12+E12+F12+K12)</t>
  </si>
  <si>
    <t xml:space="preserve">=AB12</t>
  </si>
  <si>
    <t xml:space="preserve">AF12</t>
  </si>
  <si>
    <t xml:space="preserve">=AC12*$B$9*18.01528/($B$9*18.01528 + H12+E12+F12+K12)</t>
  </si>
  <si>
    <t xml:space="preserve">=AC12</t>
  </si>
  <si>
    <t xml:space="preserve">AG12</t>
  </si>
  <si>
    <t xml:space="preserve">=AD12*$B$9*18.01528/($B$9*18.01528 + H12+E12+F12+K12)</t>
  </si>
  <si>
    <t xml:space="preserve">=AD12</t>
  </si>
  <si>
    <t xml:space="preserve">AE13</t>
  </si>
  <si>
    <t xml:space="preserve">=AB13*$B$9*18.01528/($B$9*18.01528 + H13+E13+F13+K13)</t>
  </si>
  <si>
    <t xml:space="preserve">=AB13</t>
  </si>
  <si>
    <t xml:space="preserve">AF13</t>
  </si>
  <si>
    <t xml:space="preserve">=AC13*$B$9*18.01528/($B$9*18.01528 + H13+E13+F13+K13)</t>
  </si>
  <si>
    <t xml:space="preserve">=AC13</t>
  </si>
  <si>
    <t xml:space="preserve">AG13</t>
  </si>
  <si>
    <t xml:space="preserve">=AD13*$B$9*18.01528/($B$9*18.01528 + H13+E13+F13+K13)</t>
  </si>
  <si>
    <t xml:space="preserve">=AD13</t>
  </si>
  <si>
    <t xml:space="preserve">AE14</t>
  </si>
  <si>
    <t xml:space="preserve">=AB14*$B$9*18.01528/($B$9*18.01528 + H14+E14+F14+K14)</t>
  </si>
  <si>
    <t xml:space="preserve">=AB14</t>
  </si>
  <si>
    <t xml:space="preserve">AF14</t>
  </si>
  <si>
    <t xml:space="preserve">=AC14*$B$9*18.01528/($B$9*18.01528 + H14+E14+F14+K14)</t>
  </si>
  <si>
    <t xml:space="preserve">=AC14</t>
  </si>
  <si>
    <t xml:space="preserve">AG14</t>
  </si>
  <si>
    <t xml:space="preserve">=AD14*$B$9*18.01528/($B$9*18.01528 + H14+E14+F14+K14)</t>
  </si>
  <si>
    <t xml:space="preserve">=AD14</t>
  </si>
  <si>
    <t xml:space="preserve">AE15</t>
  </si>
  <si>
    <t xml:space="preserve">=AB15*$B$9*18.01528/($B$9*18.01528 + H15+E15+F15+K15)</t>
  </si>
  <si>
    <t xml:space="preserve">=AB15</t>
  </si>
  <si>
    <t xml:space="preserve">AF15</t>
  </si>
  <si>
    <t xml:space="preserve">=AC15*$B$9*18.01528/($B$9*18.01528 + H15+E15+F15+K15)</t>
  </si>
  <si>
    <t xml:space="preserve">=AC15</t>
  </si>
  <si>
    <t xml:space="preserve">AG15</t>
  </si>
  <si>
    <t xml:space="preserve">=AD15*$B$9*18.01528/($B$9*18.01528 + H15+E15+F15+K15)</t>
  </si>
  <si>
    <t xml:space="preserve">=AD15</t>
  </si>
  <si>
    <t xml:space="preserve">AE16</t>
  </si>
  <si>
    <t xml:space="preserve">=AB16*$B$9*18.01528/($B$9*18.01528 + H16+E16+F16+K16)</t>
  </si>
  <si>
    <t xml:space="preserve">=AB16</t>
  </si>
  <si>
    <t xml:space="preserve">AF16</t>
  </si>
  <si>
    <t xml:space="preserve">=AC16*$B$9*18.01528/($B$9*18.01528 + H16+E16+F16+K16)</t>
  </si>
  <si>
    <t xml:space="preserve">=AC16</t>
  </si>
  <si>
    <t xml:space="preserve">AG16</t>
  </si>
  <si>
    <t xml:space="preserve">=AD16*$B$9*18.01528/($B$9*18.01528 + H16+E16+F16+K16)</t>
  </si>
  <si>
    <t xml:space="preserve">=AD16</t>
  </si>
  <si>
    <t xml:space="preserve">AE17</t>
  </si>
  <si>
    <t xml:space="preserve">=AB17*$B$9*18.01528/($B$9*18.01528 + H17+E17+F17+K17)</t>
  </si>
  <si>
    <t xml:space="preserve">=AB17</t>
  </si>
  <si>
    <t xml:space="preserve">AF17</t>
  </si>
  <si>
    <t xml:space="preserve">=AC17*$B$9*18.01528/($B$9*18.01528 + H17+E17+F17+K17)</t>
  </si>
  <si>
    <t xml:space="preserve">=AC17</t>
  </si>
  <si>
    <t xml:space="preserve">AG17</t>
  </si>
  <si>
    <t xml:space="preserve">=AD17*$B$9*18.01528/($B$9*18.01528 + H17+E17+F17+K17)</t>
  </si>
  <si>
    <t xml:space="preserve">=AD17</t>
  </si>
  <si>
    <t xml:space="preserve">AE18</t>
  </si>
  <si>
    <t xml:space="preserve">=AB18*$B$9*18.01528/($B$9*18.01528 + H18+E18+F18+K18)</t>
  </si>
  <si>
    <t xml:space="preserve">=AB18</t>
  </si>
  <si>
    <t xml:space="preserve">AF18</t>
  </si>
  <si>
    <t xml:space="preserve">=AC18*$B$9*18.01528/($B$9*18.01528 + H18+E18+F18+K18)</t>
  </si>
  <si>
    <t xml:space="preserve">=AC18</t>
  </si>
  <si>
    <t xml:space="preserve">AG18</t>
  </si>
  <si>
    <t xml:space="preserve">=AD18*$B$9*18.01528/($B$9*18.01528 + H18+E18+F18+K18)</t>
  </si>
  <si>
    <t xml:space="preserve">=AD18</t>
  </si>
  <si>
    <t xml:space="preserve">AE19</t>
  </si>
  <si>
    <t xml:space="preserve">=AB19*$B$9*18.01528/($B$9*18.01528 + H19+E19+F19+K19)</t>
  </si>
  <si>
    <t xml:space="preserve">=AB19</t>
  </si>
  <si>
    <t xml:space="preserve">AF19</t>
  </si>
  <si>
    <t xml:space="preserve">=AC19*$B$9*18.01528/($B$9*18.01528 + H19+E19+F19+K19)</t>
  </si>
  <si>
    <t xml:space="preserve">=AC19</t>
  </si>
  <si>
    <t xml:space="preserve">AG19</t>
  </si>
  <si>
    <t xml:space="preserve">=AD19*$B$9*18.01528/($B$9*18.01528 + H19+E19+F19+K19)</t>
  </si>
  <si>
    <t xml:space="preserve">=AD19</t>
  </si>
  <si>
    <t xml:space="preserve">AE20</t>
  </si>
  <si>
    <t xml:space="preserve">=AB20*$B$9*18.01528/($B$9*18.01528 + H20+E20+F20+K20)</t>
  </si>
  <si>
    <t xml:space="preserve">=AB20</t>
  </si>
  <si>
    <t xml:space="preserve">AF20</t>
  </si>
  <si>
    <t xml:space="preserve">=AC20*$B$9*18.01528/($B$9*18.01528 + H20+E20+F20+K20)</t>
  </si>
  <si>
    <t xml:space="preserve">=AC20</t>
  </si>
  <si>
    <t xml:space="preserve">AG20</t>
  </si>
  <si>
    <t xml:space="preserve">=AD20*$B$9*18.01528/($B$9*18.01528 + H20+E20+F20+K20)</t>
  </si>
  <si>
    <t xml:space="preserve">=AD20</t>
  </si>
  <si>
    <t xml:space="preserve">AE21</t>
  </si>
  <si>
    <t xml:space="preserve">=AB21*$B$9*18.01528/($B$9*18.01528 + H21+E21+F21+K21)</t>
  </si>
  <si>
    <t xml:space="preserve">=AB21</t>
  </si>
  <si>
    <t xml:space="preserve">AF21</t>
  </si>
  <si>
    <t xml:space="preserve">=AC21*$B$9*18.01528/($B$9*18.01528 + H21+E21+F21+K21)</t>
  </si>
  <si>
    <t xml:space="preserve">=AC21</t>
  </si>
  <si>
    <t xml:space="preserve">AG21</t>
  </si>
  <si>
    <t xml:space="preserve">=AD21*$B$9*18.01528/($B$9*18.01528 + H21+E21+F21+K21)</t>
  </si>
  <si>
    <t xml:space="preserve">=AD21</t>
  </si>
  <si>
    <t xml:space="preserve">AE22</t>
  </si>
  <si>
    <t xml:space="preserve">=AB22*$B$9*18.01528/($B$9*18.01528 + H22+E22+F22+K22)</t>
  </si>
  <si>
    <t xml:space="preserve">=AB22</t>
  </si>
  <si>
    <t xml:space="preserve">AF22</t>
  </si>
  <si>
    <t xml:space="preserve">=AC22*$B$9*18.01528/($B$9*18.01528 + H22+E22+F22+K22)</t>
  </si>
  <si>
    <t xml:space="preserve">=AC22</t>
  </si>
  <si>
    <t xml:space="preserve">AG22</t>
  </si>
  <si>
    <t xml:space="preserve">=AD22*$B$9*18.01528/($B$9*18.01528 + H22+E22+F22+K22)</t>
  </si>
  <si>
    <t xml:space="preserve">=AD22</t>
  </si>
  <si>
    <t xml:space="preserve">AE23</t>
  </si>
  <si>
    <t xml:space="preserve">=AB23*$B$9*18.01528/($B$9*18.01528 + H23+E23+F23+K23)</t>
  </si>
  <si>
    <t xml:space="preserve">=AB23</t>
  </si>
  <si>
    <t xml:space="preserve">AF23</t>
  </si>
  <si>
    <t xml:space="preserve">=AC23*$B$9*18.01528/($B$9*18.01528 + H23+E23+F23+K23)</t>
  </si>
  <si>
    <t xml:space="preserve">=AC23</t>
  </si>
  <si>
    <t xml:space="preserve">AG23</t>
  </si>
  <si>
    <t xml:space="preserve">=AD23*$B$9*18.01528/($B$9*18.01528 + H23+E23+F23+K23)</t>
  </si>
  <si>
    <t xml:space="preserve">=AD23</t>
  </si>
  <si>
    <t xml:space="preserve">AE24</t>
  </si>
  <si>
    <t xml:space="preserve">=AB24*$B$9*18.01528/($B$9*18.01528 + H24+E24+F24+K24)</t>
  </si>
  <si>
    <t xml:space="preserve">=AB24</t>
  </si>
  <si>
    <t xml:space="preserve">AF24</t>
  </si>
  <si>
    <t xml:space="preserve">=AC24*$B$9*18.01528/($B$9*18.01528 + H24+E24+F24+K24)</t>
  </si>
  <si>
    <t xml:space="preserve">=AC24</t>
  </si>
  <si>
    <t xml:space="preserve">AG24</t>
  </si>
  <si>
    <t xml:space="preserve">=AD24*$B$9*18.01528/($B$9*18.01528 + H24+E24+F24+K24)</t>
  </si>
  <si>
    <t xml:space="preserve">=AD24</t>
  </si>
  <si>
    <t xml:space="preserve">AE25</t>
  </si>
  <si>
    <t xml:space="preserve">=AB25*$B$9*18.01528/($B$9*18.01528 + H25+E25+F25+K25)</t>
  </si>
  <si>
    <t xml:space="preserve">=AB25</t>
  </si>
  <si>
    <t xml:space="preserve">AF25</t>
  </si>
  <si>
    <t xml:space="preserve">=AC25*$B$9*18.01528/($B$9*18.01528 + H25+E25+F25+K25)</t>
  </si>
  <si>
    <t xml:space="preserve">=AC25</t>
  </si>
  <si>
    <t xml:space="preserve">AG25</t>
  </si>
  <si>
    <t xml:space="preserve">=AD25*$B$9*18.01528/($B$9*18.01528 + H25+E25+F25+K25)</t>
  </si>
  <si>
    <t xml:space="preserve">=AD25</t>
  </si>
  <si>
    <t xml:space="preserve">AE26</t>
  </si>
  <si>
    <t xml:space="preserve">=AB26*$B$9*18.01528/($B$9*18.01528 + H26+E26+F26+K26)</t>
  </si>
  <si>
    <t xml:space="preserve">=AB26</t>
  </si>
  <si>
    <t xml:space="preserve">AF26</t>
  </si>
  <si>
    <t xml:space="preserve">=AC26*$B$9*18.01528/($B$9*18.01528 + H26+E26+F26+K26)</t>
  </si>
  <si>
    <t xml:space="preserve">=AC26</t>
  </si>
  <si>
    <t xml:space="preserve">AG26</t>
  </si>
  <si>
    <t xml:space="preserve">=AD26*$B$9*18.01528/($B$9*18.01528 + H26+E26+F26+K26)</t>
  </si>
  <si>
    <t xml:space="preserve">=AD26</t>
  </si>
  <si>
    <t xml:space="preserve">AE27</t>
  </si>
  <si>
    <t xml:space="preserve">=AB27*$B$9*18.01528/($B$9*18.01528 + H27+E27+F27+K27)</t>
  </si>
  <si>
    <t xml:space="preserve">=AB27</t>
  </si>
  <si>
    <t xml:space="preserve">AF27</t>
  </si>
  <si>
    <t xml:space="preserve">=AC27*$B$9*18.01528/($B$9*18.01528 + H27+E27+F27+K27)</t>
  </si>
  <si>
    <t xml:space="preserve">=AC27</t>
  </si>
  <si>
    <t xml:space="preserve">AG27</t>
  </si>
  <si>
    <t xml:space="preserve">=AD27*$B$9*18.01528/($B$9*18.01528 + H27+E27+F27+K27)</t>
  </si>
  <si>
    <t xml:space="preserve">=AD27</t>
  </si>
  <si>
    <t xml:space="preserve">AE28</t>
  </si>
  <si>
    <t xml:space="preserve">=AB28*$B$9*18.01528/($B$9*18.01528 + H28+E28+F28+K28)</t>
  </si>
  <si>
    <t xml:space="preserve">=AB28</t>
  </si>
  <si>
    <t xml:space="preserve">AF28</t>
  </si>
  <si>
    <t xml:space="preserve">=AC28*$B$9*18.01528/($B$9*18.01528 + H28+E28+F28+K28)</t>
  </si>
  <si>
    <t xml:space="preserve">=AC28</t>
  </si>
  <si>
    <t xml:space="preserve">AG28</t>
  </si>
  <si>
    <t xml:space="preserve">=AD28*$B$9*18.01528/($B$9*18.01528 + H28+E28+F28+K28)</t>
  </si>
  <si>
    <t xml:space="preserve">=AD28</t>
  </si>
  <si>
    <t xml:space="preserve">AE29</t>
  </si>
  <si>
    <t xml:space="preserve">=AB29*$B$9*18.01528/($B$9*18.01528 + H29+E29+F29+K29)</t>
  </si>
  <si>
    <t xml:space="preserve">=AB29</t>
  </si>
  <si>
    <t xml:space="preserve">AF29</t>
  </si>
  <si>
    <t xml:space="preserve">=AC29*$B$9*18.01528/($B$9*18.01528 + H29+E29+F29+K29)</t>
  </si>
  <si>
    <t xml:space="preserve">=AC29</t>
  </si>
  <si>
    <t xml:space="preserve">AG29</t>
  </si>
  <si>
    <t xml:space="preserve">=AD29*$B$9*18.01528/($B$9*18.01528 + H29+E29+F29+K29)</t>
  </si>
  <si>
    <t xml:space="preserve">=AD29</t>
  </si>
  <si>
    <t xml:space="preserve">AE30</t>
  </si>
  <si>
    <t xml:space="preserve">=AB30*$B$9*18.01528/($B$9*18.01528 + H30+E30+F30+K30)</t>
  </si>
  <si>
    <t xml:space="preserve">=AB30</t>
  </si>
  <si>
    <t xml:space="preserve">AF30</t>
  </si>
  <si>
    <t xml:space="preserve">=AC30*$B$9*18.01528/($B$9*18.01528 + H30+E30+F30+K30)</t>
  </si>
  <si>
    <t xml:space="preserve">=AC30</t>
  </si>
  <si>
    <t xml:space="preserve">AG30</t>
  </si>
  <si>
    <t xml:space="preserve">=AD30*$B$9*18.01528/($B$9*18.01528 + H30+E30+F30+K30)</t>
  </si>
  <si>
    <t xml:space="preserve">=AD30</t>
  </si>
  <si>
    <t xml:space="preserve">AE3</t>
  </si>
  <si>
    <t xml:space="preserve">𝜸 (c)</t>
  </si>
  <si>
    <t xml:space="preserve">AF3</t>
  </si>
  <si>
    <t xml:space="preserve">𝜸 vH (c)</t>
  </si>
  <si>
    <t xml:space="preserve">AG3</t>
  </si>
  <si>
    <t xml:space="preserve">𝜸 Agena (c)</t>
  </si>
  <si>
    <t xml:space="preserve">K4</t>
  </si>
  <si>
    <t xml:space="preserve">=0.03/3</t>
  </si>
  <si>
    <t xml:space="preserve">=0.05/3</t>
  </si>
  <si>
    <t xml:space="preserve">K2SO4 concentration for I = 0.05 M (table AI3); 0.03/3 gives I = 0.03 M</t>
  </si>
  <si>
    <t xml:space="preserve">K5</t>
  </si>
  <si>
    <t xml:space="preserve">K6</t>
  </si>
  <si>
    <t xml:space="preserve">K7</t>
  </si>
  <si>
    <t xml:space="preserve">K8</t>
  </si>
  <si>
    <t xml:space="preserve">K9</t>
  </si>
  <si>
    <t xml:space="preserve">K10</t>
  </si>
  <si>
    <t xml:space="preserve">K11</t>
  </si>
  <si>
    <t xml:space="preserve">K12</t>
  </si>
  <si>
    <t xml:space="preserve">AL19</t>
  </si>
  <si>
    <t xml:space="preserve">=AK19*AK3</t>
  </si>
  <si>
    <t xml:space="preserve">=AK19*AK3*AK3</t>
  </si>
  <si>
    <t xml:space="preserve">B3 molar = B3(mass) x M^3 (was x M^2)</t>
  </si>
  <si>
    <t xml:space="preserve">AM19</t>
  </si>
  <si>
    <t xml:space="preserve">=AL19*1000</t>
  </si>
  <si>
    <t xml:space="preserve">=AL19*1000000</t>
  </si>
  <si>
    <t xml:space="preserve">L2/mol2 -&gt; mL2/mol2</t>
  </si>
  <si>
    <t xml:space="preserve">AN19</t>
  </si>
  <si>
    <t xml:space="preserve">=$B$9*$B$9*(AM19*AM19 - 2*AM19*$B$5*AK3 + AK3*AK3*$B$5*$B$5)/1000/1000</t>
  </si>
  <si>
    <t xml:space="preserve">=$B$9*$B$9*(AM19 - 2*AM14*$B$5*AK3 + (AK3*$B$5)^2)/1000/1000</t>
  </si>
  <si>
    <t xml:space="preserve">equation 13: C3 = rho^2 (B3 - 2 B2 nu M + (nu M)^2); the original used B3^2 and B3 in the cross term</t>
  </si>
  <si>
    <t xml:space="preserve">AL20</t>
  </si>
  <si>
    <t xml:space="preserve">=AK20*AK4</t>
  </si>
  <si>
    <t xml:space="preserve">=AK20*AK4*AK4</t>
  </si>
  <si>
    <t xml:space="preserve">AM20</t>
  </si>
  <si>
    <t xml:space="preserve">=AL20*1000</t>
  </si>
  <si>
    <t xml:space="preserve">=AL20*1000000</t>
  </si>
  <si>
    <t xml:space="preserve">AN20</t>
  </si>
  <si>
    <t xml:space="preserve">=$B$9*$B$9*(AM20*AM20 - 2*AM20*$B$5*AK4 + AK4*AK4*$B$5*$B$5)/1000/1000</t>
  </si>
  <si>
    <t xml:space="preserve">=$B$9*$B$9*(AM20 - 2*AM15*$B$5*AK4 + (AK4*$B$5)^2)/1000/1000</t>
  </si>
  <si>
    <t xml:space="preserve">AL21</t>
  </si>
  <si>
    <t xml:space="preserve">=AK21*AK5</t>
  </si>
  <si>
    <t xml:space="preserve">=AK21*AK5*AK5</t>
  </si>
  <si>
    <t xml:space="preserve">AM21</t>
  </si>
  <si>
    <t xml:space="preserve">=AL21*1000</t>
  </si>
  <si>
    <t xml:space="preserve">=AL21*1000000</t>
  </si>
  <si>
    <t xml:space="preserve">AN21</t>
  </si>
  <si>
    <t xml:space="preserve">=$B$9*$B$9*(AM21*AM21 - 2*AM21*$B$5*AK5 + AK5*AK5*$B$5*$B$5)/1000/1000</t>
  </si>
  <si>
    <t xml:space="preserve">=$B$9*$B$9*(AM21 - 2*AM16*$B$5*AK5 + (AK5*$B$5)^2)/1000/1000</t>
  </si>
  <si>
    <t xml:space="preserve">AJ18</t>
  </si>
  <si>
    <t xml:space="preserve">B3 (L.mol/g.g)</t>
  </si>
  <si>
    <t xml:space="preserve">label</t>
  </si>
  <si>
    <t xml:space="preserve">AL18</t>
  </si>
  <si>
    <t xml:space="preserve">B3 (L/mol)</t>
  </si>
  <si>
    <t xml:space="preserve">AM18</t>
  </si>
  <si>
    <t xml:space="preserve">B3 (mL/mol)</t>
  </si>
  <si>
    <t xml:space="preserve">AN18</t>
  </si>
  <si>
    <t xml:space="preserve">D3 (g/mol)</t>
  </si>
  <si>
    <t xml:space="preserve">Y5</t>
  </si>
  <si>
    <t xml:space="preserve">-3665476.14033629</t>
  </si>
  <si>
    <t xml:space="preserve">-1.00969e+06</t>
  </si>
  <si>
    <t xml:space="preserve">phi-1 fit: polynomial refitted (least squares, rows 4-12)</t>
  </si>
  <si>
    <t xml:space="preserve">Y6</t>
  </si>
  <si>
    <t xml:space="preserve">6827561358659.16</t>
  </si>
  <si>
    <t xml:space="preserve">9.80675e+11</t>
  </si>
  <si>
    <t xml:space="preserve">Y7</t>
  </si>
  <si>
    <t xml:space="preserve">-5.59161317815262e+18</t>
  </si>
  <si>
    <t xml:space="preserve">-5.86284e+17</t>
  </si>
  <si>
    <t xml:space="preserve">Y8</t>
  </si>
  <si>
    <t xml:space="preserve">1.61704122702444e+24</t>
  </si>
  <si>
    <t xml:space="preserve">1.51539e+23</t>
  </si>
  <si>
    <t xml:space="preserve">Y14</t>
  </si>
  <si>
    <t xml:space="preserve">-1465780.34973803</t>
  </si>
  <si>
    <t xml:space="preserve">-919013</t>
  </si>
  <si>
    <t xml:space="preserve">phi-1 fit: polynomial refitted (least squares, rows 13-21)</t>
  </si>
  <si>
    <t xml:space="preserve">Y15</t>
  </si>
  <si>
    <t xml:space="preserve">1188050948081.9</t>
  </si>
  <si>
    <t xml:space="preserve">6.55583e+11</t>
  </si>
  <si>
    <t xml:space="preserve">Y16</t>
  </si>
  <si>
    <t xml:space="preserve">-3.46822027926921e+17</t>
  </si>
  <si>
    <t xml:space="preserve">-1.76915e+17</t>
  </si>
  <si>
    <t xml:space="preserve">Y23</t>
  </si>
  <si>
    <t xml:space="preserve">-1259882.8915332</t>
  </si>
  <si>
    <t xml:space="preserve">-944244</t>
  </si>
  <si>
    <t xml:space="preserve">phi-1 fit: polynomial refitted (least squares, rows 22-30)</t>
  </si>
  <si>
    <t xml:space="preserve">Y24</t>
  </si>
  <si>
    <t xml:space="preserve">1401613537374.9</t>
  </si>
  <si>
    <t xml:space="preserve">1.06383e+12</t>
  </si>
  <si>
    <t xml:space="preserve">Y25</t>
  </si>
  <si>
    <t xml:space="preserve">-8.00230473022738e+17</t>
  </si>
  <si>
    <t xml:space="preserve">-5.69902e+17</t>
  </si>
  <si>
    <t xml:space="preserve">Y26</t>
  </si>
  <si>
    <t xml:space="preserve">1.71314648902347e+23</t>
  </si>
  <si>
    <t xml:space="preserve">1.07923e+23</t>
  </si>
  <si>
    <t xml:space="preserve">S5</t>
  </si>
  <si>
    <t xml:space="preserve">12710.9964534871</t>
  </si>
  <si>
    <t xml:space="preserve">12502.9</t>
  </si>
  <si>
    <t xml:space="preserve">van t Hoff phi-1 fit: polynomial refitted (least squares, rows 4-12)</t>
  </si>
  <si>
    <t xml:space="preserve">S6</t>
  </si>
  <si>
    <t xml:space="preserve">111353374473.466</t>
  </si>
  <si>
    <t xml:space="preserve">1.12873e+11</t>
  </si>
  <si>
    <t xml:space="preserve">S7</t>
  </si>
  <si>
    <t xml:space="preserve">-77680942894709100</t>
  </si>
  <si>
    <t xml:space="preserve">-7.99342e+16</t>
  </si>
  <si>
    <t xml:space="preserve">S8</t>
  </si>
  <si>
    <t xml:space="preserve">3.95371892729434e+22</t>
  </si>
  <si>
    <t xml:space="preserve">4.14979e+22</t>
  </si>
  <si>
    <t xml:space="preserve">S14</t>
  </si>
  <si>
    <t xml:space="preserve">-541564.588300479</t>
  </si>
  <si>
    <t xml:space="preserve">-542481</t>
  </si>
  <si>
    <t xml:space="preserve">van t Hoff phi-1 fit: polynomial refitted (least squares, rows 13-21)</t>
  </si>
  <si>
    <t xml:space="preserve">S15</t>
  </si>
  <si>
    <t xml:space="preserve">392973833772.292</t>
  </si>
  <si>
    <t xml:space="preserve">3.93549e+11</t>
  </si>
  <si>
    <t xml:space="preserve">S16</t>
  </si>
  <si>
    <t xml:space="preserve">-89755752110217400</t>
  </si>
  <si>
    <t xml:space="preserve">-8.95878e+16</t>
  </si>
  <si>
    <t xml:space="preserve">S23</t>
  </si>
  <si>
    <t xml:space="preserve">-607332.260218994</t>
  </si>
  <si>
    <t xml:space="preserve">-606079</t>
  </si>
  <si>
    <t xml:space="preserve">van t Hoff phi-1 fit: polynomial refitted (least squares, rows 22-30)</t>
  </si>
  <si>
    <t xml:space="preserve">S24</t>
  </si>
  <si>
    <t xml:space="preserve">508217676307.201</t>
  </si>
  <si>
    <t xml:space="preserve">4.96634e+11</t>
  </si>
  <si>
    <t xml:space="preserve">S25</t>
  </si>
  <si>
    <t xml:space="preserve">-63586541320155500</t>
  </si>
  <si>
    <t xml:space="preserve">-4.46611e+16</t>
  </si>
  <si>
    <t xml:space="preserve">S26</t>
  </si>
  <si>
    <t xml:space="preserve">-4.64360348663691e+22</t>
  </si>
  <si>
    <t xml:space="preserve">-5.47565e+22</t>
  </si>
</sst>
</file>

<file path=xl/styles.xml><?xml version="1.0" encoding="utf-8"?>
<styleSheet xmlns="http://schemas.openxmlformats.org/spreadsheetml/2006/main">
  <numFmts count="8">
    <numFmt numFmtId="164" formatCode="General"/>
    <numFmt numFmtId="165" formatCode="0.0E+00"/>
    <numFmt numFmtId="166" formatCode="0.00E+00"/>
    <numFmt numFmtId="167" formatCode="0.0"/>
    <numFmt numFmtId="168" formatCode="0.00"/>
    <numFmt numFmtId="169" formatCode="0.000"/>
    <numFmt numFmtId="170" formatCode="0.0000"/>
    <numFmt numFmtId="171" formatCode="0.000000"/>
  </numFmts>
  <fonts count="16">
    <font>
      <sz val="12"/>
      <color theme="1"/>
      <name val="Calibri"/>
      <family val="2"/>
      <charset val="1"/>
    </font>
    <font>
      <sz val="10"/>
      <name val="Arial"/>
      <family val="0"/>
    </font>
    <font>
      <sz val="10"/>
      <name val="Arial"/>
      <family val="0"/>
    </font>
    <font>
      <sz val="10"/>
      <name val="Arial"/>
      <family val="0"/>
    </font>
    <font>
      <sz val="12"/>
      <color rgb="FF000000"/>
      <name val="Calibri"/>
      <family val="2"/>
      <charset val="1"/>
    </font>
    <font>
      <sz val="9"/>
      <color rgb="FF595959"/>
      <name val="Calibri"/>
      <family val="2"/>
    </font>
    <font>
      <sz val="10"/>
      <color rgb="FF595959"/>
      <name val="Calibri"/>
      <family val="2"/>
    </font>
    <font>
      <sz val="14"/>
      <color rgb="FF595959"/>
      <name val="Calibri"/>
      <family val="2"/>
    </font>
    <font>
      <sz val="14"/>
      <color rgb="FF000000"/>
      <name val="Times New Roman"/>
      <family val="2"/>
    </font>
    <font>
      <sz val="9"/>
      <color rgb="FF000000"/>
      <name val="Times New Roman"/>
      <family val="2"/>
    </font>
    <font>
      <sz val="10"/>
      <color rgb="FF000000"/>
      <name val="Times New Roman"/>
      <family val="2"/>
    </font>
    <font>
      <sz val="10"/>
      <color rgb="FF000000"/>
      <name val="Calibri"/>
      <family val="2"/>
    </font>
    <font>
      <b val="true"/>
      <sz val="12"/>
      <name val="Arial"/>
      <family val="0"/>
      <charset val="1"/>
    </font>
    <font>
      <sz val="11"/>
      <name val="Arial"/>
      <family val="0"/>
      <charset val="1"/>
    </font>
    <font>
      <b val="true"/>
      <sz val="11"/>
      <name val="Arial"/>
      <family val="0"/>
      <charset val="1"/>
    </font>
    <font>
      <sz val="9"/>
      <name val="Arial"/>
      <family val="0"/>
      <charset val="1"/>
    </font>
  </fonts>
  <fills count="6">
    <fill>
      <patternFill patternType="none"/>
    </fill>
    <fill>
      <patternFill patternType="gray125"/>
    </fill>
    <fill>
      <patternFill patternType="solid">
        <fgColor theme="8" tint="0.7999"/>
        <bgColor rgb="FFD9D9D9"/>
      </patternFill>
    </fill>
    <fill>
      <patternFill patternType="solid">
        <fgColor theme="5" tint="0.7999"/>
        <bgColor rgb="FFFFF2CC"/>
      </patternFill>
    </fill>
    <fill>
      <patternFill patternType="solid">
        <fgColor theme="7" tint="0.7999"/>
        <bgColor rgb="FFFBE5D6"/>
      </patternFill>
    </fill>
    <fill>
      <patternFill patternType="solid">
        <fgColor rgb="FFFF0000"/>
        <bgColor rgb="FF993300"/>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0" fillId="2" borderId="4"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center" vertical="center" textRotation="0" wrapText="false" indent="0" shrinkToFit="false"/>
      <protection locked="true" hidden="false"/>
    </xf>
    <xf numFmtId="165" fontId="0" fillId="0" borderId="5" xfId="0" applyFont="fals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6" fontId="0" fillId="2" borderId="6" xfId="0" applyFont="false" applyBorder="true" applyAlignment="true" applyProtection="false">
      <alignment horizontal="center" vertical="center" textRotation="0" wrapText="false" indent="0" shrinkToFit="false"/>
      <protection locked="true" hidden="false"/>
    </xf>
    <xf numFmtId="167" fontId="0" fillId="2" borderId="6" xfId="0" applyFont="false" applyBorder="true" applyAlignment="true" applyProtection="false">
      <alignment horizontal="center" vertical="center" textRotation="0" wrapText="false" indent="0" shrinkToFit="false"/>
      <protection locked="true" hidden="false"/>
    </xf>
    <xf numFmtId="166" fontId="0" fillId="0" borderId="5" xfId="0" applyFont="false" applyBorder="true" applyAlignment="true" applyProtection="false">
      <alignment horizontal="center" vertical="center" textRotation="0" wrapText="false" indent="0" shrinkToFit="false"/>
      <protection locked="true" hidden="false"/>
    </xf>
    <xf numFmtId="168" fontId="0" fillId="0" borderId="5" xfId="0" applyFont="false" applyBorder="true" applyAlignment="true" applyProtection="false">
      <alignment horizontal="center" vertical="center" textRotation="0" wrapText="false" indent="0" shrinkToFit="false"/>
      <protection locked="true" hidden="false"/>
    </xf>
    <xf numFmtId="167" fontId="0" fillId="0" borderId="5" xfId="0" applyFont="false" applyBorder="true" applyAlignment="true" applyProtection="false">
      <alignment horizontal="center" vertical="center" textRotation="0" wrapText="false" indent="0" shrinkToFit="false"/>
      <protection locked="true" hidden="false"/>
    </xf>
    <xf numFmtId="169" fontId="0" fillId="0" borderId="5" xfId="0" applyFont="false" applyBorder="true" applyAlignment="true" applyProtection="false">
      <alignment horizontal="center" vertical="center" textRotation="0" wrapText="false" indent="0" shrinkToFit="false"/>
      <protection locked="true" hidden="false"/>
    </xf>
    <xf numFmtId="164" fontId="0" fillId="3" borderId="5" xfId="0" applyFont="false" applyBorder="true" applyAlignment="true" applyProtection="false">
      <alignment horizontal="center" vertical="center" textRotation="0" wrapText="false" indent="0" shrinkToFit="false"/>
      <protection locked="true" hidden="false"/>
    </xf>
    <xf numFmtId="170" fontId="0" fillId="0" borderId="5" xfId="0" applyFont="false" applyBorder="true" applyAlignment="true" applyProtection="false">
      <alignment horizontal="center" vertical="center" textRotation="0" wrapText="false" indent="0" shrinkToFit="false"/>
      <protection locked="true" hidden="false"/>
    </xf>
    <xf numFmtId="170" fontId="0" fillId="2" borderId="7" xfId="0" applyFont="false" applyBorder="true" applyAlignment="true" applyProtection="false">
      <alignment horizontal="center" vertical="center" textRotation="0" wrapText="false" indent="0" shrinkToFit="false"/>
      <protection locked="true" hidden="false"/>
    </xf>
    <xf numFmtId="170" fontId="0" fillId="2" borderId="6" xfId="0" applyFont="false" applyBorder="true" applyAlignment="true" applyProtection="false">
      <alignment horizontal="center" vertical="center" textRotation="0" wrapText="false" indent="0" shrinkToFit="false"/>
      <protection locked="true" hidden="false"/>
    </xf>
    <xf numFmtId="170" fontId="0" fillId="2" borderId="8" xfId="0" applyFont="fals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6" fontId="0" fillId="2" borderId="9" xfId="0" applyFont="false" applyBorder="true" applyAlignment="true" applyProtection="false">
      <alignment horizontal="center" vertical="center" textRotation="0" wrapText="false" indent="0" shrinkToFit="false"/>
      <protection locked="true" hidden="false"/>
    </xf>
    <xf numFmtId="167" fontId="0" fillId="2" borderId="9" xfId="0" applyFont="false" applyBorder="tru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center" vertical="center" textRotation="0" wrapText="false" indent="0" shrinkToFit="false"/>
      <protection locked="true" hidden="false"/>
    </xf>
    <xf numFmtId="169" fontId="0" fillId="0" borderId="0" xfId="0" applyFont="false" applyBorder="false" applyAlignment="true" applyProtection="false">
      <alignment horizontal="center" vertical="center" textRotation="0" wrapText="false" indent="0" shrinkToFit="false"/>
      <protection locked="true" hidden="false"/>
    </xf>
    <xf numFmtId="166" fontId="0" fillId="3" borderId="0" xfId="0" applyFont="false" applyBorder="false" applyAlignment="true" applyProtection="false">
      <alignment horizontal="center" vertical="center" textRotation="0" wrapText="false" indent="0" shrinkToFit="false"/>
      <protection locked="true" hidden="false"/>
    </xf>
    <xf numFmtId="170" fontId="0" fillId="0" borderId="0" xfId="0" applyFont="false" applyBorder="false" applyAlignment="true" applyProtection="false">
      <alignment horizontal="center" vertical="center" textRotation="0" wrapText="false" indent="0" shrinkToFit="false"/>
      <protection locked="true" hidden="false"/>
    </xf>
    <xf numFmtId="170" fontId="0" fillId="2" borderId="10" xfId="0" applyFont="false" applyBorder="true" applyAlignment="true" applyProtection="false">
      <alignment horizontal="center" vertical="center" textRotation="0" wrapText="false" indent="0" shrinkToFit="false"/>
      <protection locked="true" hidden="false"/>
    </xf>
    <xf numFmtId="170" fontId="0" fillId="2" borderId="9" xfId="0" applyFont="false" applyBorder="true" applyAlignment="true" applyProtection="false">
      <alignment horizontal="center" vertical="center" textRotation="0" wrapText="false" indent="0" shrinkToFit="false"/>
      <protection locked="true" hidden="false"/>
    </xf>
    <xf numFmtId="170" fontId="0" fillId="2" borderId="11" xfId="0" applyFont="false" applyBorder="true" applyAlignment="true" applyProtection="false">
      <alignment horizontal="center" vertical="center" textRotation="0" wrapText="false" indent="0" shrinkToFit="false"/>
      <protection locked="true" hidden="false"/>
    </xf>
    <xf numFmtId="171" fontId="0" fillId="4" borderId="0" xfId="0" applyFont="false" applyBorder="false" applyAlignment="true" applyProtection="false">
      <alignment horizontal="center" vertical="center" textRotation="0" wrapText="false" indent="0" shrinkToFit="false"/>
      <protection locked="true" hidden="false"/>
    </xf>
    <xf numFmtId="165" fontId="0" fillId="0" borderId="12" xfId="0" applyFont="false" applyBorder="tru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center" vertical="center" textRotation="0" wrapText="false" indent="0" shrinkToFit="false"/>
      <protection locked="true" hidden="false"/>
    </xf>
    <xf numFmtId="166" fontId="0" fillId="2" borderId="13" xfId="0" applyFont="false" applyBorder="true" applyAlignment="true" applyProtection="false">
      <alignment horizontal="center" vertical="center" textRotation="0" wrapText="false" indent="0" shrinkToFit="false"/>
      <protection locked="true" hidden="false"/>
    </xf>
    <xf numFmtId="167" fontId="0" fillId="2" borderId="13" xfId="0" applyFont="false" applyBorder="true" applyAlignment="true" applyProtection="false">
      <alignment horizontal="center" vertical="center" textRotation="0" wrapText="false" indent="0" shrinkToFit="false"/>
      <protection locked="true" hidden="false"/>
    </xf>
    <xf numFmtId="166" fontId="0" fillId="0" borderId="12" xfId="0" applyFont="false" applyBorder="true" applyAlignment="true" applyProtection="false">
      <alignment horizontal="center" vertical="center" textRotation="0" wrapText="false" indent="0" shrinkToFit="false"/>
      <protection locked="true" hidden="false"/>
    </xf>
    <xf numFmtId="168" fontId="0" fillId="0" borderId="12" xfId="0" applyFont="false" applyBorder="true" applyAlignment="true" applyProtection="false">
      <alignment horizontal="center" vertical="center" textRotation="0" wrapText="false" indent="0" shrinkToFit="false"/>
      <protection locked="true" hidden="false"/>
    </xf>
    <xf numFmtId="167" fontId="0" fillId="0" borderId="12" xfId="0" applyFont="false" applyBorder="true" applyAlignment="true" applyProtection="false">
      <alignment horizontal="center" vertical="center" textRotation="0" wrapText="false" indent="0" shrinkToFit="false"/>
      <protection locked="true" hidden="false"/>
    </xf>
    <xf numFmtId="169" fontId="0" fillId="0" borderId="12" xfId="0" applyFont="false" applyBorder="tru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general" vertical="bottom" textRotation="0" wrapText="false" indent="0" shrinkToFit="false"/>
      <protection locked="true" hidden="false"/>
    </xf>
    <xf numFmtId="170" fontId="0" fillId="0" borderId="12" xfId="0" applyFont="false" applyBorder="true" applyAlignment="true" applyProtection="false">
      <alignment horizontal="center" vertical="center" textRotation="0" wrapText="false" indent="0" shrinkToFit="false"/>
      <protection locked="true" hidden="false"/>
    </xf>
    <xf numFmtId="170" fontId="0" fillId="2" borderId="14" xfId="0" applyFont="false" applyBorder="true" applyAlignment="true" applyProtection="false">
      <alignment horizontal="center" vertical="center" textRotation="0" wrapText="false" indent="0" shrinkToFit="false"/>
      <protection locked="true" hidden="false"/>
    </xf>
    <xf numFmtId="170" fontId="0" fillId="2" borderId="13" xfId="0" applyFont="false" applyBorder="true" applyAlignment="true" applyProtection="false">
      <alignment horizontal="center" vertical="center" textRotation="0" wrapText="false" indent="0" shrinkToFit="false"/>
      <protection locked="true" hidden="false"/>
    </xf>
    <xf numFmtId="170" fontId="0" fillId="2" borderId="15" xfId="0" applyFont="false" applyBorder="true" applyAlignment="true" applyProtection="false">
      <alignment horizontal="center"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6" fontId="0" fillId="5"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595959"/>
      <rgbColor rgb="FFA5A5A5"/>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spPr>
            <a:solidFill>
              <a:srgbClr val="0070c0"/>
            </a:solidFill>
            <a:ln cap="rnd" w="19080">
              <a:solidFill>
                <a:srgbClr val="0070c0"/>
              </a:solidFill>
              <a:round/>
            </a:ln>
          </c:spPr>
          <c:marker>
            <c:symbol val="circle"/>
            <c:size val="5"/>
            <c:spPr>
              <a:solidFill>
                <a:srgbClr val="0070c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K2SO4!$AI$3:$AI$11</c:f>
              <c:numCache>
                <c:formatCode>General</c:formatCode>
                <c:ptCount val="9"/>
                <c:pt idx="0">
                  <c:v>0.05</c:v>
                </c:pt>
                <c:pt idx="1">
                  <c:v>0.15</c:v>
                </c:pt>
                <c:pt idx="2">
                  <c:v>0.3</c:v>
                </c:pt>
              </c:numCache>
            </c:numRef>
          </c:xVal>
          <c:yVal>
            <c:numRef>
              <c:f>K2SO4!$AJ$3:$AJ$11</c:f>
              <c:numCache>
                <c:formatCode>General</c:formatCode>
                <c:ptCount val="9"/>
                <c:pt idx="0">
                  <c:v>28.2</c:v>
                </c:pt>
                <c:pt idx="1">
                  <c:v>26.8</c:v>
                </c:pt>
                <c:pt idx="2">
                  <c:v>27.4</c:v>
                </c:pt>
              </c:numCache>
            </c:numRef>
          </c:yVal>
          <c:smooth val="0"/>
        </c:ser>
        <c:ser>
          <c:idx val="1"/>
          <c:order val="1"/>
          <c:spPr>
            <a:solidFill>
              <a:srgbClr val="0070c0"/>
            </a:solidFill>
            <a:ln cap="rnd" w="19080">
              <a:solidFill>
                <a:srgbClr val="0070c0"/>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K2SO4!$AI$3:$AI$11</c:f>
              <c:numCache>
                <c:formatCode>General</c:formatCode>
                <c:ptCount val="9"/>
                <c:pt idx="0">
                  <c:v>0.05</c:v>
                </c:pt>
                <c:pt idx="1">
                  <c:v>0.15</c:v>
                </c:pt>
                <c:pt idx="2">
                  <c:v>0.3</c:v>
                </c:pt>
              </c:numCache>
            </c:numRef>
          </c:xVal>
          <c:yVal>
            <c:numRef>
              <c:f>K2SO4!$AM$3:$AM$11</c:f>
              <c:numCache>
                <c:formatCode>General</c:formatCode>
                <c:ptCount val="9"/>
                <c:pt idx="0">
                  <c:v>28</c:v>
                </c:pt>
                <c:pt idx="1">
                  <c:v>26.6</c:v>
                </c:pt>
                <c:pt idx="2">
                  <c:v>27.3</c:v>
                </c:pt>
              </c:numCache>
            </c:numRef>
          </c:yVal>
          <c:smooth val="0"/>
        </c:ser>
        <c:ser>
          <c:idx val="2"/>
          <c:order val="2"/>
          <c:spPr>
            <a:solidFill>
              <a:srgbClr val="0070c0"/>
            </a:solidFill>
            <a:ln cap="rnd" w="19080">
              <a:solidFill>
                <a:srgbClr val="0070c0"/>
              </a:solidFill>
              <a:prstDash val="sys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K2SO4!$AI$3:$AI$11</c:f>
              <c:numCache>
                <c:formatCode>General</c:formatCode>
                <c:ptCount val="9"/>
                <c:pt idx="0">
                  <c:v>0.05</c:v>
                </c:pt>
                <c:pt idx="1">
                  <c:v>0.15</c:v>
                </c:pt>
                <c:pt idx="2">
                  <c:v>0.3</c:v>
                </c:pt>
              </c:numCache>
            </c:numRef>
          </c:xVal>
          <c:yVal>
            <c:numRef>
              <c:f>K2SO4!$AN$3:$AN$11</c:f>
              <c:numCache>
                <c:formatCode>General</c:formatCode>
                <c:ptCount val="9"/>
                <c:pt idx="0">
                  <c:v>28.4</c:v>
                </c:pt>
                <c:pt idx="1">
                  <c:v>27</c:v>
                </c:pt>
                <c:pt idx="2">
                  <c:v>27.5</c:v>
                </c:pt>
              </c:numCache>
            </c:numRef>
          </c:yVal>
          <c:smooth val="0"/>
        </c:ser>
        <c:axId val="81679082"/>
        <c:axId val="86116320"/>
      </c:scatterChart>
      <c:valAx>
        <c:axId val="81679082"/>
        <c:scaling>
          <c:orientation val="minMax"/>
        </c:scaling>
        <c:delete val="0"/>
        <c:axPos val="b"/>
        <c:title>
          <c:tx>
            <c:rich>
              <a:bodyPr rot="0"/>
              <a:lstStyle/>
              <a:p>
                <a:pPr>
                  <a:defRPr b="0" lang="en-GB" sz="1000" spc="-1" strike="noStrike">
                    <a:solidFill>
                      <a:srgbClr val="595959"/>
                    </a:solidFill>
                    <a:latin typeface="Calibri"/>
                  </a:defRPr>
                </a:pPr>
                <a:r>
                  <a:rPr b="0" lang="en-GB" sz="1000" spc="-1" strike="noStrike">
                    <a:solidFill>
                      <a:srgbClr val="595959"/>
                    </a:solidFill>
                    <a:latin typeface="Calibri"/>
                  </a:rPr>
                  <a:t>pH</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6116320"/>
        <c:crosses val="autoZero"/>
        <c:crossBetween val="midCat"/>
      </c:valAx>
      <c:valAx>
        <c:axId val="86116320"/>
        <c:scaling>
          <c:orientation val="minMax"/>
          <c:min val="25"/>
        </c:scaling>
        <c:delete val="0"/>
        <c:axPos val="l"/>
        <c:majorGridlines>
          <c:spPr>
            <a:ln w="9360">
              <a:solidFill>
                <a:srgbClr val="d9d9d9"/>
              </a:solidFill>
              <a:round/>
            </a:ln>
          </c:spPr>
        </c:majorGridlines>
        <c:title>
          <c:tx>
            <c:rich>
              <a:bodyPr rot="-5400000"/>
              <a:lstStyle/>
              <a:p>
                <a:pPr>
                  <a:defRPr b="0" lang="en-GB" sz="1000" spc="-1" strike="noStrike">
                    <a:solidFill>
                      <a:srgbClr val="595959"/>
                    </a:solidFill>
                    <a:latin typeface="Calibri"/>
                  </a:defRPr>
                </a:pPr>
                <a:r>
                  <a:rPr b="0" lang="en-GB" sz="1000" spc="-1" strike="noStrike">
                    <a:solidFill>
                      <a:srgbClr val="595959"/>
                    </a:solidFill>
                    <a:latin typeface="Calibri"/>
                  </a:rPr>
                  <a:t>MW (kg/mol)</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1679082"/>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I 0.03 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K2SO4!$J$4:$J$12</c:f>
              <c:numCache>
                <c:formatCode>0.00E+00</c:formatCode>
                <c:ptCount val="9"/>
                <c:pt idx="0">
                  <c:v>3.22708442436674E-008</c:v>
                </c:pt>
                <c:pt idx="1">
                  <c:v>6.45848168370533E-008</c:v>
                </c:pt>
                <c:pt idx="2">
                  <c:v>1.29306628164438E-007</c:v>
                </c:pt>
                <c:pt idx="3">
                  <c:v>1.94237763117903E-007</c:v>
                </c:pt>
                <c:pt idx="4">
                  <c:v>2.59343150932795E-007</c:v>
                </c:pt>
                <c:pt idx="5">
                  <c:v>3.24623494003841E-007</c:v>
                </c:pt>
                <c:pt idx="6">
                  <c:v>7.0984318154346E-007</c:v>
                </c:pt>
                <c:pt idx="7">
                  <c:v>1.07245628050153E-006</c:v>
                </c:pt>
                <c:pt idx="8">
                  <c:v>1.44085064121474E-006</c:v>
                </c:pt>
              </c:numCache>
            </c:numRef>
          </c:xVal>
          <c:yVal>
            <c:numRef>
              <c:f>K2SO4!$W$4:$W$12</c:f>
              <c:numCache>
                <c:formatCode>0.0000</c:formatCode>
                <c:ptCount val="9"/>
                <c:pt idx="0">
                  <c:v>-0.0292897270322776</c:v>
                </c:pt>
                <c:pt idx="1">
                  <c:v>-0.0507304865319689</c:v>
                </c:pt>
                <c:pt idx="2">
                  <c:v>-0.115496719152221</c:v>
                </c:pt>
                <c:pt idx="3">
                  <c:v>-0.173565144013498</c:v>
                </c:pt>
                <c:pt idx="4">
                  <c:v>-0.21162793951345</c:v>
                </c:pt>
                <c:pt idx="5">
                  <c:v>-0.231700026938211</c:v>
                </c:pt>
                <c:pt idx="6">
                  <c:v>-0.395377846857545</c:v>
                </c:pt>
                <c:pt idx="7">
                  <c:v>-0.477168002497649</c:v>
                </c:pt>
                <c:pt idx="8">
                  <c:v>-0.519549280821075</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K2SO4!$J$4:$J$12</c:f>
              <c:numCache>
                <c:formatCode>0.00E+00</c:formatCode>
                <c:ptCount val="9"/>
                <c:pt idx="0">
                  <c:v>3.22708442436674E-008</c:v>
                </c:pt>
                <c:pt idx="1">
                  <c:v>6.45848168370533E-008</c:v>
                </c:pt>
                <c:pt idx="2">
                  <c:v>1.29306628164438E-007</c:v>
                </c:pt>
                <c:pt idx="3">
                  <c:v>1.94237763117903E-007</c:v>
                </c:pt>
                <c:pt idx="4">
                  <c:v>2.59343150932795E-007</c:v>
                </c:pt>
                <c:pt idx="5">
                  <c:v>3.24623494003841E-007</c:v>
                </c:pt>
                <c:pt idx="6">
                  <c:v>7.0984318154346E-007</c:v>
                </c:pt>
                <c:pt idx="7">
                  <c:v>1.07245628050153E-006</c:v>
                </c:pt>
                <c:pt idx="8">
                  <c:v>1.44085064121474E-006</c:v>
                </c:pt>
              </c:numCache>
            </c:numRef>
          </c:xVal>
          <c:yVal>
            <c:numRef>
              <c:f>K2SO4!$X$4:$X$12</c:f>
              <c:numCache>
                <c:formatCode>0.0000</c:formatCode>
                <c:ptCount val="9"/>
                <c:pt idx="0">
                  <c:v>-0.0315817033407549</c:v>
                </c:pt>
                <c:pt idx="1">
                  <c:v>-0.0612751543691476</c:v>
                </c:pt>
                <c:pt idx="2">
                  <c:v>-0.115387309594505</c:v>
                </c:pt>
                <c:pt idx="3">
                  <c:v>-0.163200829136593</c:v>
                </c:pt>
                <c:pt idx="4">
                  <c:v>-0.205437349684866</c:v>
                </c:pt>
                <c:pt idx="5">
                  <c:v>-0.242797410696825</c:v>
                </c:pt>
                <c:pt idx="6">
                  <c:v>-0.393803051280307</c:v>
                </c:pt>
                <c:pt idx="7">
                  <c:v>-0.477622554640922</c:v>
                </c:pt>
                <c:pt idx="8">
                  <c:v>-0.519483823274342</c:v>
                </c:pt>
              </c:numCache>
            </c:numRef>
          </c:yVal>
          <c:smooth val="0"/>
        </c:ser>
        <c:axId val="3179196"/>
        <c:axId val="99271355"/>
      </c:scatterChart>
      <c:valAx>
        <c:axId val="3179196"/>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9271355"/>
        <c:crosses val="autoZero"/>
        <c:crossBetween val="midCat"/>
      </c:valAx>
      <c:valAx>
        <c:axId val="99271355"/>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179196"/>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I 0.15 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K2SO4!$J$13:$J$21</c:f>
              <c:numCache>
                <c:formatCode>0.00E+00</c:formatCode>
                <c:ptCount val="9"/>
                <c:pt idx="0">
                  <c:v>3.41563587513886E-008</c:v>
                </c:pt>
                <c:pt idx="1">
                  <c:v>6.83586344188149E-008</c:v>
                </c:pt>
                <c:pt idx="2">
                  <c:v>1.36863345586411E-007</c:v>
                </c:pt>
                <c:pt idx="3">
                  <c:v>2.05590698861453E-007</c:v>
                </c:pt>
                <c:pt idx="4">
                  <c:v>2.74503582699862E-007</c:v>
                </c:pt>
                <c:pt idx="5">
                  <c:v>3.43602749381013E-007</c:v>
                </c:pt>
                <c:pt idx="6">
                  <c:v>7.51379681794443E-007</c:v>
                </c:pt>
                <c:pt idx="7">
                  <c:v>1.1352611738654E-006</c:v>
                </c:pt>
                <c:pt idx="8">
                  <c:v>1.52529769853312E-006</c:v>
                </c:pt>
              </c:numCache>
            </c:numRef>
          </c:xVal>
          <c:yVal>
            <c:numRef>
              <c:f>K2SO4!$W$13:$W$21</c:f>
              <c:numCache>
                <c:formatCode>0.0000</c:formatCode>
                <c:ptCount val="9"/>
                <c:pt idx="0">
                  <c:v>-0.0179002318183547</c:v>
                </c:pt>
                <c:pt idx="1">
                  <c:v>-0.0561150947670989</c:v>
                </c:pt>
                <c:pt idx="2">
                  <c:v>-0.122213104696015</c:v>
                </c:pt>
                <c:pt idx="3">
                  <c:v>-0.175965704178478</c:v>
                </c:pt>
                <c:pt idx="4">
                  <c:v>-0.205484799366971</c:v>
                </c:pt>
                <c:pt idx="5">
                  <c:v>-0.238164785475195</c:v>
                </c:pt>
                <c:pt idx="6">
                  <c:v>-0.390504006167806</c:v>
                </c:pt>
                <c:pt idx="7">
                  <c:v>-0.461994537472896</c:v>
                </c:pt>
                <c:pt idx="8">
                  <c:v>-0.503026810910183</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K2SO4!$J$13:$J$21</c:f>
              <c:numCache>
                <c:formatCode>0.00E+00</c:formatCode>
                <c:ptCount val="9"/>
                <c:pt idx="0">
                  <c:v>3.41563587513886E-008</c:v>
                </c:pt>
                <c:pt idx="1">
                  <c:v>6.83586344188149E-008</c:v>
                </c:pt>
                <c:pt idx="2">
                  <c:v>1.36863345586411E-007</c:v>
                </c:pt>
                <c:pt idx="3">
                  <c:v>2.05590698861453E-007</c:v>
                </c:pt>
                <c:pt idx="4">
                  <c:v>2.74503582699862E-007</c:v>
                </c:pt>
                <c:pt idx="5">
                  <c:v>3.43602749381013E-007</c:v>
                </c:pt>
                <c:pt idx="6">
                  <c:v>7.51379681794443E-007</c:v>
                </c:pt>
                <c:pt idx="7">
                  <c:v>1.1352611738654E-006</c:v>
                </c:pt>
                <c:pt idx="8">
                  <c:v>1.52529769853312E-006</c:v>
                </c:pt>
              </c:numCache>
            </c:numRef>
          </c:xVal>
          <c:yVal>
            <c:numRef>
              <c:f>K2SO4!$X$13:$X$21</c:f>
              <c:numCache>
                <c:formatCode>0.0000</c:formatCode>
                <c:ptCount val="9"/>
                <c:pt idx="0">
                  <c:v>-0.0306323579861416</c:v>
                </c:pt>
                <c:pt idx="1">
                  <c:v>-0.0598155311298297</c:v>
                </c:pt>
                <c:pt idx="2">
                  <c:v>-0.113952679051992</c:v>
                </c:pt>
                <c:pt idx="3">
                  <c:v>-0.162768052452075</c:v>
                </c:pt>
                <c:pt idx="4">
                  <c:v>-0.206532169744269</c:v>
                </c:pt>
                <c:pt idx="5">
                  <c:v>-0.245552305125419</c:v>
                </c:pt>
                <c:pt idx="6">
                  <c:v>-0.395452755679208</c:v>
                </c:pt>
                <c:pt idx="7">
                  <c:v>-0.457244097236436</c:v>
                </c:pt>
                <c:pt idx="8">
                  <c:v>-0.504341141633877</c:v>
                </c:pt>
              </c:numCache>
            </c:numRef>
          </c:yVal>
          <c:smooth val="0"/>
        </c:ser>
        <c:axId val="17537727"/>
        <c:axId val="37664882"/>
      </c:scatterChart>
      <c:valAx>
        <c:axId val="17537727"/>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7664882"/>
        <c:crosses val="autoZero"/>
        <c:crossBetween val="midCat"/>
      </c:valAx>
      <c:valAx>
        <c:axId val="37664882"/>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7537727"/>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I 0.3 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K2SO4!$J$22:$J$30</c:f>
              <c:numCache>
                <c:formatCode>0.00E+00</c:formatCode>
                <c:ptCount val="9"/>
                <c:pt idx="0">
                  <c:v>3.35565410698475E-008</c:v>
                </c:pt>
                <c:pt idx="1">
                  <c:v>6.67847896930717E-008</c:v>
                </c:pt>
                <c:pt idx="2">
                  <c:v>1.33899016279021E-007</c:v>
                </c:pt>
                <c:pt idx="3">
                  <c:v>2.0141974366288E-007</c:v>
                </c:pt>
                <c:pt idx="4">
                  <c:v>2.69236547186285E-007</c:v>
                </c:pt>
                <c:pt idx="5">
                  <c:v>3.36218108594516E-007</c:v>
                </c:pt>
                <c:pt idx="6">
                  <c:v>7.41560833222582E-007</c:v>
                </c:pt>
                <c:pt idx="7">
                  <c:v>1.120501107843E-006</c:v>
                </c:pt>
                <c:pt idx="8">
                  <c:v>1.5055693265282E-006</c:v>
                </c:pt>
              </c:numCache>
            </c:numRef>
          </c:xVal>
          <c:yVal>
            <c:numRef>
              <c:f>K2SO4!$W$22:$W$30</c:f>
              <c:numCache>
                <c:formatCode>0.0000</c:formatCode>
                <c:ptCount val="9"/>
                <c:pt idx="0">
                  <c:v>-0.0474804030876748</c:v>
                </c:pt>
                <c:pt idx="1">
                  <c:v>-0.0567809522884725</c:v>
                </c:pt>
                <c:pt idx="2">
                  <c:v>-0.0909775711360737</c:v>
                </c:pt>
                <c:pt idx="3">
                  <c:v>-0.149485982165075</c:v>
                </c:pt>
                <c:pt idx="4">
                  <c:v>-0.191897795092359</c:v>
                </c:pt>
                <c:pt idx="5">
                  <c:v>-0.226449051034947</c:v>
                </c:pt>
                <c:pt idx="6">
                  <c:v>-0.310303595573603</c:v>
                </c:pt>
                <c:pt idx="7">
                  <c:v>-0.355887335641312</c:v>
                </c:pt>
                <c:pt idx="8">
                  <c:v>-0.400260544508613</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K2SO4!$J$22:$J$30</c:f>
              <c:numCache>
                <c:formatCode>0.00E+00</c:formatCode>
                <c:ptCount val="9"/>
                <c:pt idx="0">
                  <c:v>3.35565410698475E-008</c:v>
                </c:pt>
                <c:pt idx="1">
                  <c:v>6.67847896930717E-008</c:v>
                </c:pt>
                <c:pt idx="2">
                  <c:v>1.33899016279021E-007</c:v>
                </c:pt>
                <c:pt idx="3">
                  <c:v>2.0141974366288E-007</c:v>
                </c:pt>
                <c:pt idx="4">
                  <c:v>2.69236547186285E-007</c:v>
                </c:pt>
                <c:pt idx="5">
                  <c:v>3.36218108594516E-007</c:v>
                </c:pt>
                <c:pt idx="6">
                  <c:v>7.41560833222582E-007</c:v>
                </c:pt>
                <c:pt idx="7">
                  <c:v>1.120501107843E-006</c:v>
                </c:pt>
                <c:pt idx="8">
                  <c:v>1.5055693265282E-006</c:v>
                </c:pt>
              </c:numCache>
            </c:numRef>
          </c:xVal>
          <c:yVal>
            <c:numRef>
              <c:f>K2SO4!$X$22:$X$30</c:f>
              <c:numCache>
                <c:formatCode>0.0000</c:formatCode>
                <c:ptCount val="9"/>
                <c:pt idx="0">
                  <c:v>-0.0305090269515586</c:v>
                </c:pt>
                <c:pt idx="1">
                  <c:v>-0.0584838057651823</c:v>
                </c:pt>
                <c:pt idx="2">
                  <c:v>-0.108693335727042</c:v>
                </c:pt>
                <c:pt idx="3">
                  <c:v>-0.151509051702474</c:v>
                </c:pt>
                <c:pt idx="4">
                  <c:v>-0.187664812526195</c:v>
                </c:pt>
                <c:pt idx="5">
                  <c:v>-0.217494446376654</c:v>
                </c:pt>
                <c:pt idx="6">
                  <c:v>-0.314964930964406</c:v>
                </c:pt>
                <c:pt idx="7">
                  <c:v>-0.353982574908252</c:v>
                </c:pt>
                <c:pt idx="8">
                  <c:v>-0.400595409843737</c:v>
                </c:pt>
              </c:numCache>
            </c:numRef>
          </c:yVal>
          <c:smooth val="0"/>
        </c:ser>
        <c:axId val="92710408"/>
        <c:axId val="40699179"/>
      </c:scatterChart>
      <c:valAx>
        <c:axId val="92710408"/>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40699179"/>
        <c:crosses val="autoZero"/>
        <c:crossBetween val="midCat"/>
      </c:valAx>
      <c:valAx>
        <c:axId val="40699179"/>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2710408"/>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000000"/>
                </a:solidFill>
                <a:latin typeface="Times New Roman"/>
              </a:defRPr>
            </a:pPr>
            <a:r>
              <a:rPr b="0" lang="en-GB" sz="1400" spc="-1" strike="noStrike">
                <a:solidFill>
                  <a:srgbClr val="000000"/>
                </a:solidFill>
                <a:latin typeface="Times New Roman"/>
              </a:rPr>
              <a:t>Activity Coefficient</a:t>
            </a:r>
          </a:p>
        </c:rich>
      </c:tx>
      <c:overlay val="0"/>
      <c:spPr>
        <a:noFill/>
        <a:ln w="0">
          <a:noFill/>
        </a:ln>
      </c:spPr>
    </c:title>
    <c:autoTitleDeleted val="0"/>
    <c:plotArea>
      <c:scatterChart>
        <c:scatterStyle val="lineMarker"/>
        <c:varyColors val="0"/>
        <c:ser>
          <c:idx val="0"/>
          <c:order val="0"/>
          <c:tx>
            <c:strRef>
              <c:f>"I=0.05 M"</c:f>
              <c:strCache>
                <c:ptCount val="1"/>
                <c:pt idx="0">
                  <c:v>I=0.05 M</c:v>
                </c:pt>
              </c:strCache>
            </c:strRef>
          </c:tx>
          <c:spPr>
            <a:solidFill>
              <a:srgbClr val="0070c0"/>
            </a:solidFill>
            <a:ln cap="rnd" w="19080">
              <a:solidFill>
                <a:srgbClr val="0070c0"/>
              </a:solidFill>
              <a:round/>
            </a:ln>
          </c:spPr>
          <c:marker>
            <c:symbol val="circle"/>
            <c:size val="5"/>
            <c:spPr>
              <a:solidFill>
                <a:srgbClr val="0070c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K2SO4!$I$4:$I$12</c:f>
              <c:numCache>
                <c:formatCode>0.0</c:formatCode>
                <c:ptCount val="9"/>
                <c:pt idx="0">
                  <c:v>32.0567375886525</c:v>
                </c:pt>
                <c:pt idx="1">
                  <c:v>64.113475177305</c:v>
                </c:pt>
                <c:pt idx="2">
                  <c:v>128.191489361702</c:v>
                </c:pt>
                <c:pt idx="3">
                  <c:v>192.304964539007</c:v>
                </c:pt>
                <c:pt idx="4">
                  <c:v>256.418439716312</c:v>
                </c:pt>
                <c:pt idx="5">
                  <c:v>320.531914893617</c:v>
                </c:pt>
                <c:pt idx="6">
                  <c:v>695.390070921986</c:v>
                </c:pt>
                <c:pt idx="7">
                  <c:v>1042.90780141844</c:v>
                </c:pt>
                <c:pt idx="8">
                  <c:v>1390.78014184397</c:v>
                </c:pt>
              </c:numCache>
            </c:numRef>
          </c:xVal>
          <c:yVal>
            <c:numRef>
              <c:f>K2SO4!$AE$4:$AE$12</c:f>
              <c:numCache>
                <c:formatCode>0.0000</c:formatCode>
                <c:ptCount val="9"/>
                <c:pt idx="0">
                  <c:v>0.940476084199509</c:v>
                </c:pt>
                <c:pt idx="1">
                  <c:v>0.892304694365353</c:v>
                </c:pt>
                <c:pt idx="2">
                  <c:v>0.787990452619862</c:v>
                </c:pt>
                <c:pt idx="3">
                  <c:v>0.702884238652607</c:v>
                </c:pt>
                <c:pt idx="4">
                  <c:v>0.641631426184001</c:v>
                </c:pt>
                <c:pt idx="5">
                  <c:v>0.598062038767022</c:v>
                </c:pt>
                <c:pt idx="6">
                  <c:v>0.396409327366668</c:v>
                </c:pt>
                <c:pt idx="7">
                  <c:v>0.305138828881884</c:v>
                </c:pt>
                <c:pt idx="8">
                  <c:v>0.252160841436535</c:v>
                </c:pt>
              </c:numCache>
            </c:numRef>
          </c:yVal>
          <c:smooth val="1"/>
        </c:ser>
        <c:ser>
          <c:idx val="1"/>
          <c:order val="1"/>
          <c:tx>
            <c:strRef>
              <c:f>"I=0.15 M"</c:f>
              <c:strCache>
                <c:ptCount val="1"/>
                <c:pt idx="0">
                  <c:v>I=0.15 M</c:v>
                </c:pt>
              </c:strCache>
            </c:strRef>
          </c:tx>
          <c:spPr>
            <a:solidFill>
              <a:srgbClr val="ff0000"/>
            </a:solidFill>
            <a:ln cap="rnd" w="19080">
              <a:solidFill>
                <a:srgbClr val="ff0000"/>
              </a:solidFill>
              <a:round/>
            </a:ln>
          </c:spPr>
          <c:marker>
            <c:symbol val="circle"/>
            <c:size val="5"/>
            <c:spPr>
              <a:solidFill>
                <a:srgbClr val="ff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K2SO4!$I$13:$I$21</c:f>
              <c:numCache>
                <c:formatCode>0.0</c:formatCode>
                <c:ptCount val="9"/>
                <c:pt idx="0">
                  <c:v>33.7313432835821</c:v>
                </c:pt>
                <c:pt idx="1">
                  <c:v>67.4626865671642</c:v>
                </c:pt>
                <c:pt idx="2">
                  <c:v>134.888059701493</c:v>
                </c:pt>
                <c:pt idx="3">
                  <c:v>202.350746268657</c:v>
                </c:pt>
                <c:pt idx="4">
                  <c:v>269.813432835821</c:v>
                </c:pt>
                <c:pt idx="5">
                  <c:v>337.276119402985</c:v>
                </c:pt>
                <c:pt idx="6">
                  <c:v>731.716417910448</c:v>
                </c:pt>
                <c:pt idx="7">
                  <c:v>1097.38805970149</c:v>
                </c:pt>
                <c:pt idx="8">
                  <c:v>1463.4328358209</c:v>
                </c:pt>
              </c:numCache>
            </c:numRef>
          </c:xVal>
          <c:yVal>
            <c:numRef>
              <c:f>K2SO4!$AE$13:$AE$21</c:f>
              <c:numCache>
                <c:formatCode>0.0000</c:formatCode>
                <c:ptCount val="9"/>
                <c:pt idx="0">
                  <c:v>0.952266534321378</c:v>
                </c:pt>
                <c:pt idx="1">
                  <c:v>0.889207475664535</c:v>
                </c:pt>
                <c:pt idx="2">
                  <c:v>0.785053451739733</c:v>
                </c:pt>
                <c:pt idx="3">
                  <c:v>0.703586958835044</c:v>
                </c:pt>
                <c:pt idx="4">
                  <c:v>0.647732670378426</c:v>
                </c:pt>
                <c:pt idx="5">
                  <c:v>0.595929712246956</c:v>
                </c:pt>
                <c:pt idx="6">
                  <c:v>0.398126183994287</c:v>
                </c:pt>
                <c:pt idx="7">
                  <c:v>0.310635607910356</c:v>
                </c:pt>
                <c:pt idx="8">
                  <c:v>0.258865395030241</c:v>
                </c:pt>
              </c:numCache>
            </c:numRef>
          </c:yVal>
          <c:smooth val="1"/>
        </c:ser>
        <c:ser>
          <c:idx val="2"/>
          <c:order val="2"/>
          <c:tx>
            <c:strRef>
              <c:f>"I=0.3 M"</c:f>
              <c:strCache>
                <c:ptCount val="1"/>
                <c:pt idx="0">
                  <c:v>I=0.3 M</c:v>
                </c:pt>
              </c:strCache>
            </c:strRef>
          </c:tx>
          <c:spPr>
            <a:solidFill>
              <a:srgbClr val="00b050"/>
            </a:solidFill>
            <a:ln cap="rnd" w="19080">
              <a:solidFill>
                <a:srgbClr val="00b050"/>
              </a:solidFill>
              <a:round/>
            </a:ln>
          </c:spPr>
          <c:marker>
            <c:symbol val="circle"/>
            <c:size val="5"/>
            <c:spPr>
              <a:solidFill>
                <a:srgbClr val="00b05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K2SO4!$I$22:$I$30</c:f>
              <c:numCache>
                <c:formatCode>0.0</c:formatCode>
                <c:ptCount val="9"/>
                <c:pt idx="0">
                  <c:v>32.8467153284672</c:v>
                </c:pt>
                <c:pt idx="1">
                  <c:v>65.3284671532847</c:v>
                </c:pt>
                <c:pt idx="2">
                  <c:v>130.802919708029</c:v>
                </c:pt>
                <c:pt idx="3">
                  <c:v>196.496350364964</c:v>
                </c:pt>
                <c:pt idx="4">
                  <c:v>262.299270072993</c:v>
                </c:pt>
                <c:pt idx="5">
                  <c:v>327.116788321168</c:v>
                </c:pt>
                <c:pt idx="6">
                  <c:v>715.693430656934</c:v>
                </c:pt>
                <c:pt idx="7">
                  <c:v>1073.35766423358</c:v>
                </c:pt>
                <c:pt idx="8">
                  <c:v>1431.38686131387</c:v>
                </c:pt>
              </c:numCache>
            </c:numRef>
          </c:xVal>
          <c:yVal>
            <c:numRef>
              <c:f>K2SO4!$AE$22:$AE$30</c:f>
              <c:numCache>
                <c:formatCode>0.0000</c:formatCode>
                <c:ptCount val="9"/>
                <c:pt idx="0">
                  <c:v>0.924433523007706</c:v>
                </c:pt>
                <c:pt idx="1">
                  <c:v>0.889117701546927</c:v>
                </c:pt>
                <c:pt idx="2">
                  <c:v>0.811945926864729</c:v>
                </c:pt>
                <c:pt idx="3">
                  <c:v>0.726437082436047</c:v>
                </c:pt>
                <c:pt idx="4">
                  <c:v>0.662900304605974</c:v>
                </c:pt>
                <c:pt idx="5">
                  <c:v>0.612217962626235</c:v>
                </c:pt>
                <c:pt idx="6">
                  <c:v>0.455063433288778</c:v>
                </c:pt>
                <c:pt idx="7">
                  <c:v>0.378780660602636</c:v>
                </c:pt>
                <c:pt idx="8">
                  <c:v>0.324377803889181</c:v>
                </c:pt>
              </c:numCache>
            </c:numRef>
          </c:yVal>
          <c:smooth val="1"/>
        </c:ser>
        <c:axId val="89056673"/>
        <c:axId val="69227651"/>
      </c:scatterChart>
      <c:valAx>
        <c:axId val="89056673"/>
        <c:scaling>
          <c:orientation val="minMax"/>
        </c:scaling>
        <c:delete val="0"/>
        <c:axPos val="b"/>
        <c:title>
          <c:tx>
            <c:rich>
              <a:bodyPr rot="0"/>
              <a:lstStyle/>
              <a:p>
                <a:pPr>
                  <a:defRPr b="0" lang="en-GB" sz="1000" spc="-1" strike="noStrike">
                    <a:solidFill>
                      <a:srgbClr val="000000"/>
                    </a:solidFill>
                    <a:latin typeface="Times New Roman"/>
                  </a:defRPr>
                </a:pPr>
                <a:r>
                  <a:rPr b="0" lang="en-GB" sz="1000" spc="-1" strike="noStrike">
                    <a:solidFill>
                      <a:srgbClr val="000000"/>
                    </a:solidFill>
                    <a:latin typeface="Times New Roman"/>
                  </a:rPr>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txPr>
          <a:bodyPr/>
          <a:lstStyle/>
          <a:p>
            <a:pPr>
              <a:defRPr b="0" sz="900" spc="-1" strike="noStrike">
                <a:solidFill>
                  <a:srgbClr val="000000"/>
                </a:solidFill>
                <a:latin typeface="Times New Roman"/>
              </a:defRPr>
            </a:pPr>
          </a:p>
        </c:txPr>
        <c:crossAx val="69227651"/>
        <c:crosses val="autoZero"/>
        <c:crossBetween val="midCat"/>
      </c:valAx>
      <c:valAx>
        <c:axId val="69227651"/>
        <c:scaling>
          <c:orientation val="minMax"/>
          <c:max val="1"/>
          <c:min val="0"/>
        </c:scaling>
        <c:delete val="0"/>
        <c:axPos val="l"/>
        <c:majorGridlines>
          <c:spPr>
            <a:ln w="9360">
              <a:solidFill>
                <a:srgbClr val="d9d9d9"/>
              </a:solidFill>
              <a:round/>
            </a:ln>
          </c:spPr>
        </c:majorGridlines>
        <c:title>
          <c:tx>
            <c:rich>
              <a:bodyPr rot="-5400000"/>
              <a:lstStyle/>
              <a:p>
                <a:pPr>
                  <a:defRPr b="0" lang="en-GB" sz="1000" spc="-1" strike="noStrike">
                    <a:solidFill>
                      <a:srgbClr val="000000"/>
                    </a:solidFill>
                    <a:latin typeface="Times New Roman"/>
                  </a:defRPr>
                </a:pPr>
                <a:r>
                  <a:rPr b="0" lang="en-GB" sz="1000" spc="-1" strike="noStrike">
                    <a:solidFill>
                      <a:srgbClr val="000000"/>
                    </a:solidFill>
                    <a:latin typeface="Times New Roman"/>
                  </a:rPr>
                  <a:t>𝜸m</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b="0" sz="900" spc="-1" strike="noStrike">
                <a:solidFill>
                  <a:srgbClr val="000000"/>
                </a:solidFill>
                <a:latin typeface="Times New Roman"/>
              </a:defRPr>
            </a:pPr>
          </a:p>
        </c:txPr>
        <c:crossAx val="89056673"/>
        <c:crosses val="autoZero"/>
        <c:crossBetween val="midCat"/>
        <c:majorUnit val="0.1"/>
      </c:valAx>
      <c:spPr>
        <a:noFill/>
        <a:ln w="0">
          <a:noFill/>
        </a:ln>
      </c:spPr>
    </c:plotArea>
    <c:legend>
      <c:legendPos val="r"/>
      <c:overlay val="0"/>
      <c:spPr>
        <a:noFill/>
        <a:ln w="0">
          <a:noFill/>
        </a:ln>
      </c:spPr>
      <c:txPr>
        <a:bodyPr/>
        <a:lstStyle/>
        <a:p>
          <a:pPr>
            <a:defRPr b="0" sz="900" spc="-1" strike="noStrike">
              <a:solidFill>
                <a:srgbClr val="000000"/>
              </a:solidFill>
              <a:latin typeface="Times New Roman"/>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000000"/>
                </a:solidFill>
                <a:latin typeface="Times New Roman"/>
              </a:defRPr>
            </a:pPr>
            <a:r>
              <a:rPr b="0" lang="en-GB" sz="1400" spc="-1" strike="noStrike">
                <a:solidFill>
                  <a:srgbClr val="000000"/>
                </a:solidFill>
                <a:latin typeface="Times New Roman"/>
              </a:rPr>
              <a:t>Activity Coefficient Agena</a:t>
            </a:r>
          </a:p>
        </c:rich>
      </c:tx>
      <c:overlay val="0"/>
      <c:spPr>
        <a:noFill/>
        <a:ln w="0">
          <a:noFill/>
        </a:ln>
      </c:spPr>
    </c:title>
    <c:autoTitleDeleted val="0"/>
    <c:plotArea>
      <c:scatterChart>
        <c:scatterStyle val="lineMarker"/>
        <c:varyColors val="0"/>
        <c:ser>
          <c:idx val="0"/>
          <c:order val="0"/>
          <c:tx>
            <c:strRef>
              <c:f>"I=0.15 M"</c:f>
              <c:strCache>
                <c:ptCount val="1"/>
                <c:pt idx="0">
                  <c:v>I=0.15 M</c:v>
                </c:pt>
              </c:strCache>
            </c:strRef>
          </c:tx>
          <c:spPr>
            <a:solidFill>
              <a:srgbClr val="ff0000"/>
            </a:solidFill>
            <a:ln cap="rnd" w="19080">
              <a:solidFill>
                <a:srgbClr val="ff0000"/>
              </a:solidFill>
              <a:round/>
            </a:ln>
          </c:spPr>
          <c:marker>
            <c:symbol val="circle"/>
            <c:size val="5"/>
            <c:spPr>
              <a:solidFill>
                <a:srgbClr val="ff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K2SO4!$I$13:$I$21</c:f>
              <c:numCache>
                <c:formatCode>0.0</c:formatCode>
                <c:ptCount val="9"/>
                <c:pt idx="0">
                  <c:v>33.7313432835821</c:v>
                </c:pt>
                <c:pt idx="1">
                  <c:v>67.4626865671642</c:v>
                </c:pt>
                <c:pt idx="2">
                  <c:v>134.888059701493</c:v>
                </c:pt>
                <c:pt idx="3">
                  <c:v>202.350746268657</c:v>
                </c:pt>
                <c:pt idx="4">
                  <c:v>269.813432835821</c:v>
                </c:pt>
                <c:pt idx="5">
                  <c:v>337.276119402985</c:v>
                </c:pt>
                <c:pt idx="6">
                  <c:v>731.716417910448</c:v>
                </c:pt>
                <c:pt idx="7">
                  <c:v>1097.38805970149</c:v>
                </c:pt>
                <c:pt idx="8">
                  <c:v>1463.4328358209</c:v>
                </c:pt>
              </c:numCache>
            </c:numRef>
          </c:xVal>
          <c:yVal>
            <c:numRef>
              <c:f>K2SO4!$AG$13:$AG$21</c:f>
              <c:numCache>
                <c:formatCode>0.0000</c:formatCode>
                <c:ptCount val="9"/>
                <c:pt idx="0">
                  <c:v>0.967810893664527</c:v>
                </c:pt>
                <c:pt idx="1">
                  <c:v>0.93694860681662</c:v>
                </c:pt>
                <c:pt idx="2">
                  <c:v>0.87899842255163</c:v>
                </c:pt>
                <c:pt idx="3">
                  <c:v>0.825640476940856</c:v>
                </c:pt>
                <c:pt idx="4">
                  <c:v>0.776505674929043</c:v>
                </c:pt>
                <c:pt idx="5">
                  <c:v>0.73122972467999</c:v>
                </c:pt>
                <c:pt idx="6">
                  <c:v>0.528299655499909</c:v>
                </c:pt>
                <c:pt idx="7">
                  <c:v>0.407360198475069</c:v>
                </c:pt>
                <c:pt idx="8">
                  <c:v>0.327439484217533</c:v>
                </c:pt>
              </c:numCache>
            </c:numRef>
          </c:yVal>
          <c:smooth val="1"/>
        </c:ser>
        <c:ser>
          <c:idx val="1"/>
          <c:order val="1"/>
          <c:tx>
            <c:strRef>
              <c:f>"I=0.3 M"</c:f>
              <c:strCache>
                <c:ptCount val="1"/>
                <c:pt idx="0">
                  <c:v>I=0.3 M</c:v>
                </c:pt>
              </c:strCache>
            </c:strRef>
          </c:tx>
          <c:spPr>
            <a:solidFill>
              <a:srgbClr val="00b050"/>
            </a:solidFill>
            <a:ln cap="rnd" w="19080">
              <a:solidFill>
                <a:srgbClr val="00b050"/>
              </a:solidFill>
              <a:round/>
            </a:ln>
          </c:spPr>
          <c:marker>
            <c:symbol val="circle"/>
            <c:size val="5"/>
            <c:spPr>
              <a:solidFill>
                <a:srgbClr val="00b05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K2SO4!$I$22:$I$30</c:f>
              <c:numCache>
                <c:formatCode>0.0</c:formatCode>
                <c:ptCount val="9"/>
                <c:pt idx="0">
                  <c:v>32.8467153284672</c:v>
                </c:pt>
                <c:pt idx="1">
                  <c:v>65.3284671532847</c:v>
                </c:pt>
                <c:pt idx="2">
                  <c:v>130.802919708029</c:v>
                </c:pt>
                <c:pt idx="3">
                  <c:v>196.496350364964</c:v>
                </c:pt>
                <c:pt idx="4">
                  <c:v>262.299270072993</c:v>
                </c:pt>
                <c:pt idx="5">
                  <c:v>327.116788321168</c:v>
                </c:pt>
                <c:pt idx="6">
                  <c:v>715.693430656934</c:v>
                </c:pt>
                <c:pt idx="7">
                  <c:v>1073.35766423358</c:v>
                </c:pt>
                <c:pt idx="8">
                  <c:v>1431.38686131387</c:v>
                </c:pt>
              </c:numCache>
            </c:numRef>
          </c:xVal>
          <c:yVal>
            <c:numRef>
              <c:f>K2SO4!$AG$22:$AG$30</c:f>
              <c:numCache>
                <c:formatCode>0.0000</c:formatCode>
                <c:ptCount val="9"/>
                <c:pt idx="0">
                  <c:v>0.965651105625193</c:v>
                </c:pt>
                <c:pt idx="1">
                  <c:v>0.933361977550388</c:v>
                </c:pt>
                <c:pt idx="2">
                  <c:v>0.872991197502762</c:v>
                </c:pt>
                <c:pt idx="3">
                  <c:v>0.818207347505952</c:v>
                </c:pt>
                <c:pt idx="4">
                  <c:v>0.76855226007706</c:v>
                </c:pt>
                <c:pt idx="5">
                  <c:v>0.724236983563178</c:v>
                </c:pt>
                <c:pt idx="6">
                  <c:v>0.532502739774857</c:v>
                </c:pt>
                <c:pt idx="7">
                  <c:v>0.432944123646535</c:v>
                </c:pt>
                <c:pt idx="8">
                  <c:v>0.379930757963142</c:v>
                </c:pt>
              </c:numCache>
            </c:numRef>
          </c:yVal>
          <c:smooth val="1"/>
        </c:ser>
        <c:axId val="1196316"/>
        <c:axId val="22072859"/>
      </c:scatterChart>
      <c:valAx>
        <c:axId val="1196316"/>
        <c:scaling>
          <c:orientation val="minMax"/>
        </c:scaling>
        <c:delete val="0"/>
        <c:axPos val="b"/>
        <c:title>
          <c:tx>
            <c:rich>
              <a:bodyPr rot="0"/>
              <a:lstStyle/>
              <a:p>
                <a:pPr>
                  <a:defRPr b="0" lang="en-GB" sz="1000" spc="-1" strike="noStrike">
                    <a:solidFill>
                      <a:srgbClr val="000000"/>
                    </a:solidFill>
                    <a:latin typeface="Times New Roman"/>
                  </a:defRPr>
                </a:pPr>
                <a:r>
                  <a:rPr b="0" lang="en-GB" sz="1000" spc="-1" strike="noStrike">
                    <a:solidFill>
                      <a:srgbClr val="000000"/>
                    </a:solidFill>
                    <a:latin typeface="Times New Roman"/>
                  </a:rPr>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txPr>
          <a:bodyPr/>
          <a:lstStyle/>
          <a:p>
            <a:pPr>
              <a:defRPr b="0" sz="900" spc="-1" strike="noStrike">
                <a:solidFill>
                  <a:srgbClr val="000000"/>
                </a:solidFill>
                <a:latin typeface="Times New Roman"/>
              </a:defRPr>
            </a:pPr>
          </a:p>
        </c:txPr>
        <c:crossAx val="22072859"/>
        <c:crosses val="autoZero"/>
        <c:crossBetween val="midCat"/>
      </c:valAx>
      <c:valAx>
        <c:axId val="22072859"/>
        <c:scaling>
          <c:orientation val="minMax"/>
          <c:max val="1"/>
          <c:min val="0"/>
        </c:scaling>
        <c:delete val="0"/>
        <c:axPos val="l"/>
        <c:majorGridlines>
          <c:spPr>
            <a:ln w="9360">
              <a:solidFill>
                <a:srgbClr val="d9d9d9"/>
              </a:solidFill>
              <a:round/>
            </a:ln>
          </c:spPr>
        </c:majorGridlines>
        <c:title>
          <c:tx>
            <c:rich>
              <a:bodyPr rot="-5400000"/>
              <a:lstStyle/>
              <a:p>
                <a:pPr>
                  <a:defRPr b="0" lang="en-GB" sz="1000" spc="-1" strike="noStrike">
                    <a:solidFill>
                      <a:srgbClr val="000000"/>
                    </a:solidFill>
                    <a:latin typeface="Times New Roman"/>
                  </a:defRPr>
                </a:pPr>
                <a:r>
                  <a:rPr b="0" lang="en-GB" sz="1000" spc="-1" strike="noStrike">
                    <a:solidFill>
                      <a:srgbClr val="000000"/>
                    </a:solidFill>
                    <a:latin typeface="Times New Roman"/>
                  </a:rPr>
                  <a:t>𝜸m</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b="0" sz="900" spc="-1" strike="noStrike">
                <a:solidFill>
                  <a:srgbClr val="000000"/>
                </a:solidFill>
                <a:latin typeface="Times New Roman"/>
              </a:defRPr>
            </a:pPr>
          </a:p>
        </c:txPr>
        <c:crossAx val="1196316"/>
        <c:crosses val="autoZero"/>
        <c:crossBetween val="midCat"/>
        <c:majorUnit val="0.1"/>
      </c:valAx>
      <c:spPr>
        <a:noFill/>
        <a:ln w="0">
          <a:noFill/>
        </a:ln>
      </c:spPr>
    </c:plotArea>
    <c:legend>
      <c:legendPos val="r"/>
      <c:overlay val="0"/>
      <c:spPr>
        <a:noFill/>
        <a:ln w="0">
          <a:noFill/>
        </a:ln>
      </c:spPr>
      <c:txPr>
        <a:bodyPr/>
        <a:lstStyle/>
        <a:p>
          <a:pPr>
            <a:defRPr b="0" sz="900" spc="-1" strike="noStrike">
              <a:solidFill>
                <a:srgbClr val="000000"/>
              </a:solidFill>
              <a:latin typeface="Times New Roman"/>
            </a:defRPr>
          </a:pPr>
        </a:p>
      </c:txPr>
    </c:legend>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cap="rnd" w="19080">
                <a:solidFill>
                  <a:srgbClr val="4472c4"/>
                </a:solidFill>
                <a:prstDash val="sysDot"/>
                <a:round/>
              </a:ln>
            </c:spPr>
            <c:trendlineType val="poly"/>
            <c:order val="3"/>
            <c:forward val="0"/>
            <c:backward val="0"/>
            <c:dispRSqr val="1"/>
            <c:dispEq val="1"/>
          </c:trendline>
          <c:xVal>
            <c:numRef>
              <c:f>K2SO4!$I$4:$I$12</c:f>
              <c:numCache>
                <c:formatCode>0.0</c:formatCode>
                <c:ptCount val="9"/>
                <c:pt idx="0">
                  <c:v>32.0567375886525</c:v>
                </c:pt>
                <c:pt idx="1">
                  <c:v>64.113475177305</c:v>
                </c:pt>
                <c:pt idx="2">
                  <c:v>128.191489361702</c:v>
                </c:pt>
                <c:pt idx="3">
                  <c:v>192.304964539007</c:v>
                </c:pt>
                <c:pt idx="4">
                  <c:v>256.418439716312</c:v>
                </c:pt>
                <c:pt idx="5">
                  <c:v>320.531914893617</c:v>
                </c:pt>
                <c:pt idx="6">
                  <c:v>695.390070921986</c:v>
                </c:pt>
                <c:pt idx="7">
                  <c:v>1042.90780141844</c:v>
                </c:pt>
                <c:pt idx="8">
                  <c:v>1390.78014184397</c:v>
                </c:pt>
              </c:numCache>
            </c:numRef>
          </c:xVal>
          <c:yVal>
            <c:numRef>
              <c:f>K2SO4!$N$4:$N$12</c:f>
              <c:numCache>
                <c:formatCode>0.00</c:formatCode>
                <c:ptCount val="9"/>
                <c:pt idx="0">
                  <c:v>79.9241975</c:v>
                </c:pt>
                <c:pt idx="1">
                  <c:v>161.3193925</c:v>
                </c:pt>
                <c:pt idx="2">
                  <c:v>319.2064575</c:v>
                </c:pt>
                <c:pt idx="3">
                  <c:v>473.661195</c:v>
                </c:pt>
                <c:pt idx="4">
                  <c:v>635.9612525</c:v>
                </c:pt>
                <c:pt idx="5">
                  <c:v>815.6190805</c:v>
                </c:pt>
                <c:pt idx="6">
                  <c:v>1804.4236</c:v>
                </c:pt>
                <c:pt idx="7">
                  <c:v>2842.947835</c:v>
                </c:pt>
                <c:pt idx="8">
                  <c:v>4109.967015</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cap="rnd" w="19080">
                <a:solidFill>
                  <a:srgbClr val="ed7d31"/>
                </a:solidFill>
                <a:prstDash val="sysDot"/>
                <a:round/>
              </a:ln>
            </c:spPr>
            <c:trendlineType val="poly"/>
            <c:order val="3"/>
            <c:forward val="0"/>
            <c:backward val="0"/>
            <c:dispRSqr val="1"/>
            <c:dispEq val="1"/>
          </c:trendline>
          <c:xVal>
            <c:numRef>
              <c:f>K2SO4!$I$13:$I$21</c:f>
              <c:numCache>
                <c:formatCode>0.0</c:formatCode>
                <c:ptCount val="9"/>
                <c:pt idx="0">
                  <c:v>33.7313432835821</c:v>
                </c:pt>
                <c:pt idx="1">
                  <c:v>67.4626865671642</c:v>
                </c:pt>
                <c:pt idx="2">
                  <c:v>134.888059701493</c:v>
                </c:pt>
                <c:pt idx="3">
                  <c:v>202.350746268657</c:v>
                </c:pt>
                <c:pt idx="4">
                  <c:v>269.813432835821</c:v>
                </c:pt>
                <c:pt idx="5">
                  <c:v>337.276119402985</c:v>
                </c:pt>
                <c:pt idx="6">
                  <c:v>731.716417910448</c:v>
                </c:pt>
                <c:pt idx="7">
                  <c:v>1097.38805970149</c:v>
                </c:pt>
                <c:pt idx="8">
                  <c:v>1463.4328358209</c:v>
                </c:pt>
              </c:numCache>
            </c:numRef>
          </c:xVal>
          <c:yVal>
            <c:numRef>
              <c:f>K2SO4!$N$13:$N$21</c:f>
              <c:numCache>
                <c:formatCode>0.00</c:formatCode>
                <c:ptCount val="9"/>
                <c:pt idx="0">
                  <c:v>83.8468575</c:v>
                </c:pt>
                <c:pt idx="1">
                  <c:v>163.0845895</c:v>
                </c:pt>
                <c:pt idx="2">
                  <c:v>310.3804725</c:v>
                </c:pt>
                <c:pt idx="3">
                  <c:v>447.18324</c:v>
                </c:pt>
                <c:pt idx="4">
                  <c:v>587.9086675</c:v>
                </c:pt>
                <c:pt idx="5">
                  <c:v>720.2984425</c:v>
                </c:pt>
                <c:pt idx="6">
                  <c:v>1410.19627</c:v>
                </c:pt>
                <c:pt idx="7">
                  <c:v>2066.261155</c:v>
                </c:pt>
                <c:pt idx="8">
                  <c:v>2794.89525</c:v>
                </c:pt>
              </c:numCache>
            </c:numRef>
          </c:yVal>
          <c:smooth val="0"/>
        </c:ser>
        <c:ser>
          <c:idx val="2"/>
          <c:order val="2"/>
          <c:spPr>
            <a:solidFill>
              <a:srgbClr val="a5a5a5"/>
            </a:solidFill>
            <a:ln cap="rnd" w="19080">
              <a:solidFill>
                <a:srgbClr val="a5a5a5"/>
              </a:solidFill>
              <a:round/>
            </a:ln>
          </c:spPr>
          <c:marker>
            <c:symbol val="circle"/>
            <c:size val="5"/>
            <c:spPr>
              <a:solidFill>
                <a:srgbClr val="a5a5a5"/>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cap="rnd" w="19080">
                <a:solidFill>
                  <a:srgbClr val="a5a5a5"/>
                </a:solidFill>
                <a:prstDash val="sysDot"/>
                <a:round/>
              </a:ln>
            </c:spPr>
            <c:trendlineType val="poly"/>
            <c:order val="2"/>
            <c:forward val="0"/>
            <c:backward val="0"/>
            <c:dispRSqr val="1"/>
            <c:dispEq val="1"/>
          </c:trendline>
          <c:xVal>
            <c:numRef>
              <c:f>K2SO4!$I$22:$I$30</c:f>
              <c:numCache>
                <c:formatCode>0.0</c:formatCode>
                <c:ptCount val="9"/>
                <c:pt idx="0">
                  <c:v>32.8467153284672</c:v>
                </c:pt>
                <c:pt idx="1">
                  <c:v>65.3284671532847</c:v>
                </c:pt>
                <c:pt idx="2">
                  <c:v>130.802919708029</c:v>
                </c:pt>
                <c:pt idx="3">
                  <c:v>196.496350364964</c:v>
                </c:pt>
                <c:pt idx="4">
                  <c:v>262.299270072993</c:v>
                </c:pt>
                <c:pt idx="5">
                  <c:v>327.116788321168</c:v>
                </c:pt>
                <c:pt idx="6">
                  <c:v>715.693430656934</c:v>
                </c:pt>
                <c:pt idx="7">
                  <c:v>1073.35766423358</c:v>
                </c:pt>
                <c:pt idx="8">
                  <c:v>1431.38686131387</c:v>
                </c:pt>
              </c:numCache>
            </c:numRef>
          </c:xVal>
          <c:yVal>
            <c:numRef>
              <c:f>K2SO4!$N$22:$N$30</c:f>
              <c:numCache>
                <c:formatCode>0.00</c:formatCode>
                <c:ptCount val="9"/>
                <c:pt idx="0">
                  <c:v>79.433865</c:v>
                </c:pt>
                <c:pt idx="1">
                  <c:v>157.3967325</c:v>
                </c:pt>
                <c:pt idx="2">
                  <c:v>307.4384775</c:v>
                </c:pt>
                <c:pt idx="3">
                  <c:v>437.37659</c:v>
                </c:pt>
                <c:pt idx="4">
                  <c:v>561.4307125</c:v>
                </c:pt>
                <c:pt idx="5">
                  <c:v>678.1298475</c:v>
                </c:pt>
                <c:pt idx="6">
                  <c:v>1416.08026</c:v>
                </c:pt>
                <c:pt idx="7">
                  <c:v>2105.487755</c:v>
                </c:pt>
                <c:pt idx="8">
                  <c:v>2768.417295</c:v>
                </c:pt>
              </c:numCache>
            </c:numRef>
          </c:yVal>
          <c:smooth val="0"/>
        </c:ser>
        <c:axId val="96898254"/>
        <c:axId val="73548589"/>
      </c:scatterChart>
      <c:valAx>
        <c:axId val="96898254"/>
        <c:scaling>
          <c:orientation val="minMax"/>
        </c:scaling>
        <c:delete val="0"/>
        <c:axPos val="b"/>
        <c:majorGridlines>
          <c:spPr>
            <a:ln w="9360">
              <a:solidFill>
                <a:srgbClr val="d9d9d9"/>
              </a:solidFill>
              <a:round/>
            </a:ln>
          </c:spPr>
        </c:majorGridlines>
        <c:numFmt formatCod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3548589"/>
        <c:crosses val="autoZero"/>
        <c:crossBetween val="midCat"/>
      </c:valAx>
      <c:valAx>
        <c:axId val="7354858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6898254"/>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K2SO4!$J$4:$J$12</c:f>
              <c:numCache>
                <c:formatCode>0.00E+00</c:formatCode>
                <c:ptCount val="9"/>
                <c:pt idx="0">
                  <c:v>3.22708442436674E-008</c:v>
                </c:pt>
                <c:pt idx="1">
                  <c:v>6.45848168370533E-008</c:v>
                </c:pt>
                <c:pt idx="2">
                  <c:v>1.29306628164438E-007</c:v>
                </c:pt>
                <c:pt idx="3">
                  <c:v>1.94237763117903E-007</c:v>
                </c:pt>
                <c:pt idx="4">
                  <c:v>2.59343150932795E-007</c:v>
                </c:pt>
                <c:pt idx="5">
                  <c:v>3.24623494003841E-007</c:v>
                </c:pt>
                <c:pt idx="6">
                  <c:v>7.0984318154346E-007</c:v>
                </c:pt>
                <c:pt idx="7">
                  <c:v>1.07245628050153E-006</c:v>
                </c:pt>
                <c:pt idx="8">
                  <c:v>1.44085064121474E-006</c:v>
                </c:pt>
              </c:numCache>
            </c:numRef>
          </c:xVal>
          <c:yVal>
            <c:numRef>
              <c:f>K2SO4!$Q$4:$Q$12</c:f>
              <c:numCache>
                <c:formatCode>0.000</c:formatCode>
                <c:ptCount val="9"/>
                <c:pt idx="0">
                  <c:v>0.0057498197659307</c:v>
                </c:pt>
                <c:pt idx="1">
                  <c:v>0.0150051862054945</c:v>
                </c:pt>
                <c:pt idx="2">
                  <c:v>0.00448504769922375</c:v>
                </c:pt>
                <c:pt idx="3">
                  <c:v>-0.00640748435930627</c:v>
                </c:pt>
                <c:pt idx="4">
                  <c:v>0.000489197989328893</c:v>
                </c:pt>
                <c:pt idx="5">
                  <c:v>0.0264719834904767</c:v>
                </c:pt>
                <c:pt idx="6">
                  <c:v>0.0467452878404084</c:v>
                </c:pt>
                <c:pt idx="7">
                  <c:v>0.0996487274940057</c:v>
                </c:pt>
                <c:pt idx="8">
                  <c:v>0.192094973189987</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K2SO4!$J$4:$J$12</c:f>
              <c:numCache>
                <c:formatCode>0.00E+00</c:formatCode>
                <c:ptCount val="9"/>
                <c:pt idx="0">
                  <c:v>3.22708442436674E-008</c:v>
                </c:pt>
                <c:pt idx="1">
                  <c:v>6.45848168370533E-008</c:v>
                </c:pt>
                <c:pt idx="2">
                  <c:v>1.29306628164438E-007</c:v>
                </c:pt>
                <c:pt idx="3">
                  <c:v>1.94237763117903E-007</c:v>
                </c:pt>
                <c:pt idx="4">
                  <c:v>2.59343150932795E-007</c:v>
                </c:pt>
                <c:pt idx="5">
                  <c:v>3.24623494003841E-007</c:v>
                </c:pt>
                <c:pt idx="6">
                  <c:v>7.0984318154346E-007</c:v>
                </c:pt>
                <c:pt idx="7">
                  <c:v>1.07245628050153E-006</c:v>
                </c:pt>
                <c:pt idx="8">
                  <c:v>1.44085064121474E-006</c:v>
                </c:pt>
              </c:numCache>
            </c:numRef>
          </c:xVal>
          <c:yVal>
            <c:numRef>
              <c:f>K2SO4!$R$4:$R$12</c:f>
              <c:numCache>
                <c:formatCode>0.000</c:formatCode>
                <c:ptCount val="9"/>
                <c:pt idx="0">
                  <c:v>0.000518383317519962</c:v>
                </c:pt>
                <c:pt idx="1">
                  <c:v>0.00125749920004768</c:v>
                </c:pt>
                <c:pt idx="2">
                  <c:v>0.00334274605660188</c:v>
                </c:pt>
                <c:pt idx="3">
                  <c:v>0.00616033223828505</c:v>
                </c:pt>
                <c:pt idx="4">
                  <c:v>0.00962767834678934</c:v>
                </c:pt>
                <c:pt idx="5">
                  <c:v>0.013679715959014</c:v>
                </c:pt>
                <c:pt idx="6">
                  <c:v>0.0476949457337232</c:v>
                </c:pt>
                <c:pt idx="7">
                  <c:v>0.0995290270910169</c:v>
                </c:pt>
                <c:pt idx="8">
                  <c:v>0.192095119540192</c:v>
                </c:pt>
              </c:numCache>
            </c:numRef>
          </c:yVal>
          <c:smooth val="0"/>
        </c:ser>
        <c:axId val="18262618"/>
        <c:axId val="6241977"/>
      </c:scatterChart>
      <c:valAx>
        <c:axId val="18262618"/>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6241977"/>
        <c:crosses val="autoZero"/>
        <c:crossBetween val="midCat"/>
      </c:valAx>
      <c:valAx>
        <c:axId val="6241977"/>
        <c:scaling>
          <c:orientation val="minMax"/>
        </c:scaling>
        <c:delete val="0"/>
        <c:axPos val="l"/>
        <c:majorGridlines>
          <c:spPr>
            <a:ln w="9360">
              <a:solidFill>
                <a:srgbClr val="d9d9d9"/>
              </a:solidFill>
              <a:round/>
            </a:ln>
          </c:spPr>
        </c:majorGridlines>
        <c:numFmt formatCode="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8262618"/>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K2SO4!$J$13:$J$21</c:f>
              <c:numCache>
                <c:formatCode>0.00E+00</c:formatCode>
                <c:ptCount val="9"/>
                <c:pt idx="0">
                  <c:v>3.41563587513886E-008</c:v>
                </c:pt>
                <c:pt idx="1">
                  <c:v>6.83586344188149E-008</c:v>
                </c:pt>
                <c:pt idx="2">
                  <c:v>1.36863345586411E-007</c:v>
                </c:pt>
                <c:pt idx="3">
                  <c:v>2.05590698861453E-007</c:v>
                </c:pt>
                <c:pt idx="4">
                  <c:v>2.74503582699862E-007</c:v>
                </c:pt>
                <c:pt idx="5">
                  <c:v>3.43602749381013E-007</c:v>
                </c:pt>
                <c:pt idx="6">
                  <c:v>7.51379681794443E-007</c:v>
                </c:pt>
                <c:pt idx="7">
                  <c:v>1.1352611738654E-006</c:v>
                </c:pt>
                <c:pt idx="8">
                  <c:v>1.52529769853312E-006</c:v>
                </c:pt>
              </c:numCache>
            </c:numRef>
          </c:xVal>
          <c:yVal>
            <c:numRef>
              <c:f>K2SO4!$Q$13:$Q$21</c:f>
              <c:numCache>
                <c:formatCode>0.000</c:formatCode>
                <c:ptCount val="9"/>
                <c:pt idx="0">
                  <c:v>0.0027303385161439</c:v>
                </c:pt>
                <c:pt idx="1">
                  <c:v>-0.0248300859927794</c:v>
                </c:pt>
                <c:pt idx="2">
                  <c:v>-0.0717779442870919</c:v>
                </c:pt>
                <c:pt idx="3">
                  <c:v>-0.108519785094505</c:v>
                </c:pt>
                <c:pt idx="4">
                  <c:v>-0.121023433870014</c:v>
                </c:pt>
                <c:pt idx="5">
                  <c:v>-0.13849483684973</c:v>
                </c:pt>
                <c:pt idx="6">
                  <c:v>-0.222558421968301</c:v>
                </c:pt>
                <c:pt idx="7">
                  <c:v>-0.240450675280049</c:v>
                </c:pt>
                <c:pt idx="8">
                  <c:v>-0.229586753341328</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K2SO4!$J$13:$J$21</c:f>
              <c:numCache>
                <c:formatCode>0.00E+00</c:formatCode>
                <c:ptCount val="9"/>
                <c:pt idx="0">
                  <c:v>3.41563587513886E-008</c:v>
                </c:pt>
                <c:pt idx="1">
                  <c:v>6.83586344188149E-008</c:v>
                </c:pt>
                <c:pt idx="2">
                  <c:v>1.36863345586411E-007</c:v>
                </c:pt>
                <c:pt idx="3">
                  <c:v>2.05590698861453E-007</c:v>
                </c:pt>
                <c:pt idx="4">
                  <c:v>2.74503582699862E-007</c:v>
                </c:pt>
                <c:pt idx="5">
                  <c:v>3.43602749381013E-007</c:v>
                </c:pt>
                <c:pt idx="6">
                  <c:v>7.51379681794443E-007</c:v>
                </c:pt>
                <c:pt idx="7">
                  <c:v>1.1352611738654E-006</c:v>
                </c:pt>
                <c:pt idx="8">
                  <c:v>1.52529769853312E-006</c:v>
                </c:pt>
              </c:numCache>
            </c:numRef>
          </c:xVal>
          <c:yVal>
            <c:numRef>
              <c:f>K2SO4!$R$13:$R$21</c:f>
              <c:numCache>
                <c:formatCode>0.000</c:formatCode>
                <c:ptCount val="9"/>
                <c:pt idx="0">
                  <c:v>-0.0180736216657062</c:v>
                </c:pt>
                <c:pt idx="1">
                  <c:v>-0.0352728869696093</c:v>
                </c:pt>
                <c:pt idx="2">
                  <c:v>-0.067103696847517</c:v>
                </c:pt>
                <c:pt idx="3">
                  <c:v>-0.0956732816140661</c:v>
                </c:pt>
                <c:pt idx="4">
                  <c:v>-0.121111369811824</c:v>
                </c:pt>
                <c:pt idx="5">
                  <c:v>-0.143568865287874</c:v>
                </c:pt>
                <c:pt idx="6">
                  <c:v>-0.223426818281619</c:v>
                </c:pt>
                <c:pt idx="7">
                  <c:v>-0.23972507019711</c:v>
                </c:pt>
                <c:pt idx="8">
                  <c:v>-0.229757263471569</c:v>
                </c:pt>
              </c:numCache>
            </c:numRef>
          </c:yVal>
          <c:smooth val="0"/>
        </c:ser>
        <c:axId val="98895305"/>
        <c:axId val="14658028"/>
      </c:scatterChart>
      <c:valAx>
        <c:axId val="98895305"/>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4658028"/>
        <c:crosses val="autoZero"/>
        <c:crossBetween val="midCat"/>
      </c:valAx>
      <c:valAx>
        <c:axId val="14658028"/>
        <c:scaling>
          <c:orientation val="minMax"/>
        </c:scaling>
        <c:delete val="0"/>
        <c:axPos val="l"/>
        <c:majorGridlines>
          <c:spPr>
            <a:ln w="9360">
              <a:solidFill>
                <a:srgbClr val="d9d9d9"/>
              </a:solidFill>
              <a:round/>
            </a:ln>
          </c:spPr>
        </c:majorGridlines>
        <c:numFmt formatCode="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8895305"/>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K2SO4!$J$22:$J$30</c:f>
              <c:numCache>
                <c:formatCode>0.00E+00</c:formatCode>
                <c:ptCount val="9"/>
                <c:pt idx="0">
                  <c:v>3.35565410698475E-008</c:v>
                </c:pt>
                <c:pt idx="1">
                  <c:v>6.67847896930717E-008</c:v>
                </c:pt>
                <c:pt idx="2">
                  <c:v>1.33899016279021E-007</c:v>
                </c:pt>
                <c:pt idx="3">
                  <c:v>2.0141974366288E-007</c:v>
                </c:pt>
                <c:pt idx="4">
                  <c:v>2.69236547186285E-007</c:v>
                </c:pt>
                <c:pt idx="5">
                  <c:v>3.36218108594516E-007</c:v>
                </c:pt>
                <c:pt idx="6">
                  <c:v>7.41560833222582E-007</c:v>
                </c:pt>
                <c:pt idx="7">
                  <c:v>1.120501107843E-006</c:v>
                </c:pt>
                <c:pt idx="8">
                  <c:v>1.5055693265282E-006</c:v>
                </c:pt>
              </c:numCache>
            </c:numRef>
          </c:xVal>
          <c:yVal>
            <c:numRef>
              <c:f>K2SO4!$Q$22:$Q$30</c:f>
              <c:numCache>
                <c:formatCode>0.000</c:formatCode>
                <c:ptCount val="9"/>
                <c:pt idx="0">
                  <c:v>-0.0244607465471534</c:v>
                </c:pt>
                <c:pt idx="1">
                  <c:v>-0.0280940398561027</c:v>
                </c:pt>
                <c:pt idx="2">
                  <c:v>-0.0518614956675737</c:v>
                </c:pt>
                <c:pt idx="3">
                  <c:v>-0.102091573716424</c:v>
                </c:pt>
                <c:pt idx="4">
                  <c:v>-0.136564131840276</c:v>
                </c:pt>
                <c:pt idx="5">
                  <c:v>-0.163740570787753</c:v>
                </c:pt>
                <c:pt idx="6">
                  <c:v>-0.201836544854717</c:v>
                </c:pt>
                <c:pt idx="7">
                  <c:v>-0.208703473057818</c:v>
                </c:pt>
                <c:pt idx="8">
                  <c:v>-0.219800750043236</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K2SO4!$J$22:$J$30</c:f>
              <c:numCache>
                <c:formatCode>0.00E+00</c:formatCode>
                <c:ptCount val="9"/>
                <c:pt idx="0">
                  <c:v>3.35565410698475E-008</c:v>
                </c:pt>
                <c:pt idx="1">
                  <c:v>6.67847896930717E-008</c:v>
                </c:pt>
                <c:pt idx="2">
                  <c:v>1.33899016279021E-007</c:v>
                </c:pt>
                <c:pt idx="3">
                  <c:v>2.0141974366288E-007</c:v>
                </c:pt>
                <c:pt idx="4">
                  <c:v>2.69236547186285E-007</c:v>
                </c:pt>
                <c:pt idx="5">
                  <c:v>3.36218108594516E-007</c:v>
                </c:pt>
                <c:pt idx="6">
                  <c:v>7.41560833222582E-007</c:v>
                </c:pt>
                <c:pt idx="7">
                  <c:v>1.120501107843E-006</c:v>
                </c:pt>
                <c:pt idx="8">
                  <c:v>1.5055693265282E-006</c:v>
                </c:pt>
              </c:numCache>
            </c:numRef>
          </c:xVal>
          <c:yVal>
            <c:numRef>
              <c:f>K2SO4!$R$22:$R$30</c:f>
              <c:numCache>
                <c:formatCode>0.000</c:formatCode>
                <c:ptCount val="9"/>
                <c:pt idx="0">
                  <c:v>-0.0197804574887445</c:v>
                </c:pt>
                <c:pt idx="1">
                  <c:v>-0.0382761932918434</c:v>
                </c:pt>
                <c:pt idx="2">
                  <c:v>-0.0723741456688614</c:v>
                </c:pt>
                <c:pt idx="3">
                  <c:v>-0.10238306732853</c:v>
                </c:pt>
                <c:pt idx="4">
                  <c:v>-0.128337962025383</c:v>
                </c:pt>
                <c:pt idx="5">
                  <c:v>-0.150031283402984</c:v>
                </c:pt>
                <c:pt idx="6">
                  <c:v>-0.211110906378673</c:v>
                </c:pt>
                <c:pt idx="7">
                  <c:v>-0.204722670946597</c:v>
                </c:pt>
                <c:pt idx="8">
                  <c:v>-0.220517283809381</c:v>
                </c:pt>
              </c:numCache>
            </c:numRef>
          </c:yVal>
          <c:smooth val="0"/>
        </c:ser>
        <c:axId val="89429404"/>
        <c:axId val="25473550"/>
      </c:scatterChart>
      <c:valAx>
        <c:axId val="89429404"/>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25473550"/>
        <c:crosses val="autoZero"/>
        <c:crossBetween val="midCat"/>
      </c:valAx>
      <c:valAx>
        <c:axId val="25473550"/>
        <c:scaling>
          <c:orientation val="minMax"/>
        </c:scaling>
        <c:delete val="0"/>
        <c:axPos val="l"/>
        <c:majorGridlines>
          <c:spPr>
            <a:ln w="9360">
              <a:solidFill>
                <a:srgbClr val="d9d9d9"/>
              </a:solidFill>
              <a:round/>
            </a:ln>
          </c:spPr>
        </c:majorGridlines>
        <c:numFmt formatCode="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9429404"/>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40</xdr:col>
      <xdr:colOff>12600</xdr:colOff>
      <xdr:row>1</xdr:row>
      <xdr:rowOff>6480</xdr:rowOff>
    </xdr:from>
    <xdr:to>
      <xdr:col>45</xdr:col>
      <xdr:colOff>456480</xdr:colOff>
      <xdr:row>11</xdr:row>
      <xdr:rowOff>12240</xdr:rowOff>
    </xdr:to>
    <xdr:graphicFrame>
      <xdr:nvGraphicFramePr>
        <xdr:cNvPr id="0" name="Chart 1"/>
        <xdr:cNvGraphicFramePr/>
      </xdr:nvGraphicFramePr>
      <xdr:xfrm>
        <a:off x="29734560" y="206640"/>
        <a:ext cx="4523760" cy="2005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352800</xdr:colOff>
      <xdr:row>30</xdr:row>
      <xdr:rowOff>42480</xdr:rowOff>
    </xdr:from>
    <xdr:to>
      <xdr:col>17</xdr:col>
      <xdr:colOff>634320</xdr:colOff>
      <xdr:row>43</xdr:row>
      <xdr:rowOff>21240</xdr:rowOff>
    </xdr:to>
    <xdr:graphicFrame>
      <xdr:nvGraphicFramePr>
        <xdr:cNvPr id="1" name="Chart 2"/>
        <xdr:cNvGraphicFramePr/>
      </xdr:nvGraphicFramePr>
      <xdr:xfrm>
        <a:off x="8511120" y="6043320"/>
        <a:ext cx="4700520" cy="2579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647640</xdr:colOff>
      <xdr:row>30</xdr:row>
      <xdr:rowOff>42480</xdr:rowOff>
    </xdr:from>
    <xdr:to>
      <xdr:col>24</xdr:col>
      <xdr:colOff>350640</xdr:colOff>
      <xdr:row>43</xdr:row>
      <xdr:rowOff>27720</xdr:rowOff>
    </xdr:to>
    <xdr:graphicFrame>
      <xdr:nvGraphicFramePr>
        <xdr:cNvPr id="2" name="Chart 3"/>
        <xdr:cNvGraphicFramePr/>
      </xdr:nvGraphicFramePr>
      <xdr:xfrm>
        <a:off x="13224960" y="6043320"/>
        <a:ext cx="4698000" cy="25855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385200</xdr:colOff>
      <xdr:row>30</xdr:row>
      <xdr:rowOff>70560</xdr:rowOff>
    </xdr:from>
    <xdr:to>
      <xdr:col>31</xdr:col>
      <xdr:colOff>412560</xdr:colOff>
      <xdr:row>43</xdr:row>
      <xdr:rowOff>57240</xdr:rowOff>
    </xdr:to>
    <xdr:graphicFrame>
      <xdr:nvGraphicFramePr>
        <xdr:cNvPr id="3" name="Chart 4"/>
        <xdr:cNvGraphicFramePr/>
      </xdr:nvGraphicFramePr>
      <xdr:xfrm>
        <a:off x="17957520" y="6071400"/>
        <a:ext cx="4739760" cy="25869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36</xdr:col>
      <xdr:colOff>91800</xdr:colOff>
      <xdr:row>22</xdr:row>
      <xdr:rowOff>145440</xdr:rowOff>
    </xdr:from>
    <xdr:to>
      <xdr:col>45</xdr:col>
      <xdr:colOff>119160</xdr:colOff>
      <xdr:row>45</xdr:row>
      <xdr:rowOff>172800</xdr:rowOff>
    </xdr:to>
    <xdr:graphicFrame>
      <xdr:nvGraphicFramePr>
        <xdr:cNvPr id="4" name="Chart 5"/>
        <xdr:cNvGraphicFramePr/>
      </xdr:nvGraphicFramePr>
      <xdr:xfrm>
        <a:off x="26355240" y="4546080"/>
        <a:ext cx="7565760" cy="46278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35</xdr:col>
      <xdr:colOff>815760</xdr:colOff>
      <xdr:row>4</xdr:row>
      <xdr:rowOff>70560</xdr:rowOff>
    </xdr:from>
    <xdr:to>
      <xdr:col>44</xdr:col>
      <xdr:colOff>654120</xdr:colOff>
      <xdr:row>27</xdr:row>
      <xdr:rowOff>97920</xdr:rowOff>
    </xdr:to>
    <xdr:graphicFrame>
      <xdr:nvGraphicFramePr>
        <xdr:cNvPr id="5" name="Chart 6"/>
        <xdr:cNvGraphicFramePr/>
      </xdr:nvGraphicFramePr>
      <xdr:xfrm>
        <a:off x="26080560" y="870840"/>
        <a:ext cx="7559280" cy="46278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30</xdr:row>
      <xdr:rowOff>25560</xdr:rowOff>
    </xdr:from>
    <xdr:to>
      <xdr:col>11</xdr:col>
      <xdr:colOff>344880</xdr:colOff>
      <xdr:row>51</xdr:row>
      <xdr:rowOff>84240</xdr:rowOff>
    </xdr:to>
    <xdr:graphicFrame>
      <xdr:nvGraphicFramePr>
        <xdr:cNvPr id="6" name="Chart 7"/>
        <xdr:cNvGraphicFramePr/>
      </xdr:nvGraphicFramePr>
      <xdr:xfrm>
        <a:off x="0" y="6026400"/>
        <a:ext cx="8503200" cy="42591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345600</xdr:colOff>
      <xdr:row>43</xdr:row>
      <xdr:rowOff>25560</xdr:rowOff>
    </xdr:from>
    <xdr:to>
      <xdr:col>17</xdr:col>
      <xdr:colOff>542520</xdr:colOff>
      <xdr:row>57</xdr:row>
      <xdr:rowOff>2160</xdr:rowOff>
    </xdr:to>
    <xdr:graphicFrame>
      <xdr:nvGraphicFramePr>
        <xdr:cNvPr id="7" name="Chart 8"/>
        <xdr:cNvGraphicFramePr/>
      </xdr:nvGraphicFramePr>
      <xdr:xfrm>
        <a:off x="8503920" y="8626680"/>
        <a:ext cx="4615920" cy="27770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578520</xdr:colOff>
      <xdr:row>43</xdr:row>
      <xdr:rowOff>56520</xdr:rowOff>
    </xdr:from>
    <xdr:to>
      <xdr:col>24</xdr:col>
      <xdr:colOff>196920</xdr:colOff>
      <xdr:row>57</xdr:row>
      <xdr:rowOff>33120</xdr:rowOff>
    </xdr:to>
    <xdr:graphicFrame>
      <xdr:nvGraphicFramePr>
        <xdr:cNvPr id="8" name="Chart 9"/>
        <xdr:cNvGraphicFramePr/>
      </xdr:nvGraphicFramePr>
      <xdr:xfrm>
        <a:off x="13155840" y="8657640"/>
        <a:ext cx="4613400" cy="27770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24</xdr:col>
      <xdr:colOff>239760</xdr:colOff>
      <xdr:row>43</xdr:row>
      <xdr:rowOff>56520</xdr:rowOff>
    </xdr:from>
    <xdr:to>
      <xdr:col>31</xdr:col>
      <xdr:colOff>126000</xdr:colOff>
      <xdr:row>57</xdr:row>
      <xdr:rowOff>33120</xdr:rowOff>
    </xdr:to>
    <xdr:graphicFrame>
      <xdr:nvGraphicFramePr>
        <xdr:cNvPr id="9" name="Chart 10"/>
        <xdr:cNvGraphicFramePr/>
      </xdr:nvGraphicFramePr>
      <xdr:xfrm>
        <a:off x="17812080" y="8657640"/>
        <a:ext cx="4598640" cy="27770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9"/>
  <sheetViews>
    <sheetView showFormulas="false" showGridLines="true" showRowColHeaders="true" showZeros="true" rightToLeft="false" tabSelected="true" showOutlineSymbols="true" defaultGridColor="true" view="normal" topLeftCell="S1" colorId="64" zoomScale="75" zoomScaleNormal="75" zoomScalePageLayoutView="100" workbookViewId="0">
      <selection pane="topLeft" activeCell="AE22" activeCellId="0" sqref="AE22"/>
    </sheetView>
  </sheetViews>
  <sheetFormatPr defaultColWidth="10.62109375" defaultRowHeight="15.75" zeroHeight="false" outlineLevelRow="0" outlineLevelCol="0"/>
  <cols>
    <col collapsed="false" customWidth="true" hidden="false" outlineLevel="0" max="1" min="1" style="1" width="10.5"/>
    <col collapsed="false" customWidth="true" hidden="false" outlineLevel="0" max="4" min="4" style="1" width="5.66"/>
    <col collapsed="false" customWidth="true" hidden="false" outlineLevel="0" max="6" min="5" style="1" width="7.82"/>
    <col collapsed="false" customWidth="true" hidden="false" outlineLevel="0" max="7" min="7" style="1" width="8"/>
    <col collapsed="false" customWidth="true" hidden="false" outlineLevel="0" max="9" min="8" style="1" width="10.17"/>
    <col collapsed="false" customWidth="true" hidden="false" outlineLevel="0" max="11" min="11" style="1" width="14.16"/>
    <col collapsed="false" customWidth="true" hidden="false" outlineLevel="0" max="12" min="12" style="1" width="14.82"/>
    <col collapsed="false" customWidth="true" hidden="false" outlineLevel="0" max="13" min="13" style="1" width="11.17"/>
    <col collapsed="false" customWidth="true" hidden="false" outlineLevel="0" max="15" min="14" style="1" width="8.5"/>
    <col collapsed="false" customWidth="true" hidden="false" outlineLevel="0" max="16" min="16" style="1" width="6.33"/>
    <col collapsed="false" customWidth="true" hidden="false" outlineLevel="0" max="17" min="17" style="1" width="8.17"/>
    <col collapsed="false" customWidth="true" hidden="false" outlineLevel="0" max="18" min="18" style="1" width="10.33"/>
    <col collapsed="false" customWidth="true" hidden="false" outlineLevel="0" max="19" min="19" style="1" width="13.18"/>
    <col collapsed="false" customWidth="true" hidden="false" outlineLevel="0" max="21" min="20" style="1" width="8.17"/>
    <col collapsed="false" customWidth="true" hidden="false" outlineLevel="0" max="22" min="22" style="1" width="9.16"/>
    <col collapsed="false" customWidth="true" hidden="false" outlineLevel="0" max="24" min="23" style="1" width="8"/>
    <col collapsed="false" customWidth="true" hidden="false" outlineLevel="0" max="25" min="25" style="1" width="10.83"/>
    <col collapsed="false" customWidth="true" hidden="false" outlineLevel="0" max="26" min="26" style="1" width="5.66"/>
    <col collapsed="false" customWidth="true" hidden="false" outlineLevel="0" max="27" min="27" style="1" width="5.16"/>
    <col collapsed="false" customWidth="true" hidden="false" outlineLevel="0" max="28" min="28" style="1" width="8.17"/>
    <col collapsed="false" customWidth="true" hidden="false" outlineLevel="0" max="29" min="29" style="1" width="8.5"/>
    <col collapsed="false" customWidth="true" hidden="false" outlineLevel="0" max="33" min="30" style="1" width="11.5"/>
    <col collapsed="false" customWidth="true" hidden="false" outlineLevel="0" max="35" min="35" style="1" width="5.16"/>
    <col collapsed="false" customWidth="true" hidden="false" outlineLevel="0" max="36" min="36" style="1" width="13"/>
    <col collapsed="false" customWidth="true" hidden="false" outlineLevel="0" max="37" min="37" style="1" width="11.5"/>
    <col collapsed="false" customWidth="true" hidden="false" outlineLevel="0" max="38" min="38" style="1" width="10"/>
    <col collapsed="false" customWidth="true" hidden="false" outlineLevel="0" max="39" min="39" style="1" width="11.84"/>
    <col collapsed="false" customWidth="true" hidden="false" outlineLevel="0" max="40" min="40" style="1" width="11.66"/>
  </cols>
  <sheetData>
    <row r="1" customFormat="false" ht="15.75" hidden="false" customHeight="true" outlineLevel="0" collapsed="false">
      <c r="A1" s="1" t="s">
        <v>0</v>
      </c>
      <c r="B1" s="1" t="n">
        <v>8.31446261815324</v>
      </c>
    </row>
    <row r="2" customFormat="false" ht="15.75" hidden="false" customHeight="true" outlineLevel="0" collapsed="false">
      <c r="A2" s="1" t="s">
        <v>1</v>
      </c>
      <c r="B2" s="1" t="n">
        <f aca="false">25+273.15</f>
        <v>298.15</v>
      </c>
      <c r="G2" s="2"/>
      <c r="H2" s="2"/>
      <c r="I2" s="2"/>
      <c r="J2" s="2"/>
      <c r="K2" s="2"/>
      <c r="L2" s="2"/>
      <c r="M2" s="2"/>
      <c r="N2" s="2"/>
      <c r="O2" s="2"/>
      <c r="P2" s="2"/>
      <c r="Q2" s="2"/>
      <c r="R2" s="2"/>
      <c r="S2" s="2"/>
      <c r="T2" s="2"/>
      <c r="U2" s="2"/>
      <c r="V2" s="2"/>
      <c r="W2" s="2"/>
      <c r="X2" s="2"/>
      <c r="Y2" s="2"/>
      <c r="Z2" s="2"/>
      <c r="AA2" s="2"/>
      <c r="AB2" s="2"/>
      <c r="AC2" s="2"/>
      <c r="AD2" s="2"/>
      <c r="AE2" s="2"/>
      <c r="AF2" s="2"/>
      <c r="AG2" s="2"/>
      <c r="AI2" s="1" t="s">
        <v>2</v>
      </c>
      <c r="AJ2" s="1" t="s">
        <v>3</v>
      </c>
      <c r="AK2" s="1" t="s">
        <v>4</v>
      </c>
      <c r="AL2" s="1" t="s">
        <v>5</v>
      </c>
      <c r="AM2" s="1" t="s">
        <v>6</v>
      </c>
      <c r="AN2" s="1" t="s">
        <v>7</v>
      </c>
    </row>
    <row r="3" customFormat="false" ht="15.75" hidden="false" customHeight="true" outlineLevel="0" collapsed="false">
      <c r="D3" s="3" t="s">
        <v>8</v>
      </c>
      <c r="E3" s="4" t="s">
        <v>9</v>
      </c>
      <c r="F3" s="4" t="s">
        <v>10</v>
      </c>
      <c r="G3" s="4" t="s">
        <v>11</v>
      </c>
      <c r="H3" s="3" t="s">
        <v>12</v>
      </c>
      <c r="I3" s="3" t="s">
        <v>13</v>
      </c>
      <c r="J3" s="4" t="s">
        <v>14</v>
      </c>
      <c r="K3" s="4" t="s">
        <v>15</v>
      </c>
      <c r="L3" s="4" t="s">
        <v>16</v>
      </c>
      <c r="M3" s="4" t="s">
        <v>17</v>
      </c>
      <c r="N3" s="4" t="s">
        <v>18</v>
      </c>
      <c r="O3" s="4" t="s">
        <v>19</v>
      </c>
      <c r="P3" s="4" t="s">
        <v>20</v>
      </c>
      <c r="Q3" s="4" t="s">
        <v>21</v>
      </c>
      <c r="R3" s="4" t="s">
        <v>22</v>
      </c>
      <c r="S3" s="4" t="s">
        <v>23</v>
      </c>
      <c r="T3" s="4" t="s">
        <v>24</v>
      </c>
      <c r="U3" s="4" t="s">
        <v>25</v>
      </c>
      <c r="V3" s="4" t="s">
        <v>26</v>
      </c>
      <c r="W3" s="4" t="s">
        <v>27</v>
      </c>
      <c r="X3" s="4" t="s">
        <v>28</v>
      </c>
      <c r="Y3" s="4" t="s">
        <v>29</v>
      </c>
      <c r="Z3" s="4" t="s">
        <v>24</v>
      </c>
      <c r="AA3" s="4" t="s">
        <v>25</v>
      </c>
      <c r="AB3" s="5" t="s">
        <v>30</v>
      </c>
      <c r="AC3" s="3" t="s">
        <v>31</v>
      </c>
      <c r="AD3" s="3" t="s">
        <v>32</v>
      </c>
      <c r="AE3" s="3" t="s">
        <v>33</v>
      </c>
      <c r="AF3" s="3" t="s">
        <v>34</v>
      </c>
      <c r="AG3" s="6" t="s">
        <v>35</v>
      </c>
      <c r="AI3" s="1" t="n">
        <v>0.05</v>
      </c>
      <c r="AJ3" s="1" t="n">
        <v>28.2</v>
      </c>
      <c r="AK3" s="1" t="n">
        <f aca="false">AJ3*1000</f>
        <v>28200</v>
      </c>
      <c r="AL3" s="1" t="n">
        <v>0.2</v>
      </c>
      <c r="AM3" s="1" t="n">
        <f aca="false">AJ3-AL3</f>
        <v>28</v>
      </c>
      <c r="AN3" s="1" t="n">
        <f aca="false">AJ3+AL3</f>
        <v>28.4</v>
      </c>
    </row>
    <row r="4" customFormat="false" ht="15.75" hidden="false" customHeight="true" outlineLevel="0" collapsed="false">
      <c r="D4" s="7" t="n">
        <v>3</v>
      </c>
      <c r="E4" s="8" t="n">
        <f aca="false">10^-D4</f>
        <v>0.001</v>
      </c>
      <c r="F4" s="8" t="n">
        <f aca="false">0.00000000000001/E4</f>
        <v>1E-011</v>
      </c>
      <c r="G4" s="9" t="n">
        <v>0.904</v>
      </c>
      <c r="H4" s="10" t="n">
        <f aca="false">G4/$AK$3</f>
        <v>3.20567375886525E-005</v>
      </c>
      <c r="I4" s="11" t="n">
        <f aca="false">H4*1000000</f>
        <v>32.0567375886525</v>
      </c>
      <c r="J4" s="12" t="n">
        <f aca="false">H4/($B$9*(1-H4*$AK$3*$B$5/1000) - K4*($B$11+$B$11+$B$12) - E4*$B$13 - F4*$B$14 - 0.5*E4*$B$12)</f>
        <v>3.22708442436674E-008</v>
      </c>
      <c r="K4" s="9" t="n">
        <f aca="false">0.05/3</f>
        <v>0.0166666666666667</v>
      </c>
      <c r="L4" s="12" t="n">
        <f aca="false">(3*K4)/($B$9*(1-H4*$AK$3*$B$5/1000) - K4*(2*$B$11+$B$12) - E4*$B$13 - F4*$B$14 - 0.5*E4*$B$12)</f>
        <v>5.03339495393485E-005</v>
      </c>
      <c r="M4" s="13" t="n">
        <v>8.15</v>
      </c>
      <c r="N4" s="13" t="n">
        <f aca="false">M4*9.80665</f>
        <v>79.9241975</v>
      </c>
      <c r="O4" s="14" t="n">
        <f aca="false">$B$1*$B$2*$B$9*1000*(J4+0.25*$AJ$25*$AJ$25*J4*J4/L4)</f>
        <v>82.335790323564</v>
      </c>
      <c r="P4" s="15" t="n">
        <f aca="false">N4/(H4*$B$1*$B$2*1000)</f>
        <v>1.00574981976593</v>
      </c>
      <c r="Q4" s="15" t="n">
        <f aca="false">P4-1</f>
        <v>0.0057498197659307</v>
      </c>
      <c r="R4" s="15" t="n">
        <f aca="false">$S$4+$S$5*J4+$S$6*J4*J4+$S$7*J4*J4*J4+$S$8*J4*J4*J4*J4</f>
        <v>0.000518383317519962</v>
      </c>
      <c r="S4" s="16" t="n">
        <v>0</v>
      </c>
      <c r="T4" s="15" t="n">
        <f aca="false">Q4-R4</f>
        <v>0.00523143644841074</v>
      </c>
      <c r="U4" s="15" t="n">
        <f aca="false">T4*T4</f>
        <v>2.73679273137603E-005</v>
      </c>
      <c r="V4" s="17" t="n">
        <f aca="false">N4/O4</f>
        <v>0.970710272967722</v>
      </c>
      <c r="W4" s="17" t="n">
        <f aca="false">V4-1</f>
        <v>-0.0292897270322776</v>
      </c>
      <c r="X4" s="17" t="n">
        <f aca="false">$Y$4+$Y$5*J4+$Y$6*J4*J4+$Y$7*J4*J4*J4+$Y$8*J4*J4*J4*J4</f>
        <v>-0.0315817033407549</v>
      </c>
      <c r="Y4" s="16" t="n">
        <v>0</v>
      </c>
      <c r="Z4" s="13" t="n">
        <f aca="false">W4-X4</f>
        <v>0.00229197630847727</v>
      </c>
      <c r="AA4" s="13" t="n">
        <f aca="false">Z4*Z4</f>
        <v>5.25315539862107E-006</v>
      </c>
      <c r="AB4" s="18" t="n">
        <f aca="false">EXP(W4+$Y$5*J4+$Y$6*J4*J4/2+$Y$7*J4*J4*J4/3+$Y$8*J4*J4*J4*J4/4)</f>
        <v>0.940476084199509</v>
      </c>
      <c r="AC4" s="18" t="n">
        <f aca="false">EXP(Q4+$S$5*J4+$S$6*J4*J4/2+$S$7*J4*J4*J4/3+$S$8*J4*J4*J4*J4/4)</f>
        <v>1.0062305161563</v>
      </c>
      <c r="AD4" s="19" t="n">
        <f aca="false">EXP(2*$AN$14*J4 + 1.5*$AN$19*J4*J4)</f>
        <v>0.999857268955232</v>
      </c>
      <c r="AE4" s="19" t="n">
        <f aca="false">AB4</f>
        <v>0.940476084199509</v>
      </c>
      <c r="AF4" s="19" t="n">
        <f aca="false">AC4</f>
        <v>1.0062305161563</v>
      </c>
      <c r="AG4" s="20" t="n">
        <f aca="false">AD4</f>
        <v>0.999857268955232</v>
      </c>
      <c r="AI4" s="1" t="n">
        <v>0.15</v>
      </c>
      <c r="AJ4" s="1" t="n">
        <v>26.8</v>
      </c>
      <c r="AK4" s="1" t="n">
        <f aca="false">AJ4*1000</f>
        <v>26800</v>
      </c>
      <c r="AL4" s="1" t="n">
        <v>0.2</v>
      </c>
      <c r="AM4" s="1" t="n">
        <f aca="false">AJ4-AL4</f>
        <v>26.6</v>
      </c>
      <c r="AN4" s="1" t="n">
        <f aca="false">AJ4+AL4</f>
        <v>27</v>
      </c>
    </row>
    <row r="5" customFormat="false" ht="15.75" hidden="false" customHeight="true" outlineLevel="0" collapsed="false">
      <c r="A5" s="1" t="s">
        <v>36</v>
      </c>
      <c r="B5" s="1" t="n">
        <v>0.736</v>
      </c>
      <c r="C5" s="1" t="s">
        <v>37</v>
      </c>
      <c r="D5" s="7"/>
      <c r="E5" s="21" t="n">
        <f aca="false">E4</f>
        <v>0.001</v>
      </c>
      <c r="F5" s="21" t="n">
        <f aca="false">0.00000000000001/E5</f>
        <v>1E-011</v>
      </c>
      <c r="G5" s="22" t="n">
        <v>1.808</v>
      </c>
      <c r="H5" s="23" t="n">
        <f aca="false">G5/$AK$3</f>
        <v>6.4113475177305E-005</v>
      </c>
      <c r="I5" s="24" t="n">
        <f aca="false">H5*1000000</f>
        <v>64.113475177305</v>
      </c>
      <c r="J5" s="25" t="n">
        <f aca="false">H5/($B$9*(1-H5*$AK$3*$B$5/1000) - K5*($B$11+$B$11+$B$12) - E5*$B$13 - F5*$B$14 - 0.5*E5*$B$12)</f>
        <v>6.45848168370533E-008</v>
      </c>
      <c r="K5" s="22" t="n">
        <f aca="false">0.05/3</f>
        <v>0.0166666666666667</v>
      </c>
      <c r="L5" s="25" t="n">
        <f aca="false">(3*K5)/($B$9*(1-H5*$AK$3*$B$5/1000) - K5*(2*$B$11+$B$12) - E5*$B$13 - F5*$B$14 - 0.5*E5*$B$12)</f>
        <v>5.03675839271267E-005</v>
      </c>
      <c r="M5" s="26" t="n">
        <v>16.45</v>
      </c>
      <c r="N5" s="26" t="n">
        <f aca="false">M5*9.80665</f>
        <v>161.3193925</v>
      </c>
      <c r="O5" s="27" t="n">
        <f aca="false">$B$1*$B$2*$B$9*1000*(J5+0.25*$AJ$25*$AJ$25*J5*J5/L5)</f>
        <v>169.940559779109</v>
      </c>
      <c r="P5" s="28" t="n">
        <f aca="false">N5/(H5*$B$1*$B$2*1000)</f>
        <v>1.01500518620549</v>
      </c>
      <c r="Q5" s="28" t="n">
        <f aca="false">P5-1</f>
        <v>0.0150051862054945</v>
      </c>
      <c r="R5" s="28" t="n">
        <f aca="false">$S$4+$S$5*J5+$S$6*J5*J5+$S$7*J5*J5*J5+$S$8*J5*J5*J5*J5</f>
        <v>0.00125749920004768</v>
      </c>
      <c r="S5" s="29" t="n">
        <v>12502.8546776032</v>
      </c>
      <c r="T5" s="28" t="n">
        <f aca="false">Q5-R5</f>
        <v>0.0137476870054468</v>
      </c>
      <c r="U5" s="28" t="n">
        <f aca="false">T5*T5</f>
        <v>0.000188998897999732</v>
      </c>
      <c r="V5" s="30" t="n">
        <f aca="false">N5/O5</f>
        <v>0.949269513468031</v>
      </c>
      <c r="W5" s="30" t="n">
        <f aca="false">V5-1</f>
        <v>-0.0507304865319689</v>
      </c>
      <c r="X5" s="30" t="n">
        <f aca="false">$Y$4+$Y$5*J5+$Y$6*J5*J5+$Y$7*J5*J5*J5+$Y$8*J5*J5*J5*J5</f>
        <v>-0.0612751543691476</v>
      </c>
      <c r="Y5" s="29" t="n">
        <v>-1009686.84605357</v>
      </c>
      <c r="Z5" s="26" t="n">
        <f aca="false">W5-X5</f>
        <v>0.0105446678371787</v>
      </c>
      <c r="AA5" s="26" t="n">
        <f aca="false">Z5*Z5</f>
        <v>0.000111190019796431</v>
      </c>
      <c r="AB5" s="31" t="n">
        <f aca="false">EXP(W5+$Y$5*J5+$Y$6*J5*J5/2+$Y$7*J5*J5*J5/3+$Y$8*J5*J5*J5*J5/4)</f>
        <v>0.892304694365353</v>
      </c>
      <c r="AC5" s="31" t="n">
        <f aca="false">EXP(Q5+$S$5*J5+$S$6*J5*J5/2+$S$7*J5*J5*J5/3+$S$8*J5*J5*J5*J5/4)</f>
        <v>1.01617044060046</v>
      </c>
      <c r="AD5" s="32" t="n">
        <f aca="false">EXP(2*$AN$14*J5 + 1.5*$AN$19*J5*J5)</f>
        <v>0.999746134906582</v>
      </c>
      <c r="AE5" s="32" t="n">
        <f aca="false">AB5</f>
        <v>0.892304694365353</v>
      </c>
      <c r="AF5" s="33" t="n">
        <f aca="false">AC5</f>
        <v>1.01617044060046</v>
      </c>
      <c r="AG5" s="33" t="n">
        <f aca="false">AD5</f>
        <v>0.999746134906582</v>
      </c>
      <c r="AI5" s="1" t="n">
        <v>0.3</v>
      </c>
      <c r="AJ5" s="1" t="n">
        <v>27.4</v>
      </c>
      <c r="AK5" s="1" t="n">
        <f aca="false">AJ5*1000</f>
        <v>27400</v>
      </c>
      <c r="AL5" s="1" t="n">
        <v>0.1</v>
      </c>
      <c r="AM5" s="1" t="n">
        <f aca="false">AJ5-AL5</f>
        <v>27.3</v>
      </c>
      <c r="AN5" s="1" t="n">
        <f aca="false">AJ5+AL5</f>
        <v>27.5</v>
      </c>
    </row>
    <row r="6" customFormat="false" ht="15.75" hidden="false" customHeight="true" outlineLevel="0" collapsed="false">
      <c r="A6" s="1" t="s">
        <v>38</v>
      </c>
      <c r="B6" s="1" t="s">
        <v>39</v>
      </c>
      <c r="D6" s="7"/>
      <c r="E6" s="21" t="n">
        <f aca="false">E5</f>
        <v>0.001</v>
      </c>
      <c r="F6" s="21" t="n">
        <f aca="false">0.00000000000001/E6</f>
        <v>1E-011</v>
      </c>
      <c r="G6" s="22" t="n">
        <v>3.615</v>
      </c>
      <c r="H6" s="23" t="n">
        <f aca="false">G6/$AK$3</f>
        <v>0.000128191489361702</v>
      </c>
      <c r="I6" s="24" t="n">
        <f aca="false">H6*1000000</f>
        <v>128.191489361702</v>
      </c>
      <c r="J6" s="25" t="n">
        <f aca="false">H6/($B$9*(1-H6*$AK$3*$B$5/1000) - K6*($B$11+$B$11+$B$12) - E6*$B$13 - F6*$B$14 - 0.5*E6*$B$12)</f>
        <v>1.29306628164438E-007</v>
      </c>
      <c r="K6" s="22" t="n">
        <f aca="false">0.05/3</f>
        <v>0.0166666666666667</v>
      </c>
      <c r="L6" s="25" t="n">
        <f aca="false">(3*K6)/($B$9*(1-H6*$AK$3*$B$5/1000) - K6*(2*$B$11+$B$12) - E6*$B$13 - F6*$B$14 - 0.5*E6*$B$12)</f>
        <v>5.04349504043868E-005</v>
      </c>
      <c r="M6" s="26" t="n">
        <v>32.55</v>
      </c>
      <c r="N6" s="26" t="n">
        <f aca="false">M6*9.80665</f>
        <v>319.2064575</v>
      </c>
      <c r="O6" s="27" t="n">
        <f aca="false">$B$1*$B$2*$B$9*1000*(J6+0.25*$AJ$25*$AJ$25*J6*J6/L6)</f>
        <v>360.887816260045</v>
      </c>
      <c r="P6" s="28" t="n">
        <f aca="false">N6/(H6*$B$1*$B$2*1000)</f>
        <v>1.00448504769922</v>
      </c>
      <c r="Q6" s="28" t="n">
        <f aca="false">P6-1</f>
        <v>0.00448504769922375</v>
      </c>
      <c r="R6" s="28" t="n">
        <f aca="false">$S$4+$S$5*J6+$S$6*J6*J6+$S$7*J6*J6*J6+$S$8*J6*J6*J6*J6</f>
        <v>0.00334274605660188</v>
      </c>
      <c r="S6" s="29" t="n">
        <v>112873206724.833</v>
      </c>
      <c r="T6" s="28" t="n">
        <f aca="false">Q6-R6</f>
        <v>0.00114230164262187</v>
      </c>
      <c r="U6" s="28" t="n">
        <f aca="false">T6*T6</f>
        <v>1.30485304273663E-006</v>
      </c>
      <c r="V6" s="30" t="n">
        <f aca="false">N6/O6</f>
        <v>0.884503280847779</v>
      </c>
      <c r="W6" s="30" t="n">
        <f aca="false">V6-1</f>
        <v>-0.115496719152221</v>
      </c>
      <c r="X6" s="30" t="n">
        <f aca="false">$Y$4+$Y$5*J6+$Y$6*J6*J6+$Y$7*J6*J6*J6+$Y$8*J6*J6*J6*J6</f>
        <v>-0.115387309594505</v>
      </c>
      <c r="Y6" s="29" t="n">
        <v>980675344098.959</v>
      </c>
      <c r="Z6" s="26" t="n">
        <f aca="false">W6-X6</f>
        <v>-0.00010940955771592</v>
      </c>
      <c r="AA6" s="26" t="n">
        <f aca="false">Z6*Z6</f>
        <v>1.19704513195932E-008</v>
      </c>
      <c r="AB6" s="31" t="n">
        <f aca="false">EXP(W6+$Y$5*J6+$Y$6*J6*J6/2+$Y$7*J6*J6*J6/3+$Y$8*J6*J6*J6*J6/4)</f>
        <v>0.787990452619862</v>
      </c>
      <c r="AC6" s="31" t="n">
        <f aca="false">EXP(Q6+$S$5*J6+$S$6*J6*J6/2+$S$7*J6*J6*J6/3+$S$8*J6*J6*J6*J6/4)</f>
        <v>1.00701516657195</v>
      </c>
      <c r="AD6" s="32" t="n">
        <f aca="false">EXP(2*$AN$14*J6 + 1.5*$AN$19*J6*J6)</f>
        <v>0.999619162571065</v>
      </c>
      <c r="AE6" s="32" t="n">
        <f aca="false">AB6</f>
        <v>0.787990452619862</v>
      </c>
      <c r="AF6" s="33" t="n">
        <f aca="false">AC6</f>
        <v>1.00701516657195</v>
      </c>
      <c r="AG6" s="33" t="n">
        <f aca="false">AD6</f>
        <v>0.999619162571065</v>
      </c>
    </row>
    <row r="7" customFormat="false" ht="15.75" hidden="false" customHeight="true" outlineLevel="0" collapsed="false">
      <c r="A7" s="1" t="s">
        <v>40</v>
      </c>
      <c r="D7" s="7"/>
      <c r="E7" s="21" t="n">
        <f aca="false">E6</f>
        <v>0.001</v>
      </c>
      <c r="F7" s="21" t="n">
        <f aca="false">0.00000000000001/E7</f>
        <v>1E-011</v>
      </c>
      <c r="G7" s="22" t="n">
        <v>5.423</v>
      </c>
      <c r="H7" s="23" t="n">
        <f aca="false">G7/$AK$3</f>
        <v>0.000192304964539007</v>
      </c>
      <c r="I7" s="24" t="n">
        <f aca="false">H7*1000000</f>
        <v>192.304964539007</v>
      </c>
      <c r="J7" s="25" t="n">
        <f aca="false">H7/($B$9*(1-H7*$AK$3*$B$5/1000) - K7*($B$11+$B$11+$B$12) - E7*$B$13 - F7*$B$14 - 0.5*E7*$B$12)</f>
        <v>1.94237763117903E-007</v>
      </c>
      <c r="K7" s="22" t="n">
        <f aca="false">0.05/3</f>
        <v>0.0166666666666667</v>
      </c>
      <c r="L7" s="25" t="n">
        <f aca="false">(3*K7)/($B$9*(1-H7*$AK$3*$B$5/1000) - K7*(2*$B$11+$B$12) - E7*$B$13 - F7*$B$14 - 0.5*E7*$B$12)</f>
        <v>5.05025347586655E-005</v>
      </c>
      <c r="M7" s="26" t="n">
        <v>48.3</v>
      </c>
      <c r="N7" s="26" t="n">
        <f aca="false">M7*9.80665</f>
        <v>473.661195</v>
      </c>
      <c r="O7" s="27" t="n">
        <f aca="false">$B$1*$B$2*$B$9*1000*(J7+0.25*$AJ$25*$AJ$25*J7*J7/L7)</f>
        <v>573.1379691562</v>
      </c>
      <c r="P7" s="28" t="n">
        <f aca="false">N7/(H7*$B$1*$B$2*1000)</f>
        <v>0.993592515640694</v>
      </c>
      <c r="Q7" s="28" t="n">
        <f aca="false">P7-1</f>
        <v>-0.00640748435930627</v>
      </c>
      <c r="R7" s="28" t="n">
        <f aca="false">$S$4+$S$5*J7+$S$6*J7*J7+$S$7*J7*J7*J7+$S$8*J7*J7*J7*J7</f>
        <v>0.00616033223828505</v>
      </c>
      <c r="S7" s="29" t="n">
        <v>-79934175122904700</v>
      </c>
      <c r="T7" s="28" t="n">
        <f aca="false">Q7-R7</f>
        <v>-0.0125678165975913</v>
      </c>
      <c r="U7" s="28" t="n">
        <f aca="false">T7*T7</f>
        <v>0.000157950014030692</v>
      </c>
      <c r="V7" s="30" t="n">
        <f aca="false">N7/O7</f>
        <v>0.826434855986502</v>
      </c>
      <c r="W7" s="30" t="n">
        <f aca="false">V7-1</f>
        <v>-0.173565144013498</v>
      </c>
      <c r="X7" s="30" t="n">
        <f aca="false">$Y$4+$Y$5*J7+$Y$6*J7*J7+$Y$7*J7*J7*J7+$Y$8*J7*J7*J7*J7</f>
        <v>-0.163200829136593</v>
      </c>
      <c r="Y7" s="29" t="n">
        <v>-5.86283750599688E+017</v>
      </c>
      <c r="Z7" s="26" t="n">
        <f aca="false">W7-X7</f>
        <v>-0.0103643148769053</v>
      </c>
      <c r="AA7" s="26" t="n">
        <f aca="false">Z7*Z7</f>
        <v>0.00010741902286764</v>
      </c>
      <c r="AB7" s="31" t="n">
        <f aca="false">EXP(W7+$Y$5*J7+$Y$6*J7*J7/2+$Y$7*J7*J7*J7/3+$Y$8*J7*J7*J7*J7/4)</f>
        <v>0.702884238652607</v>
      </c>
      <c r="AC7" s="31" t="n">
        <f aca="false">EXP(Q7+$S$5*J7+$S$6*J7*J7/2+$S$7*J7*J7*J7/3+$S$8*J7*J7*J7*J7/4)</f>
        <v>0.997971866952264</v>
      </c>
      <c r="AD7" s="32" t="n">
        <f aca="false">EXP(2*$AN$14*J7 + 1.5*$AN$19*J7*J7)</f>
        <v>0.999619916581551</v>
      </c>
      <c r="AE7" s="32" t="n">
        <f aca="false">AB7</f>
        <v>0.702884238652607</v>
      </c>
      <c r="AF7" s="33" t="n">
        <f aca="false">AC7</f>
        <v>0.997971866952264</v>
      </c>
      <c r="AG7" s="33" t="n">
        <f aca="false">AD7</f>
        <v>0.999619916581551</v>
      </c>
    </row>
    <row r="8" customFormat="false" ht="15.75" hidden="false" customHeight="true" outlineLevel="0" collapsed="false">
      <c r="D8" s="7"/>
      <c r="E8" s="21" t="n">
        <f aca="false">E7</f>
        <v>0.001</v>
      </c>
      <c r="F8" s="21" t="n">
        <f aca="false">0.00000000000001/E8</f>
        <v>1E-011</v>
      </c>
      <c r="G8" s="22" t="n">
        <v>7.231</v>
      </c>
      <c r="H8" s="23" t="n">
        <f aca="false">G8/$AK$3</f>
        <v>0.000256418439716312</v>
      </c>
      <c r="I8" s="24" t="n">
        <f aca="false">H8*1000000</f>
        <v>256.418439716312</v>
      </c>
      <c r="J8" s="25" t="n">
        <f aca="false">H8/($B$9*(1-H8*$AK$3*$B$5/1000) - K8*($B$11+$B$11+$B$12) - E8*$B$13 - F8*$B$14 - 0.5*E8*$B$12)</f>
        <v>2.59343150932795E-007</v>
      </c>
      <c r="K8" s="22" t="n">
        <f aca="false">0.05/3</f>
        <v>0.0166666666666667</v>
      </c>
      <c r="L8" s="25" t="n">
        <f aca="false">(3*K8)/($B$9*(1-H8*$AK$3*$B$5/1000) - K8*(2*$B$11+$B$12) - E8*$B$13 - F8*$B$14 - 0.5*E8*$B$12)</f>
        <v>5.05703004861349E-005</v>
      </c>
      <c r="M8" s="26" t="n">
        <v>64.85</v>
      </c>
      <c r="N8" s="26" t="n">
        <f aca="false">M8*9.80665</f>
        <v>635.9612525</v>
      </c>
      <c r="O8" s="27" t="n">
        <f aca="false">$B$1*$B$2*$B$9*1000*(J8+0.25*$AJ$25*$AJ$25*J8*J8/L8)</f>
        <v>806.676548262646</v>
      </c>
      <c r="P8" s="28" t="n">
        <f aca="false">N8/(H8*$B$1*$B$2*1000)</f>
        <v>1.00048919798933</v>
      </c>
      <c r="Q8" s="28" t="n">
        <f aca="false">P8-1</f>
        <v>0.000489197989328893</v>
      </c>
      <c r="R8" s="28" t="n">
        <f aca="false">$S$4+$S$5*J8+$S$6*J8*J8+$S$7*J8*J8*J8+$S$8*J8*J8*J8*J8</f>
        <v>0.00962767834678934</v>
      </c>
      <c r="S8" s="29" t="n">
        <v>4.14978824688813E+022</v>
      </c>
      <c r="T8" s="28" t="n">
        <f aca="false">Q8-R8</f>
        <v>-0.00913848035746045</v>
      </c>
      <c r="U8" s="28" t="n">
        <f aca="false">T8*T8</f>
        <v>8.35118232436904E-005</v>
      </c>
      <c r="V8" s="30" t="n">
        <f aca="false">N8/O8</f>
        <v>0.78837206048655</v>
      </c>
      <c r="W8" s="30" t="n">
        <f aca="false">V8-1</f>
        <v>-0.21162793951345</v>
      </c>
      <c r="X8" s="30" t="n">
        <f aca="false">$Y$4+$Y$5*J8+$Y$6*J8*J8+$Y$7*J8*J8*J8+$Y$8*J8*J8*J8*J8</f>
        <v>-0.205437349684866</v>
      </c>
      <c r="Y8" s="29" t="n">
        <v>1.51538929509891E+023</v>
      </c>
      <c r="Z8" s="26" t="n">
        <f aca="false">W8-X8</f>
        <v>-0.00619058982858445</v>
      </c>
      <c r="AA8" s="26" t="n">
        <f aca="false">Z8*Z8</f>
        <v>3.83234024257732E-005</v>
      </c>
      <c r="AB8" s="31" t="n">
        <f aca="false">EXP(W8+$Y$5*J8+$Y$6*J8*J8/2+$Y$7*J8*J8*J8/3+$Y$8*J8*J8*J8*J8/4)</f>
        <v>0.641631426184001</v>
      </c>
      <c r="AC8" s="31" t="n">
        <f aca="false">EXP(Q8+$S$5*J8+$S$6*J8*J8/2+$S$7*J8*J8*J8/3+$S$8*J8*J8*J8*J8/4)</f>
        <v>1.00713508842849</v>
      </c>
      <c r="AD8" s="32" t="n">
        <f aca="false">EXP(2*$AN$14*J8 + 1.5*$AN$19*J8*J8)</f>
        <v>0.999749533965608</v>
      </c>
      <c r="AE8" s="32" t="n">
        <f aca="false">AB8</f>
        <v>0.641631426184001</v>
      </c>
      <c r="AF8" s="33" t="n">
        <f aca="false">AC8</f>
        <v>1.00713508842849</v>
      </c>
      <c r="AG8" s="33" t="n">
        <f aca="false">AD8</f>
        <v>0.999749533965608</v>
      </c>
    </row>
    <row r="9" customFormat="false" ht="15.75" hidden="false" customHeight="true" outlineLevel="0" collapsed="false">
      <c r="A9" s="1" t="s">
        <v>41</v>
      </c>
      <c r="B9" s="1" t="n">
        <v>997</v>
      </c>
      <c r="C9" s="1" t="s">
        <v>42</v>
      </c>
      <c r="D9" s="7"/>
      <c r="E9" s="21" t="n">
        <f aca="false">E8</f>
        <v>0.001</v>
      </c>
      <c r="F9" s="21" t="n">
        <f aca="false">0.00000000000001/E9</f>
        <v>1E-011</v>
      </c>
      <c r="G9" s="22" t="n">
        <v>9.039</v>
      </c>
      <c r="H9" s="23" t="n">
        <f aca="false">G9/$AK$3</f>
        <v>0.000320531914893617</v>
      </c>
      <c r="I9" s="24" t="n">
        <f aca="false">H9*1000000</f>
        <v>320.531914893617</v>
      </c>
      <c r="J9" s="25" t="n">
        <f aca="false">H9/($B$9*(1-H9*$AK$3*$B$5/1000) - K9*($B$11+$B$11+$B$12) - E9*$B$13 - F9*$B$14 - 0.5*E9*$B$12)</f>
        <v>3.24623494003841E-007</v>
      </c>
      <c r="K9" s="22" t="n">
        <f aca="false">0.05/3</f>
        <v>0.0166666666666667</v>
      </c>
      <c r="L9" s="25" t="n">
        <f aca="false">(3*K9)/($B$9*(1-H9*$AK$3*$B$5/1000) - K9*(2*$B$11+$B$12) - E9*$B$13 - F9*$B$14 - 0.5*E9*$B$12)</f>
        <v>5.06382483178909E-005</v>
      </c>
      <c r="M9" s="26" t="n">
        <v>83.17</v>
      </c>
      <c r="N9" s="26" t="n">
        <f aca="false">M9*9.80665</f>
        <v>815.6190805</v>
      </c>
      <c r="O9" s="27" t="n">
        <f aca="false">$B$1*$B$2*$B$9*1000*(J9+0.25*$AJ$25*$AJ$25*J9*J9/L9)</f>
        <v>1061.58936495811</v>
      </c>
      <c r="P9" s="28" t="n">
        <f aca="false">N9/(H9*$B$1*$B$2*1000)</f>
        <v>1.02647198349048</v>
      </c>
      <c r="Q9" s="28" t="n">
        <f aca="false">P9-1</f>
        <v>0.0264719834904767</v>
      </c>
      <c r="R9" s="28" t="n">
        <f aca="false">$S$4+$S$5*J9+$S$6*J9*J9+$S$7*J9*J9*J9+$S$8*J9*J9*J9*J9</f>
        <v>0.013679715959014</v>
      </c>
      <c r="S9" s="34" t="n">
        <f aca="false">SUM(U4:U12)</f>
        <v>0.000623691802549355</v>
      </c>
      <c r="T9" s="28" t="n">
        <f aca="false">Q9-R9</f>
        <v>0.0127922675314627</v>
      </c>
      <c r="U9" s="28" t="n">
        <f aca="false">T9*T9</f>
        <v>0.000163642108596515</v>
      </c>
      <c r="V9" s="30" t="n">
        <f aca="false">N9/O9</f>
        <v>0.768299973061789</v>
      </c>
      <c r="W9" s="30" t="n">
        <f aca="false">V9-1</f>
        <v>-0.231700026938211</v>
      </c>
      <c r="X9" s="30" t="n">
        <f aca="false">$Y$4+$Y$5*J9+$Y$6*J9*J9+$Y$7*J9*J9*J9+$Y$8*J9*J9*J9*J9</f>
        <v>-0.242797410696825</v>
      </c>
      <c r="Y9" s="34" t="n">
        <f aca="false">SUM(AA4:AA12)</f>
        <v>0.000388040380677202</v>
      </c>
      <c r="Z9" s="26" t="n">
        <f aca="false">W9-X9</f>
        <v>0.0110973837586141</v>
      </c>
      <c r="AA9" s="26" t="n">
        <f aca="false">Z9*Z9</f>
        <v>0.000123151926285951</v>
      </c>
      <c r="AB9" s="31" t="n">
        <f aca="false">EXP(W9+$Y$5*J9+$Y$6*J9*J9/2+$Y$7*J9*J9*J9/3+$Y$8*J9*J9*J9*J9/4)</f>
        <v>0.598062038767022</v>
      </c>
      <c r="AC9" s="31" t="n">
        <f aca="false">EXP(Q9+$S$5*J9+$S$6*J9*J9/2+$S$7*J9*J9*J9/3+$S$8*J9*J9*J9*J9/4)</f>
        <v>1.0363259697574</v>
      </c>
      <c r="AD9" s="32" t="n">
        <f aca="false">EXP(2*$AN$14*J9 + 1.5*$AN$19*J9*J9)</f>
        <v>1.00000910474844</v>
      </c>
      <c r="AE9" s="32" t="n">
        <f aca="false">AB9</f>
        <v>0.598062038767022</v>
      </c>
      <c r="AF9" s="33" t="n">
        <f aca="false">AC9</f>
        <v>1.0363259697574</v>
      </c>
      <c r="AG9" s="33" t="n">
        <f aca="false">AD9</f>
        <v>1.00000910474844</v>
      </c>
    </row>
    <row r="10" customFormat="false" ht="15.75" hidden="false" customHeight="true" outlineLevel="0" collapsed="false">
      <c r="D10" s="7"/>
      <c r="E10" s="21" t="n">
        <f aca="false">E9</f>
        <v>0.001</v>
      </c>
      <c r="F10" s="21" t="n">
        <f aca="false">0.00000000000001/E10</f>
        <v>1E-011</v>
      </c>
      <c r="G10" s="22" t="n">
        <v>19.61</v>
      </c>
      <c r="H10" s="23" t="n">
        <f aca="false">G10/$AK$3</f>
        <v>0.000695390070921986</v>
      </c>
      <c r="I10" s="24" t="n">
        <f aca="false">H10*1000000</f>
        <v>695.390070921986</v>
      </c>
      <c r="J10" s="25" t="n">
        <f aca="false">H10/($B$9*(1-H10*$AK$3*$B$5/1000) - K10*($B$11+$B$11+$B$12) - E10*$B$13 - F10*$B$14 - 0.5*E10*$B$12)</f>
        <v>7.0984318154346E-007</v>
      </c>
      <c r="K10" s="22" t="n">
        <f aca="false">0.05/3</f>
        <v>0.0166666666666667</v>
      </c>
      <c r="L10" s="25" t="n">
        <f aca="false">(3*K10)/($B$9*(1-H10*$AK$3*$B$5/1000) - K10*(2*$B$11+$B$12) - E10*$B$13 - F10*$B$14 - 0.5*E10*$B$12)</f>
        <v>5.10392088718143E-005</v>
      </c>
      <c r="M10" s="26" t="n">
        <v>184</v>
      </c>
      <c r="N10" s="26" t="n">
        <f aca="false">M10*9.80665</f>
        <v>1804.4236</v>
      </c>
      <c r="O10" s="27" t="n">
        <f aca="false">$B$1*$B$2*$B$9*1000*(J10+0.25*$AJ$25*$AJ$25*J10*J10/L10)</f>
        <v>2984.38221395249</v>
      </c>
      <c r="P10" s="28" t="n">
        <f aca="false">N10/(H10*$B$1*$B$2*1000)</f>
        <v>1.04674528784041</v>
      </c>
      <c r="Q10" s="28" t="n">
        <f aca="false">P10-1</f>
        <v>0.0467452878404084</v>
      </c>
      <c r="R10" s="28" t="n">
        <f aca="false">$S$4+$S$5*J10+$S$6*J10*J10+$S$7*J10*J10*J10+$S$8*J10*J10*J10*J10</f>
        <v>0.0476949457337232</v>
      </c>
      <c r="T10" s="28" t="n">
        <f aca="false">Q10-R10</f>
        <v>-0.000949657893314769</v>
      </c>
      <c r="U10" s="28" t="n">
        <f aca="false">T10*T10</f>
        <v>9.01850114335045E-007</v>
      </c>
      <c r="V10" s="30" t="n">
        <f aca="false">N10/O10</f>
        <v>0.604622153142455</v>
      </c>
      <c r="W10" s="30" t="n">
        <f aca="false">V10-1</f>
        <v>-0.395377846857545</v>
      </c>
      <c r="X10" s="30" t="n">
        <f aca="false">$Y$4+$Y$5*J10+$Y$6*J10*J10+$Y$7*J10*J10*J10+$Y$8*J10*J10*J10*J10</f>
        <v>-0.393803051280307</v>
      </c>
      <c r="Z10" s="26" t="n">
        <f aca="false">W10-X10</f>
        <v>-0.00157479557723794</v>
      </c>
      <c r="AA10" s="26" t="n">
        <f aca="false">Z10*Z10</f>
        <v>2.47998111008818E-006</v>
      </c>
      <c r="AB10" s="31" t="n">
        <f aca="false">EXP(W10+$Y$5*J10+$Y$6*J10*J10/2+$Y$7*J10*J10*J10/3+$Y$8*J10*J10*J10*J10/4)</f>
        <v>0.396409327366668</v>
      </c>
      <c r="AC10" s="31" t="n">
        <f aca="false">EXP(Q10+$S$5*J10+$S$6*J10*J10/2+$S$7*J10*J10*J10/3+$S$8*J10*J10*J10*J10/4)</f>
        <v>1.08021636181587</v>
      </c>
      <c r="AD10" s="32" t="n">
        <f aca="false">EXP(2*$AN$14*J10 + 1.5*$AN$19*J10*J10)</f>
        <v>1.00419207052174</v>
      </c>
      <c r="AE10" s="32" t="n">
        <f aca="false">AB10</f>
        <v>0.396409327366668</v>
      </c>
      <c r="AF10" s="33" t="n">
        <f aca="false">AC10</f>
        <v>1.08021636181587</v>
      </c>
      <c r="AG10" s="33" t="n">
        <f aca="false">AD10</f>
        <v>1.00419207052174</v>
      </c>
    </row>
    <row r="11" customFormat="false" ht="15.75" hidden="false" customHeight="true" outlineLevel="0" collapsed="false">
      <c r="A11" s="1" t="s">
        <v>43</v>
      </c>
      <c r="B11" s="1" t="n">
        <v>39.0983</v>
      </c>
      <c r="D11" s="7"/>
      <c r="E11" s="21" t="n">
        <f aca="false">E10</f>
        <v>0.001</v>
      </c>
      <c r="F11" s="21" t="n">
        <f aca="false">0.00000000000001/E11</f>
        <v>1E-011</v>
      </c>
      <c r="G11" s="22" t="n">
        <v>29.41</v>
      </c>
      <c r="H11" s="23" t="n">
        <f aca="false">G11/$AK$3</f>
        <v>0.00104290780141844</v>
      </c>
      <c r="I11" s="24" t="n">
        <f aca="false">H11*1000000</f>
        <v>1042.90780141844</v>
      </c>
      <c r="J11" s="25" t="n">
        <f aca="false">H11/($B$9*(1-H11*$AK$3*$B$5/1000) - K11*($B$11+$B$11+$B$12) - E11*$B$13 - F11*$B$14 - 0.5*E11*$B$12)</f>
        <v>1.07245628050153E-006</v>
      </c>
      <c r="K11" s="22" t="n">
        <f aca="false">0.05/3</f>
        <v>0.0166666666666667</v>
      </c>
      <c r="L11" s="25" t="n">
        <f aca="false">(3*K11)/($B$9*(1-H11*$AK$3*$B$5/1000) - K11*(2*$B$11+$B$12) - E11*$B$13 - F11*$B$14 - 0.5*E11*$B$12)</f>
        <v>5.14166390855885E-005</v>
      </c>
      <c r="M11" s="26" t="n">
        <v>289.9</v>
      </c>
      <c r="N11" s="26" t="n">
        <f aca="false">M11*9.80665</f>
        <v>2842.947835</v>
      </c>
      <c r="O11" s="27" t="n">
        <f aca="false">$B$1*$B$2*$B$9*1000*(J11+0.25*$AJ$25*$AJ$25*J11*J11/L11)</f>
        <v>5437.59343074104</v>
      </c>
      <c r="P11" s="28" t="n">
        <f aca="false">N11/(H11*$B$1*$B$2*1000)</f>
        <v>1.09964872749401</v>
      </c>
      <c r="Q11" s="28" t="n">
        <f aca="false">P11-1</f>
        <v>0.0996487274940057</v>
      </c>
      <c r="R11" s="28" t="n">
        <f aca="false">$S$4+$S$5*J11+$S$6*J11*J11+$S$7*J11*J11*J11+$S$8*J11*J11*J11*J11</f>
        <v>0.0995290270910169</v>
      </c>
      <c r="T11" s="28" t="n">
        <f aca="false">Q11-R11</f>
        <v>0.000119700402988726</v>
      </c>
      <c r="U11" s="28" t="n">
        <f aca="false">T11*T11</f>
        <v>1.43281864756634E-008</v>
      </c>
      <c r="V11" s="30" t="n">
        <f aca="false">N11/O11</f>
        <v>0.522831997502351</v>
      </c>
      <c r="W11" s="30" t="n">
        <f aca="false">V11-1</f>
        <v>-0.477168002497649</v>
      </c>
      <c r="X11" s="30" t="n">
        <f aca="false">$Y$4+$Y$5*J11+$Y$6*J11*J11+$Y$7*J11*J11*J11+$Y$8*J11*J11*J11*J11</f>
        <v>-0.477622554640922</v>
      </c>
      <c r="Z11" s="26" t="n">
        <f aca="false">W11-X11</f>
        <v>0.000454552143272058</v>
      </c>
      <c r="AA11" s="26" t="n">
        <f aca="false">Z11*Z11</f>
        <v>2.06617650953221E-007</v>
      </c>
      <c r="AB11" s="31" t="n">
        <f aca="false">EXP(W11+$Y$5*J11+$Y$6*J11*J11/2+$Y$7*J11*J11*J11/3+$Y$8*J11*J11*J11*J11/4)</f>
        <v>0.305138828881884</v>
      </c>
      <c r="AC11" s="31" t="n">
        <f aca="false">EXP(Q11+$S$5*J11+$S$6*J11*J11/2+$S$7*J11*J11*J11/3+$S$8*J11*J11*J11*J11/4)</f>
        <v>1.17213471546297</v>
      </c>
      <c r="AD11" s="32" t="n">
        <f aca="false">EXP(2*$AN$14*J11 + 1.5*$AN$19*J11*J11)</f>
        <v>1.01231659371019</v>
      </c>
      <c r="AE11" s="32" t="n">
        <f aca="false">AB11</f>
        <v>0.305138828881884</v>
      </c>
      <c r="AF11" s="33" t="n">
        <f aca="false">AC11</f>
        <v>1.17213471546297</v>
      </c>
      <c r="AG11" s="33" t="n">
        <f aca="false">AD11</f>
        <v>1.01231659371019</v>
      </c>
    </row>
    <row r="12" customFormat="false" ht="15.75" hidden="false" customHeight="true" outlineLevel="0" collapsed="false">
      <c r="A12" s="1" t="s">
        <v>44</v>
      </c>
      <c r="B12" s="1" t="n">
        <v>96.06</v>
      </c>
      <c r="D12" s="7"/>
      <c r="E12" s="35" t="n">
        <f aca="false">E11</f>
        <v>0.001</v>
      </c>
      <c r="F12" s="35" t="n">
        <f aca="false">0.00000000000001/E12</f>
        <v>1E-011</v>
      </c>
      <c r="G12" s="36" t="n">
        <v>39.22</v>
      </c>
      <c r="H12" s="37" t="n">
        <f aca="false">G12/$AK$3</f>
        <v>0.00139078014184397</v>
      </c>
      <c r="I12" s="38" t="n">
        <f aca="false">H12*1000000</f>
        <v>1390.78014184397</v>
      </c>
      <c r="J12" s="39" t="n">
        <f aca="false">H12/($B$9*(1-H12*$AK$3*$B$5/1000) - K12*($B$11+$B$11+$B$12) - E12*$B$13 - F12*$B$14 - 0.5*E12*$B$12)</f>
        <v>1.44085064121474E-006</v>
      </c>
      <c r="K12" s="36" t="n">
        <f aca="false">0.05/3</f>
        <v>0.0166666666666667</v>
      </c>
      <c r="L12" s="39" t="n">
        <f aca="false">(3*K12)/($B$9*(1-H12*$AK$3*$B$5/1000) - K12*(2*$B$11+$B$12) - E12*$B$13 - F12*$B$14 - 0.5*E12*$B$12)</f>
        <v>5.18000867953284E-005</v>
      </c>
      <c r="M12" s="40" t="n">
        <v>419.1</v>
      </c>
      <c r="N12" s="40" t="n">
        <f aca="false">M12*9.80665</f>
        <v>4109.967015</v>
      </c>
      <c r="O12" s="41" t="n">
        <f aca="false">$B$1*$B$2*$B$9*1000*(J12+0.25*$AJ$25*$AJ$25*J12*J12/L12)</f>
        <v>8554.39871548908</v>
      </c>
      <c r="P12" s="42" t="n">
        <f aca="false">N12/(H12*$B$1*$B$2*1000)</f>
        <v>1.19209497318999</v>
      </c>
      <c r="Q12" s="42" t="n">
        <f aca="false">P12-1</f>
        <v>0.192094973189987</v>
      </c>
      <c r="R12" s="42" t="n">
        <f aca="false">$S$4+$S$5*J12+$S$6*J12*J12+$S$7*J12*J12*J12+$S$8*J12*J12*J12*J12</f>
        <v>0.192095119540192</v>
      </c>
      <c r="S12" s="43"/>
      <c r="T12" s="42" t="n">
        <f aca="false">Q12-R12</f>
        <v>-1.4635020528786E-007</v>
      </c>
      <c r="U12" s="42" t="n">
        <f aca="false">T12*T12</f>
        <v>2.14183825877986E-014</v>
      </c>
      <c r="V12" s="44" t="n">
        <f aca="false">N12/O12</f>
        <v>0.480450719178925</v>
      </c>
      <c r="W12" s="44" t="n">
        <f aca="false">V12-1</f>
        <v>-0.519549280821075</v>
      </c>
      <c r="X12" s="44" t="n">
        <f aca="false">$Y$4+$Y$5*J12+$Y$6*J12*J12+$Y$7*J12*J12*J12+$Y$8*J12*J12*J12*J12</f>
        <v>-0.519483823274342</v>
      </c>
      <c r="Y12" s="43"/>
      <c r="Z12" s="40" t="n">
        <f aca="false">W12-X12</f>
        <v>-6.54575467323726E-005</v>
      </c>
      <c r="AA12" s="40" t="n">
        <f aca="false">Z12*Z12</f>
        <v>4.28469042422074E-009</v>
      </c>
      <c r="AB12" s="45" t="n">
        <f aca="false">EXP(W12+$Y$5*J12+$Y$6*J12*J12/2+$Y$7*J12*J12*J12/3+$Y$8*J12*J12*J12*J12/4)</f>
        <v>0.252160841436535</v>
      </c>
      <c r="AC12" s="45" t="n">
        <f aca="false">EXP(Q12+$S$5*J12+$S$6*J12*J12/2+$S$7*J12*J12*J12/3+$S$8*J12*J12*J12*J12/4)</f>
        <v>1.33948737359596</v>
      </c>
      <c r="AD12" s="46" t="n">
        <f aca="false">EXP(2*$AN$14*J12 + 1.5*$AN$19*J12*J12)</f>
        <v>1.02483144219571</v>
      </c>
      <c r="AE12" s="46" t="n">
        <f aca="false">AB12</f>
        <v>0.252160841436535</v>
      </c>
      <c r="AF12" s="47" t="n">
        <f aca="false">AC12</f>
        <v>1.33948737359596</v>
      </c>
      <c r="AG12" s="47" t="n">
        <f aca="false">AD12</f>
        <v>1.02483144219571</v>
      </c>
    </row>
    <row r="13" customFormat="false" ht="15.75" hidden="false" customHeight="true" outlineLevel="0" collapsed="false">
      <c r="A13" s="1" t="s">
        <v>45</v>
      </c>
      <c r="B13" s="1" t="n">
        <v>19.0232</v>
      </c>
      <c r="D13" s="7" t="n">
        <v>3</v>
      </c>
      <c r="E13" s="8" t="n">
        <f aca="false">10^-D13</f>
        <v>0.001</v>
      </c>
      <c r="F13" s="8" t="n">
        <f aca="false">0.00000000000001/E13</f>
        <v>1E-011</v>
      </c>
      <c r="G13" s="9" t="n">
        <v>0.904</v>
      </c>
      <c r="H13" s="10" t="n">
        <f aca="false">G13/$AK$4</f>
        <v>3.37313432835821E-005</v>
      </c>
      <c r="I13" s="11" t="n">
        <f aca="false">H13*1000000</f>
        <v>33.7313432835821</v>
      </c>
      <c r="J13" s="12" t="n">
        <f aca="false">H13/($B$9*(1-H13*$AK$4*$B$5/1000) - K13*($B$11+$B$11+$B$12) - E13*$B$13 - F13*$B$14 - 0.5*E13*$B$12)</f>
        <v>3.41563587513886E-008</v>
      </c>
      <c r="K13" s="9" t="n">
        <f aca="false">0.15/3</f>
        <v>0.05</v>
      </c>
      <c r="L13" s="12" t="n">
        <f aca="false">(3*K13)/($B$9*(1-H13*$AK$4*$B$5/1000) - K13*(2*$B$11+$B$12) - E13*$B$13 - F13*$B$14 - 0.5*E13*$B$12)</f>
        <v>0.000151890002412148</v>
      </c>
      <c r="M13" s="13" t="n">
        <v>8.55</v>
      </c>
      <c r="N13" s="13" t="n">
        <f aca="false">M13*9.80665</f>
        <v>83.8468575</v>
      </c>
      <c r="O13" s="14" t="n">
        <f aca="false">$B$1*$B$2*$B$9*1000*(J13+0.25*$AJ$25*$AJ$25*J13*J13/L13)</f>
        <v>85.3750914280758</v>
      </c>
      <c r="P13" s="15" t="n">
        <f aca="false">N13/(H13*$B$1*$B$2*1000)</f>
        <v>1.00273033851614</v>
      </c>
      <c r="Q13" s="15" t="n">
        <f aca="false">P13-1</f>
        <v>0.0027303385161439</v>
      </c>
      <c r="R13" s="15" t="n">
        <f aca="false">$S$13+$S$14*J13+$S$15*J13*J13+$S$16*J13*J13*J13+$S$17*J13*J13*J13*J13</f>
        <v>-0.0180736216657062</v>
      </c>
      <c r="S13" s="16" t="n">
        <v>0</v>
      </c>
      <c r="T13" s="15" t="n">
        <f aca="false">Q13-R13</f>
        <v>0.0208039601818501</v>
      </c>
      <c r="U13" s="15" t="n">
        <f aca="false">T13*T13</f>
        <v>0.000432804759248004</v>
      </c>
      <c r="V13" s="17" t="n">
        <f aca="false">N13/O13</f>
        <v>0.982099768181645</v>
      </c>
      <c r="W13" s="17" t="n">
        <f aca="false">V13-1</f>
        <v>-0.0179002318183547</v>
      </c>
      <c r="X13" s="17" t="n">
        <f aca="false">$Y$13+$Y$14*J13+$Y$15*J13*J13+$Y$16*J13*J13*J13+$Y$17*J13*J13*J13*J13</f>
        <v>-0.0306323579861416</v>
      </c>
      <c r="Y13" s="16" t="n">
        <v>0</v>
      </c>
      <c r="Z13" s="13" t="n">
        <f aca="false">W13-X13</f>
        <v>0.012732126167787</v>
      </c>
      <c r="AA13" s="13" t="n">
        <f aca="false">Z13*Z13</f>
        <v>0.000162107036752446</v>
      </c>
      <c r="AB13" s="18" t="n">
        <f aca="false">EXP(W13+$Y$14*J13+$Y$15*J13*J13/2+$Y$16*J13*J13*J13/3+$Y$17*J13*J13*J13*J13/4)</f>
        <v>0.952266534321378</v>
      </c>
      <c r="AC13" s="18" t="n">
        <f aca="false">EXP(Q13+$S$14*J13+$S$15*J13*J13/2+$S$16*J13*J13*J13/3+$S$17*J13*J13*J13*J13/4)</f>
        <v>0.98455012163043</v>
      </c>
      <c r="AD13" s="19" t="n">
        <f aca="false">EXP(2*$AN$15*J13 + 1.5*$AN$20*J13*J13)</f>
        <v>0.967810893664527</v>
      </c>
      <c r="AE13" s="19" t="n">
        <f aca="false">AB13</f>
        <v>0.952266534321378</v>
      </c>
      <c r="AF13" s="20" t="n">
        <f aca="false">AC13</f>
        <v>0.98455012163043</v>
      </c>
      <c r="AG13" s="20" t="n">
        <f aca="false">AD13</f>
        <v>0.967810893664527</v>
      </c>
      <c r="AI13" s="1" t="s">
        <v>2</v>
      </c>
      <c r="AJ13" s="1" t="s">
        <v>46</v>
      </c>
      <c r="AK13" s="1" t="s">
        <v>47</v>
      </c>
      <c r="AL13" s="1" t="s">
        <v>48</v>
      </c>
      <c r="AM13" s="1" t="s">
        <v>49</v>
      </c>
      <c r="AN13" s="1" t="s">
        <v>50</v>
      </c>
    </row>
    <row r="14" customFormat="false" ht="15.75" hidden="false" customHeight="true" outlineLevel="0" collapsed="false">
      <c r="A14" s="1" t="s">
        <v>51</v>
      </c>
      <c r="B14" s="1" t="n">
        <v>17.007</v>
      </c>
      <c r="D14" s="7"/>
      <c r="E14" s="21" t="n">
        <f aca="false">E13</f>
        <v>0.001</v>
      </c>
      <c r="F14" s="21" t="n">
        <f aca="false">0.00000000000001/E14</f>
        <v>1E-011</v>
      </c>
      <c r="G14" s="22" t="n">
        <v>1.808</v>
      </c>
      <c r="H14" s="23" t="n">
        <f aca="false">G14/$AK$4</f>
        <v>6.74626865671642E-005</v>
      </c>
      <c r="I14" s="24" t="n">
        <f aca="false">H14*1000000</f>
        <v>67.4626865671642</v>
      </c>
      <c r="J14" s="25" t="n">
        <f aca="false">H14/($B$9*(1-H14*$AK$4*$B$5/1000) - K14*($B$11+$B$11+$B$12) - E14*$B$13 - F14*$B$14 - 0.5*E14*$B$12)</f>
        <v>6.83586344188149E-008</v>
      </c>
      <c r="K14" s="22" t="n">
        <f aca="false">0.15/3</f>
        <v>0.05</v>
      </c>
      <c r="L14" s="25" t="n">
        <f aca="false">(3*K14)/($B$9*(1-H14*$AK$4*$B$5/1000) - K14*(2*$B$11+$B$12) - E14*$B$13 - F14*$B$14 - 0.5*E14*$B$12)</f>
        <v>0.000151992096440064</v>
      </c>
      <c r="M14" s="26" t="n">
        <v>16.63</v>
      </c>
      <c r="N14" s="26" t="n">
        <f aca="false">M14*9.80665</f>
        <v>163.0845895</v>
      </c>
      <c r="O14" s="27" t="n">
        <f aca="false">$B$1*$B$2*$B$9*1000*(J14+0.25*$AJ$25*$AJ$25*J14*J14/L14)</f>
        <v>172.780164822913</v>
      </c>
      <c r="P14" s="28" t="n">
        <f aca="false">N14/(H14*$B$1*$B$2*1000)</f>
        <v>0.975169914007221</v>
      </c>
      <c r="Q14" s="28" t="n">
        <f aca="false">P14-1</f>
        <v>-0.0248300859927794</v>
      </c>
      <c r="R14" s="28" t="n">
        <f aca="false">$S$13+$S$14*J14+$S$15*J14*J14+$S$16*J14*J14*J14+$S$17*J14*J14*J14*J14</f>
        <v>-0.0352728869696093</v>
      </c>
      <c r="S14" s="29" t="n">
        <v>-542481.369064797</v>
      </c>
      <c r="T14" s="28" t="n">
        <f aca="false">Q14-R14</f>
        <v>0.0104428009768299</v>
      </c>
      <c r="U14" s="28" t="n">
        <f aca="false">T14*T14</f>
        <v>0.00010905209224168</v>
      </c>
      <c r="V14" s="30" t="n">
        <f aca="false">N14/O14</f>
        <v>0.943884905232901</v>
      </c>
      <c r="W14" s="30" t="n">
        <f aca="false">V14-1</f>
        <v>-0.0561150947670989</v>
      </c>
      <c r="X14" s="30" t="n">
        <f aca="false">$Y$13+$Y$14*J14+$Y$15*J14*J14+$Y$16*J14*J14*J14+$Y$17*J14*J14*J14*J14</f>
        <v>-0.0598155311298297</v>
      </c>
      <c r="Y14" s="29" t="n">
        <v>-919013.330573255</v>
      </c>
      <c r="Z14" s="26" t="n">
        <f aca="false">W14-X14</f>
        <v>0.00370043636273085</v>
      </c>
      <c r="AA14" s="26" t="n">
        <f aca="false">Z14*Z14</f>
        <v>1.36932292746208E-005</v>
      </c>
      <c r="AB14" s="31" t="n">
        <f aca="false">EXP(W14+$Y$14*J14+$Y$15*J14*J14/2+$Y$16*J14*J14*J14/3+$Y$17*J14*J14*J14*J14/4)</f>
        <v>0.889207475664535</v>
      </c>
      <c r="AC14" s="31" t="n">
        <f aca="false">EXP(Q14+$S$14*J14+$S$15*J14*J14/2+$S$16*J14*J14*J14/3+$S$17*J14*J14*J14*J14/4)</f>
        <v>0.940820038426625</v>
      </c>
      <c r="AD14" s="32" t="n">
        <f aca="false">EXP(2*$AN$15*J14 + 1.5*$AN$20*J14*J14)</f>
        <v>0.93694860681662</v>
      </c>
      <c r="AE14" s="32" t="n">
        <f aca="false">AB14</f>
        <v>0.889207475664535</v>
      </c>
      <c r="AF14" s="33" t="n">
        <f aca="false">AC14</f>
        <v>0.940820038426625</v>
      </c>
      <c r="AG14" s="33" t="n">
        <f aca="false">AD14</f>
        <v>0.93694860681662</v>
      </c>
      <c r="AI14" s="48" t="n">
        <v>0.05</v>
      </c>
      <c r="AJ14" s="49" t="n">
        <v>2.3E-008</v>
      </c>
      <c r="AK14" s="49" t="n">
        <f aca="false">AJ14*AK3</f>
        <v>0.0006486</v>
      </c>
      <c r="AL14" s="49" t="n">
        <f aca="false">AK14*AK3</f>
        <v>18.29052</v>
      </c>
      <c r="AM14" s="49" t="n">
        <f aca="false">AL14*1000</f>
        <v>18290.52</v>
      </c>
      <c r="AN14" s="49" t="n">
        <f aca="false">(AM14-$B$5*AK3)*$B$9/1000</f>
        <v>-2457.28596</v>
      </c>
      <c r="AO14" s="1" t="s">
        <v>52</v>
      </c>
    </row>
    <row r="15" customFormat="false" ht="15.75" hidden="false" customHeight="true" outlineLevel="0" collapsed="false">
      <c r="D15" s="7"/>
      <c r="E15" s="21" t="n">
        <f aca="false">E14</f>
        <v>0.001</v>
      </c>
      <c r="F15" s="21" t="n">
        <f aca="false">0.00000000000001/E15</f>
        <v>1E-011</v>
      </c>
      <c r="G15" s="22" t="n">
        <v>3.615</v>
      </c>
      <c r="H15" s="23" t="n">
        <f aca="false">G15/$AK$4</f>
        <v>0.000134888059701493</v>
      </c>
      <c r="I15" s="24" t="n">
        <f aca="false">H15*1000000</f>
        <v>134.888059701493</v>
      </c>
      <c r="J15" s="25" t="n">
        <f aca="false">H15/($B$9*(1-H15*$AK$4*$B$5/1000) - K15*($B$11+$B$11+$B$12) - E15*$B$13 - F15*$B$14 - 0.5*E15*$B$12)</f>
        <v>1.36863345586411E-007</v>
      </c>
      <c r="K15" s="22" t="n">
        <f aca="false">0.15/3</f>
        <v>0.05</v>
      </c>
      <c r="L15" s="25" t="n">
        <f aca="false">(3*K15)/($B$9*(1-H15*$AK$4*$B$5/1000) - K15*(2*$B$11+$B$12) - E15*$B$13 - F15*$B$14 - 0.5*E15*$B$12)</f>
        <v>0.000152196583473685</v>
      </c>
      <c r="M15" s="26" t="n">
        <v>31.65</v>
      </c>
      <c r="N15" s="26" t="n">
        <f aca="false">M15*9.80665</f>
        <v>310.3804725</v>
      </c>
      <c r="O15" s="27" t="n">
        <f aca="false">$B$1*$B$2*$B$9*1000*(J15+0.25*$AJ$25*$AJ$25*J15*J15/L15)</f>
        <v>353.594333841715</v>
      </c>
      <c r="P15" s="28" t="n">
        <f aca="false">N15/(H15*$B$1*$B$2*1000)</f>
        <v>0.928222055712908</v>
      </c>
      <c r="Q15" s="28" t="n">
        <f aca="false">P15-1</f>
        <v>-0.0717779442870919</v>
      </c>
      <c r="R15" s="28" t="n">
        <f aca="false">$S$13+$S$14*J15+$S$15*J15*J15+$S$16*J15*J15*J15+$S$17*J15*J15*J15*J15</f>
        <v>-0.067103696847517</v>
      </c>
      <c r="S15" s="29" t="n">
        <v>393548931709.765</v>
      </c>
      <c r="T15" s="28" t="n">
        <f aca="false">Q15-R15</f>
        <v>-0.00467424743957492</v>
      </c>
      <c r="U15" s="28" t="n">
        <f aca="false">T15*T15</f>
        <v>2.18485891263727E-005</v>
      </c>
      <c r="V15" s="30" t="n">
        <f aca="false">N15/O15</f>
        <v>0.877786895303985</v>
      </c>
      <c r="W15" s="30" t="n">
        <f aca="false">V15-1</f>
        <v>-0.122213104696015</v>
      </c>
      <c r="X15" s="30" t="n">
        <f aca="false">$Y$13+$Y$14*J15+$Y$15*J15*J15+$Y$16*J15*J15*J15+$Y$17*J15*J15*J15*J15</f>
        <v>-0.113952679051992</v>
      </c>
      <c r="Y15" s="29" t="n">
        <v>655583393595.963</v>
      </c>
      <c r="Z15" s="26" t="n">
        <f aca="false">W15-X15</f>
        <v>-0.00826042564402393</v>
      </c>
      <c r="AA15" s="26" t="n">
        <f aca="false">Z15*Z15</f>
        <v>6.82346318204482E-005</v>
      </c>
      <c r="AB15" s="31" t="n">
        <f aca="false">EXP(W15+$Y$14*J15+$Y$15*J15*J15/2+$Y$16*J15*J15*J15/3+$Y$17*J15*J15*J15*J15/4)</f>
        <v>0.785053451739733</v>
      </c>
      <c r="AC15" s="31" t="n">
        <f aca="false">EXP(Q15+$S$14*J15+$S$15*J15*J15/2+$S$16*J15*J15*J15/3+$S$17*J15*J15*J15*J15/4)</f>
        <v>0.867261770179515</v>
      </c>
      <c r="AD15" s="32" t="n">
        <f aca="false">EXP(2*$AN$15*J15 + 1.5*$AN$20*J15*J15)</f>
        <v>0.87899842255163</v>
      </c>
      <c r="AE15" s="32" t="n">
        <f aca="false">AB15</f>
        <v>0.785053451739733</v>
      </c>
      <c r="AF15" s="33" t="n">
        <f aca="false">AC15</f>
        <v>0.867261770179515</v>
      </c>
      <c r="AG15" s="33" t="n">
        <f aca="false">AD15</f>
        <v>0.87899842255163</v>
      </c>
      <c r="AI15" s="1" t="n">
        <v>0.15</v>
      </c>
      <c r="AJ15" s="50" t="n">
        <v>-6.45E-007</v>
      </c>
      <c r="AK15" s="50" t="n">
        <f aca="false">AJ15*AK4</f>
        <v>-0.017286</v>
      </c>
      <c r="AL15" s="50" t="n">
        <f aca="false">AK15*AK4</f>
        <v>-463.2648</v>
      </c>
      <c r="AM15" s="50" t="n">
        <f aca="false">AL15*1000</f>
        <v>-463264.8</v>
      </c>
      <c r="AN15" s="50" t="n">
        <f aca="false">(AM15-$B$5*AK4)*$B$9/1000</f>
        <v>-481540.6312</v>
      </c>
    </row>
    <row r="16" customFormat="false" ht="15.75" hidden="false" customHeight="true" outlineLevel="0" collapsed="false">
      <c r="D16" s="7"/>
      <c r="E16" s="21" t="n">
        <f aca="false">E15</f>
        <v>0.001</v>
      </c>
      <c r="F16" s="21" t="n">
        <f aca="false">0.00000000000001/E16</f>
        <v>1E-011</v>
      </c>
      <c r="G16" s="22" t="n">
        <v>5.423</v>
      </c>
      <c r="H16" s="23" t="n">
        <f aca="false">G16/$AK$4</f>
        <v>0.000202350746268657</v>
      </c>
      <c r="I16" s="24" t="n">
        <f aca="false">H16*1000000</f>
        <v>202.350746268657</v>
      </c>
      <c r="J16" s="25" t="n">
        <f aca="false">H16/($B$9*(1-H16*$AK$4*$B$5/1000) - K16*($B$11+$B$11+$B$12) - E16*$B$13 - F16*$B$14 - 0.5*E16*$B$12)</f>
        <v>2.05590698861453E-007</v>
      </c>
      <c r="K16" s="22" t="n">
        <f aca="false">0.15/3</f>
        <v>0.05</v>
      </c>
      <c r="L16" s="25" t="n">
        <f aca="false">(3*K16)/($B$9*(1-H16*$AK$4*$B$5/1000) - K16*(2*$B$11+$B$12) - E16*$B$13 - F16*$B$14 - 0.5*E16*$B$12)</f>
        <v>0.000152401735095526</v>
      </c>
      <c r="M16" s="26" t="n">
        <v>45.6</v>
      </c>
      <c r="N16" s="26" t="n">
        <f aca="false">M16*9.80665</f>
        <v>447.18324</v>
      </c>
      <c r="O16" s="27" t="n">
        <f aca="false">$B$1*$B$2*$B$9*1000*(J16+0.25*$AJ$25*$AJ$25*J16*J16/L16)</f>
        <v>542.6755200209</v>
      </c>
      <c r="P16" s="28" t="n">
        <f aca="false">N16/(H16*$B$1*$B$2*1000)</f>
        <v>0.891480214905495</v>
      </c>
      <c r="Q16" s="28" t="n">
        <f aca="false">P16-1</f>
        <v>-0.108519785094505</v>
      </c>
      <c r="R16" s="28" t="n">
        <f aca="false">$S$13+$S$14*J16+$S$15*J16*J16+$S$16*J16*J16*J16+$S$17*J16*J16*J16*J16</f>
        <v>-0.0956732816140661</v>
      </c>
      <c r="S16" s="29" t="n">
        <v>-89587811629523400</v>
      </c>
      <c r="T16" s="28" t="n">
        <f aca="false">Q16-R16</f>
        <v>-0.0128465034804387</v>
      </c>
      <c r="U16" s="28" t="n">
        <f aca="false">T16*T16</f>
        <v>0.000165032651672924</v>
      </c>
      <c r="V16" s="30" t="n">
        <f aca="false">N16/O16</f>
        <v>0.824034295821522</v>
      </c>
      <c r="W16" s="30" t="n">
        <f aca="false">V16-1</f>
        <v>-0.175965704178478</v>
      </c>
      <c r="X16" s="30" t="n">
        <f aca="false">$Y$13+$Y$14*J16+$Y$15*J16*J16+$Y$16*J16*J16*J16+$Y$17*J16*J16*J16*J16</f>
        <v>-0.162768052452075</v>
      </c>
      <c r="Y16" s="29" t="n">
        <v>-1.76914513685097E+017</v>
      </c>
      <c r="Z16" s="26" t="n">
        <f aca="false">W16-X16</f>
        <v>-0.0131976517264029</v>
      </c>
      <c r="AA16" s="26" t="n">
        <f aca="false">Z16*Z16</f>
        <v>0.000174178011091427</v>
      </c>
      <c r="AB16" s="31" t="n">
        <f aca="false">EXP(W16+$Y$14*J16+$Y$15*J16*J16/2+$Y$16*J16*J16*J16/3+$Y$17*J16*J16*J16*J16/4)</f>
        <v>0.703586958835044</v>
      </c>
      <c r="AC16" s="31" t="n">
        <f aca="false">EXP(Q16+$S$14*J16+$S$15*J16*J16/2+$S$16*J16*J16*J16/3+$S$17*J16*J16*J16*J16/4)</f>
        <v>0.808971786081832</v>
      </c>
      <c r="AD16" s="32" t="n">
        <f aca="false">EXP(2*$AN$15*J16 + 1.5*$AN$20*J16*J16)</f>
        <v>0.825640476940856</v>
      </c>
      <c r="AE16" s="32" t="n">
        <f aca="false">AB16</f>
        <v>0.703586958835044</v>
      </c>
      <c r="AF16" s="33" t="n">
        <f aca="false">AC16</f>
        <v>0.808971786081832</v>
      </c>
      <c r="AG16" s="33" t="n">
        <f aca="false">AD16</f>
        <v>0.825640476940856</v>
      </c>
      <c r="AI16" s="1" t="n">
        <v>0.3</v>
      </c>
      <c r="AJ16" s="50" t="n">
        <v>-6.75E-007</v>
      </c>
      <c r="AK16" s="50" t="n">
        <f aca="false">AJ16*AK5</f>
        <v>-0.018495</v>
      </c>
      <c r="AL16" s="50" t="n">
        <f aca="false">AK16*AK5</f>
        <v>-506.763</v>
      </c>
      <c r="AM16" s="50" t="n">
        <f aca="false">AL16*1000</f>
        <v>-506763</v>
      </c>
      <c r="AN16" s="50" t="n">
        <f aca="false">(AM16-$B$5*AK5)*$B$9/1000</f>
        <v>-525348.6118</v>
      </c>
    </row>
    <row r="17" customFormat="false" ht="15.75" hidden="false" customHeight="true" outlineLevel="0" collapsed="false">
      <c r="D17" s="7"/>
      <c r="E17" s="21" t="n">
        <f aca="false">E16</f>
        <v>0.001</v>
      </c>
      <c r="F17" s="21" t="n">
        <f aca="false">0.00000000000001/E17</f>
        <v>1E-011</v>
      </c>
      <c r="G17" s="22" t="n">
        <v>7.231</v>
      </c>
      <c r="H17" s="23" t="n">
        <f aca="false">G17/$AK$4</f>
        <v>0.000269813432835821</v>
      </c>
      <c r="I17" s="24" t="n">
        <f aca="false">H17*1000000</f>
        <v>269.813432835821</v>
      </c>
      <c r="J17" s="25" t="n">
        <f aca="false">H17/($B$9*(1-H17*$AK$4*$B$5/1000) - K17*($B$11+$B$11+$B$12) - E17*$B$13 - F17*$B$14 - 0.5*E17*$B$12)</f>
        <v>2.74503582699862E-007</v>
      </c>
      <c r="K17" s="22" t="n">
        <f aca="false">0.15/3</f>
        <v>0.05</v>
      </c>
      <c r="L17" s="25" t="n">
        <f aca="false">(3*K17)/($B$9*(1-H17*$AK$4*$B$5/1000) - K17*(2*$B$11+$B$12) - E17*$B$13 - F17*$B$14 - 0.5*E17*$B$12)</f>
        <v>0.000152607440527375</v>
      </c>
      <c r="M17" s="26" t="n">
        <v>59.95</v>
      </c>
      <c r="N17" s="26" t="n">
        <f aca="false">M17*9.80665</f>
        <v>587.9086675</v>
      </c>
      <c r="O17" s="27" t="n">
        <f aca="false">$B$1*$B$2*$B$9*1000*(J17+0.25*$AJ$25*$AJ$25*J17*J17/L17)</f>
        <v>739.958992643041</v>
      </c>
      <c r="P17" s="28" t="n">
        <f aca="false">N17/(H17*$B$1*$B$2*1000)</f>
        <v>0.878976566129986</v>
      </c>
      <c r="Q17" s="28" t="n">
        <f aca="false">P17-1</f>
        <v>-0.121023433870014</v>
      </c>
      <c r="R17" s="28" t="n">
        <f aca="false">$S$13+$S$14*J17+$S$15*J17*J17+$S$16*J17*J17*J17+$S$17*J17*J17*J17*J17</f>
        <v>-0.121111369811824</v>
      </c>
      <c r="S17" s="29" t="n">
        <v>0</v>
      </c>
      <c r="T17" s="28" t="n">
        <f aca="false">Q17-R17</f>
        <v>8.7935941809919E-005</v>
      </c>
      <c r="U17" s="28" t="n">
        <f aca="false">T17*T17</f>
        <v>7.73272986199747E-009</v>
      </c>
      <c r="V17" s="30" t="n">
        <f aca="false">N17/O17</f>
        <v>0.794515200633029</v>
      </c>
      <c r="W17" s="30" t="n">
        <f aca="false">V17-1</f>
        <v>-0.205484799366971</v>
      </c>
      <c r="X17" s="30" t="n">
        <f aca="false">$Y$13+$Y$14*J17+$Y$15*J17*J17+$Y$16*J17*J17*J17+$Y$17*J17*J17*J17*J17</f>
        <v>-0.206532169744269</v>
      </c>
      <c r="Y17" s="29" t="n">
        <v>0</v>
      </c>
      <c r="Z17" s="26" t="n">
        <f aca="false">W17-X17</f>
        <v>0.00104737037729841</v>
      </c>
      <c r="AA17" s="26" t="n">
        <f aca="false">Z17*Z17</f>
        <v>1.09698470724221E-006</v>
      </c>
      <c r="AB17" s="31" t="n">
        <f aca="false">EXP(W17+$Y$14*J17+$Y$15*J17*J17/2+$Y$16*J17*J17*J17/3+$Y$17*J17*J17*J17*J17/4)</f>
        <v>0.647732670378426</v>
      </c>
      <c r="AC17" s="31" t="n">
        <f aca="false">EXP(Q17+$S$14*J17+$S$15*J17*J17/2+$S$16*J17*J17*J17/3+$S$17*J17*J17*J17*J17/4)</f>
        <v>0.774353483488424</v>
      </c>
      <c r="AD17" s="32" t="n">
        <f aca="false">EXP(2*$AN$15*J17 + 1.5*$AN$20*J17*J17)</f>
        <v>0.776505674929043</v>
      </c>
      <c r="AE17" s="32" t="n">
        <f aca="false">AB17</f>
        <v>0.647732670378426</v>
      </c>
      <c r="AF17" s="33" t="n">
        <f aca="false">AC17</f>
        <v>0.774353483488424</v>
      </c>
      <c r="AG17" s="33" t="n">
        <f aca="false">AD17</f>
        <v>0.776505674929043</v>
      </c>
      <c r="AJ17" s="50"/>
      <c r="AK17" s="50"/>
      <c r="AL17" s="50"/>
      <c r="AM17" s="50"/>
      <c r="AN17" s="50"/>
    </row>
    <row r="18" customFormat="false" ht="15.75" hidden="false" customHeight="true" outlineLevel="0" collapsed="false">
      <c r="D18" s="7"/>
      <c r="E18" s="21" t="n">
        <f aca="false">E17</f>
        <v>0.001</v>
      </c>
      <c r="F18" s="21" t="n">
        <f aca="false">0.00000000000001/E18</f>
        <v>1E-011</v>
      </c>
      <c r="G18" s="22" t="n">
        <v>9.039</v>
      </c>
      <c r="H18" s="23" t="n">
        <f aca="false">G18/$AK$4</f>
        <v>0.000337276119402985</v>
      </c>
      <c r="I18" s="24" t="n">
        <f aca="false">H18*1000000</f>
        <v>337.276119402985</v>
      </c>
      <c r="J18" s="25" t="n">
        <f aca="false">H18/($B$9*(1-H18*$AK$4*$B$5/1000) - K18*($B$11+$B$11+$B$12) - E18*$B$13 - F18*$B$14 - 0.5*E18*$B$12)</f>
        <v>3.43602749381013E-007</v>
      </c>
      <c r="K18" s="22" t="n">
        <f aca="false">0.15/3</f>
        <v>0.05</v>
      </c>
      <c r="L18" s="25" t="n">
        <f aca="false">(3*K18)/($B$9*(1-H18*$AK$4*$B$5/1000) - K18*(2*$B$11+$B$12) - E18*$B$13 - F18*$B$14 - 0.5*E18*$B$12)</f>
        <v>0.000152813702014788</v>
      </c>
      <c r="M18" s="26" t="n">
        <v>73.45</v>
      </c>
      <c r="N18" s="26" t="n">
        <f aca="false">M18*9.80665</f>
        <v>720.2984425</v>
      </c>
      <c r="O18" s="27" t="n">
        <f aca="false">$B$1*$B$2*$B$9*1000*(J18+0.25*$AJ$25*$AJ$25*J18*J18/L18)</f>
        <v>945.478009899144</v>
      </c>
      <c r="P18" s="28" t="n">
        <f aca="false">N18/(H18*$B$1*$B$2*1000)</f>
        <v>0.86150516315027</v>
      </c>
      <c r="Q18" s="28" t="n">
        <f aca="false">P18-1</f>
        <v>-0.13849483684973</v>
      </c>
      <c r="R18" s="28" t="n">
        <f aca="false">$S$13+$S$14*J18+$S$15*J18*J18+$S$16*J18*J18*J18+$S$17*J18*J18*J18*J18</f>
        <v>-0.143568865287874</v>
      </c>
      <c r="S18" s="34" t="n">
        <f aca="false">SUM(U13:U21)</f>
        <v>0.000755801278207821</v>
      </c>
      <c r="T18" s="28" t="n">
        <f aca="false">Q18-R18</f>
        <v>0.00507402843814397</v>
      </c>
      <c r="U18" s="28" t="n">
        <f aca="false">T18*T18</f>
        <v>2.57457645910938E-005</v>
      </c>
      <c r="V18" s="30" t="n">
        <f aca="false">N18/O18</f>
        <v>0.761835214524805</v>
      </c>
      <c r="W18" s="30" t="n">
        <f aca="false">V18-1</f>
        <v>-0.238164785475195</v>
      </c>
      <c r="X18" s="30" t="n">
        <f aca="false">$Y$13+$Y$14*J18+$Y$15*J18*J18+$Y$16*J18*J18*J18+$Y$17*J18*J18*J18*J18</f>
        <v>-0.245552305125419</v>
      </c>
      <c r="Y18" s="34" t="n">
        <f aca="false">SUM(AA13:AA21)</f>
        <v>0.000522669609646659</v>
      </c>
      <c r="Z18" s="26" t="n">
        <f aca="false">W18-X18</f>
        <v>0.00738751965022413</v>
      </c>
      <c r="AA18" s="26" t="n">
        <f aca="false">Z18*Z18</f>
        <v>5.45754465824477E-005</v>
      </c>
      <c r="AB18" s="31" t="n">
        <f aca="false">EXP(W18+$Y$14*J18+$Y$15*J18*J18/2+$Y$16*J18*J18*J18/3+$Y$17*J18*J18*J18*J18/4)</f>
        <v>0.595929712246956</v>
      </c>
      <c r="AC18" s="31" t="n">
        <f aca="false">EXP(Q18+$S$14*J18+$S$15*J18*J18/2+$S$16*J18*J18*J18/3+$S$17*J18*J18*J18*J18/4)</f>
        <v>0.738693199517853</v>
      </c>
      <c r="AD18" s="32" t="n">
        <f aca="false">EXP(2*$AN$15*J18 + 1.5*$AN$20*J18*J18)</f>
        <v>0.73122972467999</v>
      </c>
      <c r="AE18" s="32" t="n">
        <f aca="false">AB18</f>
        <v>0.595929712246956</v>
      </c>
      <c r="AF18" s="33" t="n">
        <f aca="false">AC18</f>
        <v>0.738693199517853</v>
      </c>
      <c r="AG18" s="33" t="n">
        <f aca="false">AD18</f>
        <v>0.73122972467999</v>
      </c>
      <c r="AI18" s="1" t="s">
        <v>2</v>
      </c>
      <c r="AJ18" s="50" t="s">
        <v>53</v>
      </c>
      <c r="AK18" s="50" t="s">
        <v>54</v>
      </c>
      <c r="AL18" s="50" t="s">
        <v>55</v>
      </c>
      <c r="AM18" s="1" t="s">
        <v>56</v>
      </c>
      <c r="AN18" s="1" t="s">
        <v>57</v>
      </c>
    </row>
    <row r="19" customFormat="false" ht="15.75" hidden="false" customHeight="true" outlineLevel="0" collapsed="false">
      <c r="D19" s="7"/>
      <c r="E19" s="21" t="n">
        <f aca="false">E18</f>
        <v>0.001</v>
      </c>
      <c r="F19" s="21" t="n">
        <f aca="false">0.00000000000001/E19</f>
        <v>1E-011</v>
      </c>
      <c r="G19" s="22" t="n">
        <v>19.61</v>
      </c>
      <c r="H19" s="23" t="n">
        <f aca="false">G19/$AK$4</f>
        <v>0.000731716417910448</v>
      </c>
      <c r="I19" s="24" t="n">
        <f aca="false">H19*1000000</f>
        <v>731.716417910448</v>
      </c>
      <c r="J19" s="25" t="n">
        <f aca="false">H19/($B$9*(1-H19*$AK$4*$B$5/1000) - K19*($B$11+$B$11+$B$12) - E19*$B$13 - F19*$B$14 - 0.5*E19*$B$12)</f>
        <v>7.51379681794443E-007</v>
      </c>
      <c r="K19" s="22" t="n">
        <f aca="false">0.15/3</f>
        <v>0.05</v>
      </c>
      <c r="L19" s="25" t="n">
        <f aca="false">(3*K19)/($B$9*(1-H19*$AK$4*$B$5/1000) - K19*(2*$B$11+$B$12) - E19*$B$13 - F19*$B$14 - 0.5*E19*$B$12)</f>
        <v>0.000154030918960411</v>
      </c>
      <c r="M19" s="26" t="n">
        <v>143.8</v>
      </c>
      <c r="N19" s="26" t="n">
        <f aca="false">M19*9.80665</f>
        <v>1410.19627</v>
      </c>
      <c r="O19" s="27" t="n">
        <f aca="false">$B$1*$B$2*$B$9*1000*(J19+0.25*$AJ$25*$AJ$25*J19*J19/L19)</f>
        <v>2313.70884184721</v>
      </c>
      <c r="P19" s="28" t="n">
        <f aca="false">N19/(H19*$B$1*$B$2*1000)</f>
        <v>0.777441578031699</v>
      </c>
      <c r="Q19" s="28" t="n">
        <f aca="false">P19-1</f>
        <v>-0.222558421968301</v>
      </c>
      <c r="R19" s="28" t="n">
        <f aca="false">$S$13+$S$14*J19+$S$15*J19*J19+$S$16*J19*J19*J19+$S$17*J19*J19*J19*J19</f>
        <v>-0.223426818281619</v>
      </c>
      <c r="T19" s="28" t="n">
        <f aca="false">Q19-R19</f>
        <v>0.000868396313317726</v>
      </c>
      <c r="U19" s="28" t="n">
        <f aca="false">T19*T19</f>
        <v>7.54112156983819E-007</v>
      </c>
      <c r="V19" s="30" t="n">
        <f aca="false">N19/O19</f>
        <v>0.609495993832194</v>
      </c>
      <c r="W19" s="30" t="n">
        <f aca="false">V19-1</f>
        <v>-0.390504006167806</v>
      </c>
      <c r="X19" s="30" t="n">
        <f aca="false">$Y$13+$Y$14*J19+$Y$15*J19*J19+$Y$16*J19*J19*J19+$Y$17*J19*J19*J19*J19</f>
        <v>-0.395452755679208</v>
      </c>
      <c r="Z19" s="26" t="n">
        <f aca="false">W19-X19</f>
        <v>0.00494874951140178</v>
      </c>
      <c r="AA19" s="26" t="n">
        <f aca="false">Z19*Z19</f>
        <v>2.44901217265994E-005</v>
      </c>
      <c r="AB19" s="31" t="n">
        <f aca="false">EXP(W19+$Y$14*J19+$Y$15*J19*J19/2+$Y$16*J19*J19*J19/3+$Y$17*J19*J19*J19*J19/4)</f>
        <v>0.398126183994287</v>
      </c>
      <c r="AC19" s="31" t="n">
        <f aca="false">EXP(Q19+$S$14*J19+$S$15*J19*J19/2+$S$16*J19*J19*J19/3+$S$17*J19*J19*J19*J19/4)</f>
        <v>0.587580159777335</v>
      </c>
      <c r="AD19" s="32" t="n">
        <f aca="false">EXP(2*$AN$15*J19 + 1.5*$AN$20*J19*J19)</f>
        <v>0.528299655499909</v>
      </c>
      <c r="AE19" s="32" t="n">
        <f aca="false">AB19</f>
        <v>0.398126183994287</v>
      </c>
      <c r="AF19" s="33" t="n">
        <f aca="false">AC19</f>
        <v>0.587580159777335</v>
      </c>
      <c r="AG19" s="33" t="n">
        <f aca="false">AD19</f>
        <v>0.528299655499909</v>
      </c>
      <c r="AI19" s="1" t="n">
        <v>0.05</v>
      </c>
      <c r="AJ19" s="50" t="n">
        <v>4.7E-010</v>
      </c>
      <c r="AK19" s="50" t="n">
        <f aca="false">AJ19*AK3</f>
        <v>1.3254E-005</v>
      </c>
      <c r="AL19" s="50" t="n">
        <f aca="false">AK19*AK3*AK3</f>
        <v>10540.11096</v>
      </c>
      <c r="AM19" s="50" t="n">
        <f aca="false">AL19*1000000</f>
        <v>10540110960</v>
      </c>
      <c r="AN19" s="50" t="n">
        <f aca="false">$B$9*$B$9*(AM19 - 2*AM14*$B$5*AK3 + (AK3*$B$5)^2)/1000/1000</f>
        <v>10150464535.5006</v>
      </c>
    </row>
    <row r="20" customFormat="false" ht="15.75" hidden="false" customHeight="true" outlineLevel="0" collapsed="false">
      <c r="D20" s="7"/>
      <c r="E20" s="21" t="n">
        <f aca="false">E19</f>
        <v>0.001</v>
      </c>
      <c r="F20" s="21" t="n">
        <f aca="false">0.00000000000001/E20</f>
        <v>1E-011</v>
      </c>
      <c r="G20" s="22" t="n">
        <v>29.41</v>
      </c>
      <c r="H20" s="23" t="n">
        <f aca="false">G20/$AK$4</f>
        <v>0.00109738805970149</v>
      </c>
      <c r="I20" s="24" t="n">
        <f aca="false">H20*1000000</f>
        <v>1097.38805970149</v>
      </c>
      <c r="J20" s="25" t="n">
        <f aca="false">H20/($B$9*(1-H20*$AK$4*$B$5/1000) - K20*($B$11+$B$11+$B$12) - E20*$B$13 - F20*$B$14 - 0.5*E20*$B$12)</f>
        <v>1.1352611738654E-006</v>
      </c>
      <c r="K20" s="22" t="n">
        <f aca="false">0.15/3</f>
        <v>0.05</v>
      </c>
      <c r="L20" s="25" t="n">
        <f aca="false">(3*K20)/($B$9*(1-H20*$AK$4*$B$5/1000) - K20*(2*$B$11+$B$12) - E20*$B$13 - F20*$B$14 - 0.5*E20*$B$12)</f>
        <v>0.000155176807852394</v>
      </c>
      <c r="M20" s="26" t="n">
        <v>210.7</v>
      </c>
      <c r="N20" s="26" t="n">
        <f aca="false">M20*9.80665</f>
        <v>2066.261155</v>
      </c>
      <c r="O20" s="27" t="n">
        <f aca="false">$B$1*$B$2*$B$9*1000*(J20+0.25*$AJ$25*$AJ$25*J20*J20/L20)</f>
        <v>3840.59512201682</v>
      </c>
      <c r="P20" s="28" t="n">
        <f aca="false">N20/(H20*$B$1*$B$2*1000)</f>
        <v>0.759549324719951</v>
      </c>
      <c r="Q20" s="28" t="n">
        <f aca="false">P20-1</f>
        <v>-0.240450675280049</v>
      </c>
      <c r="R20" s="28" t="n">
        <f aca="false">$S$13+$S$14*J20+$S$15*J20*J20+$S$16*J20*J20*J20+$S$17*J20*J20*J20*J20</f>
        <v>-0.23972507019711</v>
      </c>
      <c r="T20" s="28" t="n">
        <f aca="false">Q20-R20</f>
        <v>-0.000725605082938952</v>
      </c>
      <c r="U20" s="28" t="n">
        <f aca="false">T20*T20</f>
        <v>5.26502736386843E-007</v>
      </c>
      <c r="V20" s="30" t="n">
        <f aca="false">N20/O20</f>
        <v>0.538005462527104</v>
      </c>
      <c r="W20" s="30" t="n">
        <f aca="false">V20-1</f>
        <v>-0.461994537472896</v>
      </c>
      <c r="X20" s="30" t="n">
        <f aca="false">$Y$13+$Y$14*J20+$Y$15*J20*J20+$Y$16*J20*J20*J20+$Y$17*J20*J20*J20*J20</f>
        <v>-0.457244097236436</v>
      </c>
      <c r="Z20" s="26" t="n">
        <f aca="false">W20-X20</f>
        <v>-0.00475044023646043</v>
      </c>
      <c r="AA20" s="26" t="n">
        <f aca="false">Z20*Z20</f>
        <v>2.25666824401822E-005</v>
      </c>
      <c r="AB20" s="31" t="n">
        <f aca="false">EXP(W20+$Y$14*J20+$Y$15*J20*J20/2+$Y$16*J20*J20*J20/3+$Y$17*J20*J20*J20*J20/4)</f>
        <v>0.310635607910356</v>
      </c>
      <c r="AC20" s="31" t="n">
        <f aca="false">EXP(Q20+$S$14*J20+$S$15*J20*J20/2+$S$16*J20*J20*J20/3+$S$17*J20*J20*J20*J20/4)</f>
        <v>0.523930849939914</v>
      </c>
      <c r="AD20" s="32" t="n">
        <f aca="false">EXP(2*$AN$15*J20 + 1.5*$AN$20*J20*J20)</f>
        <v>0.407360198475069</v>
      </c>
      <c r="AE20" s="32" t="n">
        <f aca="false">AB20</f>
        <v>0.310635607910356</v>
      </c>
      <c r="AF20" s="33" t="n">
        <f aca="false">AC20</f>
        <v>0.523930849939914</v>
      </c>
      <c r="AG20" s="33" t="n">
        <f aca="false">AD20</f>
        <v>0.407360198475069</v>
      </c>
      <c r="AI20" s="1" t="n">
        <v>0.15</v>
      </c>
      <c r="AJ20" s="50" t="n">
        <v>4.31E-009</v>
      </c>
      <c r="AK20" s="50" t="n">
        <f aca="false">AJ20*AK4</f>
        <v>0.000115508</v>
      </c>
      <c r="AL20" s="50" t="n">
        <f aca="false">AK20*AK4*AK4</f>
        <v>82962.46592</v>
      </c>
      <c r="AM20" s="50" t="n">
        <f aca="false">AL20*1000000</f>
        <v>82962465920</v>
      </c>
      <c r="AN20" s="50" t="n">
        <f aca="false">$B$9*$B$9*(AM20 - 2*AM15*$B$5*AK4 + (AK4*$B$5)^2)/1000/1000</f>
        <v>101018296485.168</v>
      </c>
    </row>
    <row r="21" customFormat="false" ht="15.75" hidden="false" customHeight="true" outlineLevel="0" collapsed="false">
      <c r="D21" s="7"/>
      <c r="E21" s="35" t="n">
        <f aca="false">E20</f>
        <v>0.001</v>
      </c>
      <c r="F21" s="35" t="n">
        <f aca="false">0.00000000000001/E21</f>
        <v>1E-011</v>
      </c>
      <c r="G21" s="36" t="n">
        <v>39.22</v>
      </c>
      <c r="H21" s="37" t="n">
        <f aca="false">G21/$AK$4</f>
        <v>0.0014634328358209</v>
      </c>
      <c r="I21" s="38" t="n">
        <f aca="false">H21*1000000</f>
        <v>1463.4328358209</v>
      </c>
      <c r="J21" s="39" t="n">
        <f aca="false">H21/($B$9*(1-H21*$AK$4*$B$5/1000) - K21*($B$11+$B$11+$B$12) - E21*$B$13 - F21*$B$14 - 0.5*E21*$B$12)</f>
        <v>1.52529769853312E-006</v>
      </c>
      <c r="K21" s="36" t="n">
        <f aca="false">0.15/3</f>
        <v>0.05</v>
      </c>
      <c r="L21" s="39" t="n">
        <f aca="false">(3*K21)/($B$9*(1-H21*$AK$4*$B$5/1000) - K21*(2*$B$11+$B$12) - E21*$B$13 - F21*$B$14 - 0.5*E21*$B$12)</f>
        <v>0.000156341069558979</v>
      </c>
      <c r="M21" s="40" t="n">
        <v>285</v>
      </c>
      <c r="N21" s="40" t="n">
        <f aca="false">M21*9.80665</f>
        <v>2794.89525</v>
      </c>
      <c r="O21" s="41" t="n">
        <f aca="false">$B$1*$B$2*$B$9*1000*(J21+0.25*$AJ$25*$AJ$25*J21*J21/L21)</f>
        <v>5623.83507069812</v>
      </c>
      <c r="P21" s="42" t="n">
        <f aca="false">N21/(H21*$B$1*$B$2*1000)</f>
        <v>0.770413246658672</v>
      </c>
      <c r="Q21" s="42" t="n">
        <f aca="false">P21-1</f>
        <v>-0.229586753341328</v>
      </c>
      <c r="R21" s="42" t="n">
        <f aca="false">$S$13+$S$14*J21+$S$15*J21*J21+$S$16*J21*J21*J21+$S$17*J21*J21*J21*J21</f>
        <v>-0.229757263471569</v>
      </c>
      <c r="S21" s="43"/>
      <c r="T21" s="42" t="n">
        <f aca="false">Q21-R21</f>
        <v>0.000170510130240886</v>
      </c>
      <c r="U21" s="42" t="n">
        <f aca="false">T21*T21</f>
        <v>2.9073704514764E-008</v>
      </c>
      <c r="V21" s="44" t="n">
        <f aca="false">N21/O21</f>
        <v>0.496973189089817</v>
      </c>
      <c r="W21" s="44" t="n">
        <f aca="false">V21-1</f>
        <v>-0.503026810910183</v>
      </c>
      <c r="X21" s="44" t="n">
        <f aca="false">$Y$13+$Y$14*J21+$Y$15*J21*J21+$Y$16*J21*J21*J21+$Y$17*J21*J21*J21*J21</f>
        <v>-0.504341141633877</v>
      </c>
      <c r="Y21" s="43"/>
      <c r="Z21" s="40" t="n">
        <f aca="false">W21-X21</f>
        <v>0.00131433072369402</v>
      </c>
      <c r="AA21" s="40" t="n">
        <f aca="false">Z21*Z21</f>
        <v>1.72746525124606E-006</v>
      </c>
      <c r="AB21" s="45" t="n">
        <f aca="false">EXP(W21+$Y$14*J21+$Y$15*J21*J21/2+$Y$16*J21*J21*J21/3+$Y$17*J21*J21*J21*J21/4)</f>
        <v>0.258865395030241</v>
      </c>
      <c r="AC21" s="45" t="n">
        <f aca="false">EXP(Q21+$S$14*J21+$S$15*J21*J21/2+$S$16*J21*J21*J21/3+$S$17*J21*J21*J21*J21/4)</f>
        <v>0.494008710350596</v>
      </c>
      <c r="AD21" s="46" t="n">
        <f aca="false">EXP(2*$AN$15*J21 + 1.5*$AN$20*J21*J21)</f>
        <v>0.327439484217533</v>
      </c>
      <c r="AE21" s="46" t="n">
        <f aca="false">AB21</f>
        <v>0.258865395030241</v>
      </c>
      <c r="AF21" s="47" t="n">
        <f aca="false">AC21</f>
        <v>0.494008710350596</v>
      </c>
      <c r="AG21" s="47" t="n">
        <f aca="false">AD21</f>
        <v>0.327439484217533</v>
      </c>
      <c r="AI21" s="1" t="n">
        <v>0.3</v>
      </c>
      <c r="AJ21" s="50" t="n">
        <v>7.82E-009</v>
      </c>
      <c r="AK21" s="50" t="n">
        <f aca="false">AJ21*AK5</f>
        <v>0.000214268</v>
      </c>
      <c r="AL21" s="50" t="n">
        <f aca="false">AK21*AK5*AK5</f>
        <v>160863.84368</v>
      </c>
      <c r="AM21" s="50" t="n">
        <f aca="false">AL21*1000000</f>
        <v>160863843680</v>
      </c>
      <c r="AN21" s="50" t="n">
        <f aca="false">$B$9*$B$9*(AM21 - 2*AM16*$B$5*AK5 + (AK5*$B$5)^2)/1000/1000</f>
        <v>180621075294.071</v>
      </c>
    </row>
    <row r="22" customFormat="false" ht="15.75" hidden="false" customHeight="true" outlineLevel="0" collapsed="false">
      <c r="D22" s="51" t="n">
        <v>3</v>
      </c>
      <c r="E22" s="8" t="n">
        <f aca="false">10^-D22</f>
        <v>0.001</v>
      </c>
      <c r="F22" s="8" t="n">
        <f aca="false">0.00000000000001/E22</f>
        <v>1E-011</v>
      </c>
      <c r="G22" s="9" t="n">
        <v>0.9</v>
      </c>
      <c r="H22" s="10" t="n">
        <f aca="false">G22/$AK$5</f>
        <v>3.28467153284672E-005</v>
      </c>
      <c r="I22" s="11" t="n">
        <f aca="false">H22*1000000</f>
        <v>32.8467153284672</v>
      </c>
      <c r="J22" s="12" t="n">
        <f aca="false">H22/($B$9*(1-H22*$AK$5*$B$5/1000) - K22*($B$11+$B$11+$B$12) - E22*$B$13 - F22*$B$14 - 0.5*E22*$B$12)</f>
        <v>3.35565410698475E-008</v>
      </c>
      <c r="K22" s="9" t="n">
        <f aca="false">0.3/3</f>
        <v>0.1</v>
      </c>
      <c r="L22" s="12" t="n">
        <f aca="false">(3*K22)/($B$9*(1-H22*$AK$5*$B$5/1000) - K22*(2*$B$11+$B$12) - E22*$B$13 - F22*$B$14 - 0.5*E22*$B$12)</f>
        <v>0.000306483075104607</v>
      </c>
      <c r="M22" s="13" t="n">
        <v>8.1</v>
      </c>
      <c r="N22" s="13" t="n">
        <f aca="false">M22*9.80665</f>
        <v>79.433865</v>
      </c>
      <c r="O22" s="14" t="n">
        <f aca="false">$B$1*$B$2*$B$9*1000*(J22+0.25*$AJ$25*$AJ$25*J22*J22/L22)</f>
        <v>83.3934181065584</v>
      </c>
      <c r="P22" s="15" t="n">
        <f aca="false">N22/(H22*$B$1*$B$2*1000)</f>
        <v>0.975539253452847</v>
      </c>
      <c r="Q22" s="15" t="n">
        <f aca="false">P22-1</f>
        <v>-0.0244607465471534</v>
      </c>
      <c r="R22" s="15" t="n">
        <f aca="false">$S$22+$S$23*J22+$S$24*J22*J22+$S$25*J22*J22*J22+$S$26*J22*J22*J22*J22</f>
        <v>-0.0197804574887445</v>
      </c>
      <c r="S22" s="16" t="n">
        <v>0</v>
      </c>
      <c r="T22" s="15" t="n">
        <f aca="false">Q22-R22</f>
        <v>-0.00468028905840885</v>
      </c>
      <c r="U22" s="15" t="n">
        <f aca="false">T22*T22</f>
        <v>2.19051056702616E-005</v>
      </c>
      <c r="V22" s="17" t="n">
        <f aca="false">N22/O22</f>
        <v>0.952519596912325</v>
      </c>
      <c r="W22" s="17" t="n">
        <f aca="false">V22-1</f>
        <v>-0.0474804030876748</v>
      </c>
      <c r="X22" s="17" t="n">
        <f aca="false">$Y$22+$Y$23*J22+$Y$24*J22*J22+$Y$25*J22*J22*J22+$Y$26*J22*J22*J22*J22</f>
        <v>-0.0305090269515586</v>
      </c>
      <c r="Y22" s="16" t="n">
        <v>0</v>
      </c>
      <c r="Z22" s="13" t="n">
        <f aca="false">W22-X22</f>
        <v>-0.0169713761361162</v>
      </c>
      <c r="AA22" s="13" t="n">
        <f aca="false">Z22*Z22</f>
        <v>0.000288027607953533</v>
      </c>
      <c r="AB22" s="18" t="n">
        <f aca="false">EXP(W22+$Y$23*J22+$Y$24*J22*J22/2+$Y$25*J22*J22*J22/3+$Y$26*J22*J22*J22*J22/4)</f>
        <v>0.924433523007706</v>
      </c>
      <c r="AC22" s="18" t="n">
        <f aca="false">EXP(Q22+$S$23*J22+$S$24*J22*J22/2+$S$25*J22*J22*J22/3+$S$26*J22*J22*J22*J22/4)</f>
        <v>0.95645681328237</v>
      </c>
      <c r="AD22" s="19" t="n">
        <f aca="false">EXP(2*$AN$16*J22 + 1.5*$AN$21*J22*J22)</f>
        <v>0.965651105625193</v>
      </c>
      <c r="AE22" s="19" t="n">
        <f aca="false">AB22</f>
        <v>0.924433523007706</v>
      </c>
      <c r="AF22" s="20" t="n">
        <f aca="false">AC22</f>
        <v>0.95645681328237</v>
      </c>
      <c r="AG22" s="20" t="n">
        <f aca="false">AD22</f>
        <v>0.965651105625193</v>
      </c>
      <c r="AJ22" s="50"/>
      <c r="AK22" s="50"/>
      <c r="AL22" s="50"/>
      <c r="AM22" s="50"/>
      <c r="AN22" s="50"/>
    </row>
    <row r="23" customFormat="false" ht="15.75" hidden="false" customHeight="true" outlineLevel="0" collapsed="false">
      <c r="D23" s="51"/>
      <c r="E23" s="21" t="n">
        <f aca="false">E22</f>
        <v>0.001</v>
      </c>
      <c r="F23" s="21" t="n">
        <f aca="false">0.00000000000001/E23</f>
        <v>1E-011</v>
      </c>
      <c r="G23" s="22" t="n">
        <v>1.79</v>
      </c>
      <c r="H23" s="23" t="n">
        <f aca="false">G23/$AK$5</f>
        <v>6.53284671532847E-005</v>
      </c>
      <c r="I23" s="24" t="n">
        <f aca="false">H23*1000000</f>
        <v>65.3284671532847</v>
      </c>
      <c r="J23" s="25" t="n">
        <f aca="false">H23/($B$9*(1-H23*$AK$5*$B$5/1000) - K23*($B$11+$B$11+$B$12) - E23*$B$13 - F23*$B$14 - 0.5*E23*$B$12)</f>
        <v>6.67847896930717E-008</v>
      </c>
      <c r="K23" s="22" t="n">
        <f aca="false">0.3/3</f>
        <v>0.1</v>
      </c>
      <c r="L23" s="25" t="n">
        <f aca="false">(3*K23)/($B$9*(1-H23*$AK$5*$B$5/1000) - K23*(2*$B$11+$B$12) - E23*$B$13 - F23*$B$14 - 0.5*E23*$B$12)</f>
        <v>0.000306687693450866</v>
      </c>
      <c r="M23" s="26" t="n">
        <v>16.05</v>
      </c>
      <c r="N23" s="26" t="n">
        <f aca="false">M23*9.80665</f>
        <v>157.3967325</v>
      </c>
      <c r="O23" s="27" t="n">
        <f aca="false">$B$1*$B$2*$B$9*1000*(J23+0.25*$AJ$25*$AJ$25*J23*J23/L23)</f>
        <v>166.871876561316</v>
      </c>
      <c r="P23" s="28" t="n">
        <f aca="false">N23/(H23*$B$1*$B$2*1000)</f>
        <v>0.971905960143897</v>
      </c>
      <c r="Q23" s="28" t="n">
        <f aca="false">P23-1</f>
        <v>-0.0280940398561027</v>
      </c>
      <c r="R23" s="28" t="n">
        <f aca="false">$S$22+$S$23*J23+$S$24*J23*J23+$S$25*J23*J23*J23+$S$26*J23*J23*J23*J23</f>
        <v>-0.0382761932918434</v>
      </c>
      <c r="S23" s="29" t="n">
        <v>-606079.464719088</v>
      </c>
      <c r="T23" s="28" t="n">
        <f aca="false">Q23-R23</f>
        <v>0.0101821534357407</v>
      </c>
      <c r="U23" s="28" t="n">
        <f aca="false">T23*T23</f>
        <v>0.000103676248588966</v>
      </c>
      <c r="V23" s="30" t="n">
        <f aca="false">N23/O23</f>
        <v>0.943219047711528</v>
      </c>
      <c r="W23" s="30" t="n">
        <f aca="false">V23-1</f>
        <v>-0.0567809522884725</v>
      </c>
      <c r="X23" s="30" t="n">
        <f aca="false">$Y$22+$Y$23*J23+$Y$24*J23*J23+$Y$25*J23*J23*J23+$Y$26*J23*J23*J23*J23</f>
        <v>-0.0584838057651823</v>
      </c>
      <c r="Y23" s="29" t="n">
        <v>-944243.620193396</v>
      </c>
      <c r="Z23" s="26" t="n">
        <f aca="false">W23-X23</f>
        <v>0.00170285347670981</v>
      </c>
      <c r="AA23" s="26" t="n">
        <f aca="false">Z23*Z23</f>
        <v>2.89970996314268E-006</v>
      </c>
      <c r="AB23" s="31" t="n">
        <f aca="false">EXP(W23+$Y$23*J23+$Y$24*J23*J23/2+$Y$25*J23*J23*J23/3+$Y$26*J23*J23*J23*J23/4)</f>
        <v>0.889117701546927</v>
      </c>
      <c r="AC23" s="31" t="n">
        <f aca="false">EXP(Q23+$S$23*J23+$S$24*J23*J23/2+$S$25*J23*J23*J23/3+$S$26*J23*J23*J23*J23/4)</f>
        <v>0.934757546626571</v>
      </c>
      <c r="AD23" s="32" t="n">
        <f aca="false">EXP(2*$AN$16*J23 + 1.5*$AN$21*J23*J23)</f>
        <v>0.933361977550388</v>
      </c>
      <c r="AE23" s="32" t="n">
        <f aca="false">AB23</f>
        <v>0.889117701546927</v>
      </c>
      <c r="AF23" s="33" t="n">
        <f aca="false">AC23</f>
        <v>0.934757546626571</v>
      </c>
      <c r="AG23" s="33" t="n">
        <f aca="false">AD23</f>
        <v>0.933361977550388</v>
      </c>
    </row>
    <row r="24" customFormat="false" ht="15.75" hidden="false" customHeight="true" outlineLevel="0" collapsed="false">
      <c r="D24" s="51"/>
      <c r="E24" s="21" t="n">
        <f aca="false">E23</f>
        <v>0.001</v>
      </c>
      <c r="F24" s="21" t="n">
        <f aca="false">0.00000000000001/E24</f>
        <v>1E-011</v>
      </c>
      <c r="G24" s="22" t="n">
        <v>3.584</v>
      </c>
      <c r="H24" s="23" t="n">
        <f aca="false">G24/$AK$5</f>
        <v>0.000130802919708029</v>
      </c>
      <c r="I24" s="24" t="n">
        <f aca="false">H24*1000000</f>
        <v>130.802919708029</v>
      </c>
      <c r="J24" s="25" t="n">
        <f aca="false">H24/($B$9*(1-H24*$AK$5*$B$5/1000) - K24*($B$11+$B$11+$B$12) - E24*$B$13 - F24*$B$14 - 0.5*E24*$B$12)</f>
        <v>1.33899016279021E-007</v>
      </c>
      <c r="K24" s="22" t="n">
        <f aca="false">0.3/3</f>
        <v>0.1</v>
      </c>
      <c r="L24" s="25" t="n">
        <f aca="false">(3*K24)/($B$9*(1-H24*$AK$5*$B$5/1000) - K24*(2*$B$11+$B$12) - E24*$B$13 - F24*$B$14 - 0.5*E24*$B$12)</f>
        <v>0.000307100980416728</v>
      </c>
      <c r="M24" s="26" t="n">
        <v>31.35</v>
      </c>
      <c r="N24" s="26" t="n">
        <f aca="false">M24*9.80665</f>
        <v>307.4384775</v>
      </c>
      <c r="O24" s="27" t="n">
        <f aca="false">$B$1*$B$2*$B$9*1000*(J24+0.25*$AJ$25*$AJ$25*J24*J24/L24)</f>
        <v>338.207801851742</v>
      </c>
      <c r="P24" s="28" t="n">
        <f aca="false">N24/(H24*$B$1*$B$2*1000)</f>
        <v>0.948138504332426</v>
      </c>
      <c r="Q24" s="28" t="n">
        <f aca="false">P24-1</f>
        <v>-0.0518614956675737</v>
      </c>
      <c r="R24" s="28" t="n">
        <f aca="false">$S$22+$S$23*J24+$S$24*J24*J24+$S$25*J24*J24*J24+$S$26*J24*J24*J24*J24</f>
        <v>-0.0723741456688614</v>
      </c>
      <c r="S24" s="29" t="n">
        <v>496633546405.655</v>
      </c>
      <c r="T24" s="28" t="n">
        <f aca="false">Q24-R24</f>
        <v>0.0205126500012877</v>
      </c>
      <c r="U24" s="28" t="n">
        <f aca="false">T24*T24</f>
        <v>0.000420768810075329</v>
      </c>
      <c r="V24" s="30" t="n">
        <f aca="false">N24/O24</f>
        <v>0.909022428863926</v>
      </c>
      <c r="W24" s="30" t="n">
        <f aca="false">V24-1</f>
        <v>-0.0909775711360737</v>
      </c>
      <c r="X24" s="30" t="n">
        <f aca="false">$Y$22+$Y$23*J24+$Y$24*J24*J24+$Y$25*J24*J24*J24+$Y$26*J24*J24*J24*J24</f>
        <v>-0.108693335727042</v>
      </c>
      <c r="Y24" s="29" t="n">
        <v>1063833284011.99</v>
      </c>
      <c r="Z24" s="26" t="n">
        <f aca="false">W24-X24</f>
        <v>0.0177157645909678</v>
      </c>
      <c r="AA24" s="26" t="n">
        <f aca="false">Z24*Z24</f>
        <v>0.000313848315042587</v>
      </c>
      <c r="AB24" s="31" t="n">
        <f aca="false">EXP(W24+$Y$23*J24+$Y$24*J24*J24/2+$Y$25*J24*J24*J24/3+$Y$26*J24*J24*J24*J24/4)</f>
        <v>0.811945926864729</v>
      </c>
      <c r="AC24" s="31" t="n">
        <f aca="false">EXP(Q24+$S$23*J24+$S$24*J24*J24/2+$S$25*J24*J24*J24/3+$S$26*J24*J24*J24*J24/4)</f>
        <v>0.879322969193634</v>
      </c>
      <c r="AD24" s="32" t="n">
        <f aca="false">EXP(2*$AN$16*J24 + 1.5*$AN$21*J24*J24)</f>
        <v>0.872991197502762</v>
      </c>
      <c r="AE24" s="32" t="n">
        <f aca="false">AB24</f>
        <v>0.811945926864729</v>
      </c>
      <c r="AF24" s="33" t="n">
        <f aca="false">AC24</f>
        <v>0.879322969193634</v>
      </c>
      <c r="AG24" s="33" t="n">
        <f aca="false">AD24</f>
        <v>0.872991197502762</v>
      </c>
      <c r="AI24" s="1" t="s">
        <v>8</v>
      </c>
      <c r="AJ24" s="1" t="s">
        <v>58</v>
      </c>
    </row>
    <row r="25" customFormat="false" ht="15.75" hidden="false" customHeight="true" outlineLevel="0" collapsed="false">
      <c r="D25" s="51"/>
      <c r="E25" s="21" t="n">
        <f aca="false">E24</f>
        <v>0.001</v>
      </c>
      <c r="F25" s="21" t="n">
        <f aca="false">0.00000000000001/E25</f>
        <v>1E-011</v>
      </c>
      <c r="G25" s="22" t="n">
        <v>5.384</v>
      </c>
      <c r="H25" s="23" t="n">
        <f aca="false">G25/$AK$5</f>
        <v>0.000196496350364964</v>
      </c>
      <c r="I25" s="24" t="n">
        <f aca="false">H25*1000000</f>
        <v>196.496350364964</v>
      </c>
      <c r="J25" s="25" t="n">
        <f aca="false">H25/($B$9*(1-H25*$AK$5*$B$5/1000) - K25*($B$11+$B$11+$B$12) - E25*$B$13 - F25*$B$14 - 0.5*E25*$B$12)</f>
        <v>2.0141974366288E-007</v>
      </c>
      <c r="K25" s="22" t="n">
        <f aca="false">0.3/3</f>
        <v>0.1</v>
      </c>
      <c r="L25" s="25" t="n">
        <f aca="false">(3*K25)/($B$9*(1-H25*$AK$5*$B$5/1000) - K25*(2*$B$11+$B$12) - E25*$B$13 - F25*$B$14 - 0.5*E25*$B$12)</f>
        <v>0.000307516770599717</v>
      </c>
      <c r="M25" s="26" t="n">
        <v>44.6</v>
      </c>
      <c r="N25" s="26" t="n">
        <f aca="false">M25*9.80665</f>
        <v>437.37659</v>
      </c>
      <c r="O25" s="27" t="n">
        <f aca="false">$B$1*$B$2*$B$9*1000*(J25+0.25*$AJ$25*$AJ$25*J25*J25/L25)</f>
        <v>514.249713500771</v>
      </c>
      <c r="P25" s="28" t="n">
        <f aca="false">N25/(H25*$B$1*$B$2*1000)</f>
        <v>0.897908426283576</v>
      </c>
      <c r="Q25" s="28" t="n">
        <f aca="false">P25-1</f>
        <v>-0.102091573716424</v>
      </c>
      <c r="R25" s="28" t="n">
        <f aca="false">$S$22+$S$23*J25+$S$24*J25*J25+$S$25*J25*J25*J25+$S$26*J25*J25*J25*J25</f>
        <v>-0.10238306732853</v>
      </c>
      <c r="S25" s="29" t="n">
        <v>-44661123635996900</v>
      </c>
      <c r="T25" s="28" t="n">
        <f aca="false">Q25-R25</f>
        <v>0.000291493612105551</v>
      </c>
      <c r="U25" s="28" t="n">
        <f aca="false">T25*T25</f>
        <v>8.49685258983412E-008</v>
      </c>
      <c r="V25" s="30" t="n">
        <f aca="false">N25/O25</f>
        <v>0.850514017834925</v>
      </c>
      <c r="W25" s="30" t="n">
        <f aca="false">V25-1</f>
        <v>-0.149485982165075</v>
      </c>
      <c r="X25" s="30" t="n">
        <f aca="false">$Y$22+$Y$23*J25+$Y$24*J25*J25+$Y$25*J25*J25*J25+$Y$26*J25*J25*J25*J25</f>
        <v>-0.151509051702474</v>
      </c>
      <c r="Y25" s="29" t="n">
        <v>-5.69901914214799E+017</v>
      </c>
      <c r="Z25" s="26" t="n">
        <f aca="false">W25-X25</f>
        <v>0.00202306953739947</v>
      </c>
      <c r="AA25" s="26" t="n">
        <f aca="false">Z25*Z25</f>
        <v>4.09281035315372E-006</v>
      </c>
      <c r="AB25" s="31" t="n">
        <f aca="false">EXP(W25+$Y$23*J25+$Y$24*J25*J25/2+$Y$25*J25*J25*J25/3+$Y$26*J25*J25*J25*J25/4)</f>
        <v>0.726437082436047</v>
      </c>
      <c r="AC25" s="31" t="n">
        <f aca="false">EXP(Q25+$S$23*J25+$S$24*J25*J25/2+$S$25*J25*J25*J25/3+$S$26*J25*J25*J25*J25/4)</f>
        <v>0.807156310569366</v>
      </c>
      <c r="AD25" s="32" t="n">
        <f aca="false">EXP(2*$AN$16*J25 + 1.5*$AN$21*J25*J25)</f>
        <v>0.818207347505952</v>
      </c>
      <c r="AE25" s="32" t="n">
        <f aca="false">AB25</f>
        <v>0.726437082436047</v>
      </c>
      <c r="AF25" s="33" t="n">
        <f aca="false">AC25</f>
        <v>0.807156310569366</v>
      </c>
      <c r="AG25" s="33" t="n">
        <f aca="false">AD25</f>
        <v>0.818207347505952</v>
      </c>
      <c r="AI25" s="1" t="n">
        <v>3</v>
      </c>
      <c r="AJ25" s="52" t="n">
        <v>14.2</v>
      </c>
    </row>
    <row r="26" customFormat="false" ht="15.75" hidden="false" customHeight="true" outlineLevel="0" collapsed="false">
      <c r="D26" s="51"/>
      <c r="E26" s="21" t="n">
        <f aca="false">E25</f>
        <v>0.001</v>
      </c>
      <c r="F26" s="21" t="n">
        <f aca="false">0.00000000000001/E26</f>
        <v>1E-011</v>
      </c>
      <c r="G26" s="22" t="n">
        <v>7.187</v>
      </c>
      <c r="H26" s="23" t="n">
        <f aca="false">G26/$AK$5</f>
        <v>0.000262299270072993</v>
      </c>
      <c r="I26" s="24" t="n">
        <f aca="false">H26*1000000</f>
        <v>262.299270072993</v>
      </c>
      <c r="J26" s="25" t="n">
        <f aca="false">H26/($B$9*(1-H26*$AK$5*$B$5/1000) - K26*($B$11+$B$11+$B$12) - E26*$B$13 - F26*$B$14 - 0.5*E26*$B$12)</f>
        <v>2.69236547186285E-007</v>
      </c>
      <c r="K26" s="22" t="n">
        <f aca="false">0.3/3</f>
        <v>0.1</v>
      </c>
      <c r="L26" s="25" t="n">
        <f aca="false">(3*K26)/($B$9*(1-H26*$AK$5*$B$5/1000) - K26*(2*$B$11+$B$12) - E26*$B$13 - F26*$B$14 - 0.5*E26*$B$12)</f>
        <v>0.000307934384008802</v>
      </c>
      <c r="M26" s="26" t="n">
        <v>57.25</v>
      </c>
      <c r="N26" s="26" t="n">
        <f aca="false">M26*9.80665</f>
        <v>561.4307125</v>
      </c>
      <c r="O26" s="27" t="n">
        <f aca="false">$B$1*$B$2*$B$9*1000*(J26+0.25*$AJ$25*$AJ$25*J26*J26/L26)</f>
        <v>694.752110674128</v>
      </c>
      <c r="P26" s="28" t="n">
        <f aca="false">N26/(H26*$B$1*$B$2*1000)</f>
        <v>0.863435868159725</v>
      </c>
      <c r="Q26" s="28" t="n">
        <f aca="false">P26-1</f>
        <v>-0.136564131840276</v>
      </c>
      <c r="R26" s="28" t="n">
        <f aca="false">$S$22+$S$23*J26+$S$24*J26*J26+$S$25*J26*J26*J26+$S$26*J26*J26*J26*J26</f>
        <v>-0.128337962025383</v>
      </c>
      <c r="S26" s="29" t="n">
        <v>-5.47565191056532E+022</v>
      </c>
      <c r="T26" s="28" t="n">
        <f aca="false">Q26-R26</f>
        <v>-0.00822616981489299</v>
      </c>
      <c r="U26" s="28" t="n">
        <f aca="false">T26*T26</f>
        <v>6.76698698234566E-005</v>
      </c>
      <c r="V26" s="30" t="n">
        <f aca="false">N26/O26</f>
        <v>0.808102204907641</v>
      </c>
      <c r="W26" s="30" t="n">
        <f aca="false">V26-1</f>
        <v>-0.191897795092359</v>
      </c>
      <c r="X26" s="30" t="n">
        <f aca="false">$Y$22+$Y$23*J26+$Y$24*J26*J26+$Y$25*J26*J26*J26+$Y$26*J26*J26*J26*J26</f>
        <v>-0.187664812526195</v>
      </c>
      <c r="Y26" s="29" t="n">
        <v>1.07922912871062E+023</v>
      </c>
      <c r="Z26" s="26" t="n">
        <f aca="false">W26-X26</f>
        <v>-0.00423298256616456</v>
      </c>
      <c r="AA26" s="26" t="n">
        <f aca="false">Z26*Z26</f>
        <v>1.79181414054531E-005</v>
      </c>
      <c r="AB26" s="31" t="n">
        <f aca="false">EXP(W26+$Y$23*J26+$Y$24*J26*J26/2+$Y$25*J26*J26*J26/3+$Y$26*J26*J26*J26*J26/4)</f>
        <v>0.662900304605974</v>
      </c>
      <c r="AC26" s="31" t="n">
        <f aca="false">EXP(Q26+$S$23*J26+$S$24*J26*J26/2+$S$25*J26*J26*J26/3+$S$26*J26*J26*J26*J26/4)</f>
        <v>0.754194277084942</v>
      </c>
      <c r="AD26" s="32" t="n">
        <f aca="false">EXP(2*$AN$16*J26 + 1.5*$AN$21*J26*J26)</f>
        <v>0.76855226007706</v>
      </c>
      <c r="AE26" s="32" t="n">
        <f aca="false">AB26</f>
        <v>0.662900304605974</v>
      </c>
      <c r="AF26" s="33" t="n">
        <f aca="false">AC26</f>
        <v>0.754194277084942</v>
      </c>
      <c r="AG26" s="33" t="n">
        <f aca="false">AD26</f>
        <v>0.76855226007706</v>
      </c>
      <c r="AI26" s="1" t="n">
        <v>4</v>
      </c>
      <c r="AJ26" s="52" t="n">
        <v>10.2</v>
      </c>
    </row>
    <row r="27" customFormat="false" ht="15.75" hidden="false" customHeight="true" outlineLevel="0" collapsed="false">
      <c r="D27" s="51"/>
      <c r="E27" s="21" t="n">
        <f aca="false">E26</f>
        <v>0.001</v>
      </c>
      <c r="F27" s="21" t="n">
        <f aca="false">0.00000000000001/E27</f>
        <v>1E-011</v>
      </c>
      <c r="G27" s="22" t="n">
        <v>8.963</v>
      </c>
      <c r="H27" s="23" t="n">
        <f aca="false">G27/$AK$5</f>
        <v>0.000327116788321168</v>
      </c>
      <c r="I27" s="24" t="n">
        <f aca="false">H27*1000000</f>
        <v>327.116788321168</v>
      </c>
      <c r="J27" s="25" t="n">
        <f aca="false">H27/($B$9*(1-H27*$AK$5*$B$5/1000) - K27*($B$11+$B$11+$B$12) - E27*$B$13 - F27*$B$14 - 0.5*E27*$B$12)</f>
        <v>3.36218108594516E-007</v>
      </c>
      <c r="K27" s="22" t="n">
        <f aca="false">0.3/3</f>
        <v>0.1</v>
      </c>
      <c r="L27" s="25" t="n">
        <f aca="false">(3*K27)/($B$9*(1-H27*$AK$5*$B$5/1000) - K27*(2*$B$11+$B$12) - E27*$B$13 - F27*$B$14 - 0.5*E27*$B$12)</f>
        <v>0.000308346854027326</v>
      </c>
      <c r="M27" s="26" t="n">
        <v>69.15</v>
      </c>
      <c r="N27" s="26" t="n">
        <f aca="false">M27*9.80665</f>
        <v>678.1298475</v>
      </c>
      <c r="O27" s="27" t="n">
        <f aca="false">$B$1*$B$2*$B$9*1000*(J27+0.25*$AJ$25*$AJ$25*J27*J27/L27)</f>
        <v>876.645356595168</v>
      </c>
      <c r="P27" s="28" t="n">
        <f aca="false">N27/(H27*$B$1*$B$2*1000)</f>
        <v>0.836259429212247</v>
      </c>
      <c r="Q27" s="28" t="n">
        <f aca="false">P27-1</f>
        <v>-0.163740570787753</v>
      </c>
      <c r="R27" s="28" t="n">
        <f aca="false">$S$22+$S$23*J27+$S$24*J27*J27+$S$25*J27*J27*J27+$S$26*J27*J27*J27*J27</f>
        <v>-0.150031283402984</v>
      </c>
      <c r="S27" s="34" t="n">
        <f aca="false">SUM(U22:U30)</f>
        <v>0.000904423551045866</v>
      </c>
      <c r="T27" s="28" t="n">
        <f aca="false">Q27-R27</f>
        <v>-0.0137092873847686</v>
      </c>
      <c r="U27" s="28" t="n">
        <f aca="false">T27*T27</f>
        <v>0.000187944560598175</v>
      </c>
      <c r="V27" s="30" t="n">
        <f aca="false">N27/O27</f>
        <v>0.773550948965053</v>
      </c>
      <c r="W27" s="30" t="n">
        <f aca="false">V27-1</f>
        <v>-0.226449051034947</v>
      </c>
      <c r="X27" s="30" t="n">
        <f aca="false">$Y$22+$Y$23*J27+$Y$24*J27*J27+$Y$25*J27*J27*J27+$Y$26*J27*J27*J27*J27</f>
        <v>-0.217494446376654</v>
      </c>
      <c r="Y27" s="34" t="n">
        <f aca="false">SUM(AA22:AA30)</f>
        <v>0.000732439825172606</v>
      </c>
      <c r="Z27" s="26" t="n">
        <f aca="false">W27-X27</f>
        <v>-0.00895460465829254</v>
      </c>
      <c r="AA27" s="26" t="n">
        <f aca="false">Z27*Z27</f>
        <v>8.01849445863144E-005</v>
      </c>
      <c r="AB27" s="31" t="n">
        <f aca="false">EXP(W27+$Y$23*J27+$Y$24*J27*J27/2+$Y$25*J27*J27*J27/3+$Y$26*J27*J27*J27*J27/4)</f>
        <v>0.612217962626235</v>
      </c>
      <c r="AC27" s="31" t="n">
        <f aca="false">EXP(Q27+$S$23*J27+$S$24*J27*J27/2+$S$25*J27*J27*J27/3+$S$26*J27*J27*J27*J27/4)</f>
        <v>0.711638070996063</v>
      </c>
      <c r="AD27" s="32" t="n">
        <f aca="false">EXP(2*$AN$16*J27 + 1.5*$AN$21*J27*J27)</f>
        <v>0.724236983563178</v>
      </c>
      <c r="AE27" s="32" t="n">
        <f aca="false">AB27</f>
        <v>0.612217962626235</v>
      </c>
      <c r="AF27" s="33" t="n">
        <f aca="false">AC27</f>
        <v>0.711638070996063</v>
      </c>
      <c r="AG27" s="33" t="n">
        <f aca="false">AD27</f>
        <v>0.724236983563178</v>
      </c>
      <c r="AI27" s="1" t="n">
        <v>5</v>
      </c>
      <c r="AJ27" s="52" t="n">
        <v>5.2</v>
      </c>
    </row>
    <row r="28" customFormat="false" ht="15.75" hidden="false" customHeight="true" outlineLevel="0" collapsed="false">
      <c r="D28" s="51"/>
      <c r="E28" s="21" t="n">
        <f aca="false">E27</f>
        <v>0.001</v>
      </c>
      <c r="F28" s="21" t="n">
        <f aca="false">0.00000000000001/E28</f>
        <v>1E-011</v>
      </c>
      <c r="G28" s="22" t="n">
        <v>19.61</v>
      </c>
      <c r="H28" s="23" t="n">
        <f aca="false">G28/$AK$5</f>
        <v>0.000715693430656934</v>
      </c>
      <c r="I28" s="24" t="n">
        <f aca="false">H28*1000000</f>
        <v>715.693430656934</v>
      </c>
      <c r="J28" s="25" t="n">
        <f aca="false">H28/($B$9*(1-H28*$AK$5*$B$5/1000) - K28*($B$11+$B$11+$B$12) - E28*$B$13 - F28*$B$14 - 0.5*E28*$B$12)</f>
        <v>7.41560833222582E-007</v>
      </c>
      <c r="K28" s="22" t="n">
        <f aca="false">0.3/3</f>
        <v>0.1</v>
      </c>
      <c r="L28" s="25" t="n">
        <f aca="false">(3*K28)/($B$9*(1-H28*$AK$5*$B$5/1000) - K28*(2*$B$11+$B$12) - E28*$B$13 - F28*$B$14 - 0.5*E28*$B$12)</f>
        <v>0.000310842939780195</v>
      </c>
      <c r="M28" s="26" t="n">
        <v>144.4</v>
      </c>
      <c r="N28" s="26" t="n">
        <f aca="false">M28*9.80665</f>
        <v>1416.08026</v>
      </c>
      <c r="O28" s="27" t="n">
        <f aca="false">$B$1*$B$2*$B$9*1000*(J28+0.25*$AJ$25*$AJ$25*J28*J28/L28)</f>
        <v>2053.1936239072</v>
      </c>
      <c r="P28" s="28" t="n">
        <f aca="false">N28/(H28*$B$1*$B$2*1000)</f>
        <v>0.798163455145283</v>
      </c>
      <c r="Q28" s="28" t="n">
        <f aca="false">P28-1</f>
        <v>-0.201836544854717</v>
      </c>
      <c r="R28" s="28" t="n">
        <f aca="false">$S$22+$S$23*J28+$S$24*J28*J28+$S$25*J28*J28*J28+$S$26*J28*J28*J28*J28</f>
        <v>-0.211110906378673</v>
      </c>
      <c r="T28" s="28" t="n">
        <f aca="false">Q28-R28</f>
        <v>0.00927436152395672</v>
      </c>
      <c r="U28" s="28" t="n">
        <f aca="false">T28*T28</f>
        <v>8.60137816770488E-005</v>
      </c>
      <c r="V28" s="30" t="n">
        <f aca="false">N28/O28</f>
        <v>0.689696404426397</v>
      </c>
      <c r="W28" s="30" t="n">
        <f aca="false">V28-1</f>
        <v>-0.310303595573603</v>
      </c>
      <c r="X28" s="30" t="n">
        <f aca="false">$Y$22+$Y$23*J28+$Y$24*J28*J28+$Y$25*J28*J28*J28+$Y$26*J28*J28*J28*J28</f>
        <v>-0.314964930964406</v>
      </c>
      <c r="Z28" s="26" t="n">
        <f aca="false">W28-X28</f>
        <v>0.00466133539080266</v>
      </c>
      <c r="AA28" s="26" t="n">
        <f aca="false">Z28*Z28</f>
        <v>2.17280476255494E-005</v>
      </c>
      <c r="AB28" s="31" t="n">
        <f aca="false">EXP(W28+$Y$23*J28+$Y$24*J28*J28/2+$Y$25*J28*J28*J28/3+$Y$26*J28*J28*J28*J28/4)</f>
        <v>0.455063433288778</v>
      </c>
      <c r="AC28" s="31" t="n">
        <f aca="false">EXP(Q28+$S$23*J28+$S$24*J28*J28/2+$S$25*J28*J28*J28/3+$S$26*J28*J28*J28*J28/4)</f>
        <v>0.591591254548618</v>
      </c>
      <c r="AD28" s="32" t="n">
        <f aca="false">EXP(2*$AN$16*J28 + 1.5*$AN$21*J28*J28)</f>
        <v>0.532502739774857</v>
      </c>
      <c r="AE28" s="32" t="n">
        <f aca="false">AB28</f>
        <v>0.455063433288778</v>
      </c>
      <c r="AF28" s="33" t="n">
        <f aca="false">AC28</f>
        <v>0.591591254548618</v>
      </c>
      <c r="AG28" s="33" t="n">
        <f aca="false">AD28</f>
        <v>0.532502739774857</v>
      </c>
      <c r="AI28" s="1" t="n">
        <v>6</v>
      </c>
      <c r="AJ28" s="52" t="n">
        <v>3.1</v>
      </c>
    </row>
    <row r="29" customFormat="false" ht="15.75" hidden="false" customHeight="true" outlineLevel="0" collapsed="false">
      <c r="D29" s="51"/>
      <c r="E29" s="21" t="n">
        <f aca="false">E28</f>
        <v>0.001</v>
      </c>
      <c r="F29" s="21" t="n">
        <f aca="false">0.00000000000001/E29</f>
        <v>1E-011</v>
      </c>
      <c r="G29" s="22" t="n">
        <v>29.41</v>
      </c>
      <c r="H29" s="23" t="n">
        <f aca="false">G29/$AK$5</f>
        <v>0.00107335766423358</v>
      </c>
      <c r="I29" s="24" t="n">
        <f aca="false">H29*1000000</f>
        <v>1073.35766423358</v>
      </c>
      <c r="J29" s="25" t="n">
        <f aca="false">H29/($B$9*(1-H29*$AK$5*$B$5/1000) - K29*($B$11+$B$11+$B$12) - E29*$B$13 - F29*$B$14 - 0.5*E29*$B$12)</f>
        <v>1.120501107843E-006</v>
      </c>
      <c r="K29" s="22" t="n">
        <f aca="false">0.3/3</f>
        <v>0.1</v>
      </c>
      <c r="L29" s="25" t="n">
        <f aca="false">(3*K29)/($B$9*(1-H29*$AK$5*$B$5/1000) - K29*(2*$B$11+$B$12) - E29*$B$13 - F29*$B$14 - 0.5*E29*$B$12)</f>
        <v>0.000313176440206374</v>
      </c>
      <c r="M29" s="26" t="n">
        <v>214.7</v>
      </c>
      <c r="N29" s="26" t="n">
        <f aca="false">M29*9.80665</f>
        <v>2105.487755</v>
      </c>
      <c r="O29" s="27" t="n">
        <f aca="false">$B$1*$B$2*$B$9*1000*(J29+0.25*$AJ$25*$AJ$25*J29*J29/L29)</f>
        <v>3268.81906148567</v>
      </c>
      <c r="P29" s="28" t="n">
        <f aca="false">N29/(H29*$B$1*$B$2*1000)</f>
        <v>0.791296526942182</v>
      </c>
      <c r="Q29" s="28" t="n">
        <f aca="false">P29-1</f>
        <v>-0.208703473057818</v>
      </c>
      <c r="R29" s="28" t="n">
        <f aca="false">$S$22+$S$23*J29+$S$24*J29*J29+$S$25*J29*J29*J29+$S$26*J29*J29*J29*J29</f>
        <v>-0.204722670946597</v>
      </c>
      <c r="T29" s="28" t="n">
        <f aca="false">Q29-R29</f>
        <v>-0.00398080211122137</v>
      </c>
      <c r="U29" s="28" t="n">
        <f aca="false">T29*T29</f>
        <v>1.58467854487045E-005</v>
      </c>
      <c r="V29" s="30" t="n">
        <f aca="false">N29/O29</f>
        <v>0.644112664358689</v>
      </c>
      <c r="W29" s="30" t="n">
        <f aca="false">V29-1</f>
        <v>-0.355887335641312</v>
      </c>
      <c r="X29" s="30" t="n">
        <f aca="false">$Y$22+$Y$23*J29+$Y$24*J29*J29+$Y$25*J29*J29*J29+$Y$26*J29*J29*J29*J29</f>
        <v>-0.353982574908252</v>
      </c>
      <c r="Z29" s="26" t="n">
        <f aca="false">W29-X29</f>
        <v>-0.00190476073305923</v>
      </c>
      <c r="AA29" s="26" t="n">
        <f aca="false">Z29*Z29</f>
        <v>3.62811345020433E-006</v>
      </c>
      <c r="AB29" s="31" t="n">
        <f aca="false">EXP(W29+$Y$23*J29+$Y$24*J29*J29/2+$Y$25*J29*J29*J29/3+$Y$26*J29*J29*J29*J29/4)</f>
        <v>0.378780660602636</v>
      </c>
      <c r="AC29" s="31" t="n">
        <f aca="false">EXP(Q29+$S$23*J29+$S$24*J29*J29/2+$S$25*J29*J29*J29/3+$S$26*J29*J29*J29*J29/4)</f>
        <v>0.538713804260886</v>
      </c>
      <c r="AD29" s="32" t="n">
        <f aca="false">EXP(2*$AN$16*J29 + 1.5*$AN$21*J29*J29)</f>
        <v>0.432944123646535</v>
      </c>
      <c r="AE29" s="32" t="n">
        <f aca="false">AB29</f>
        <v>0.378780660602636</v>
      </c>
      <c r="AF29" s="33" t="n">
        <f aca="false">AC29</f>
        <v>0.538713804260886</v>
      </c>
      <c r="AG29" s="33" t="n">
        <f aca="false">AD29</f>
        <v>0.432944123646535</v>
      </c>
      <c r="AI29" s="1" t="n">
        <v>7</v>
      </c>
      <c r="AJ29" s="52" t="n">
        <v>2</v>
      </c>
    </row>
    <row r="30" customFormat="false" ht="15.75" hidden="false" customHeight="true" outlineLevel="0" collapsed="false">
      <c r="D30" s="51"/>
      <c r="E30" s="35" t="n">
        <f aca="false">E29</f>
        <v>0.001</v>
      </c>
      <c r="F30" s="35" t="n">
        <f aca="false">0.00000000000001/E30</f>
        <v>1E-011</v>
      </c>
      <c r="G30" s="36" t="n">
        <v>39.22</v>
      </c>
      <c r="H30" s="37" t="n">
        <f aca="false">G30/$AK$5</f>
        <v>0.00143138686131387</v>
      </c>
      <c r="I30" s="38" t="n">
        <f aca="false">H30*1000000</f>
        <v>1431.38686131387</v>
      </c>
      <c r="J30" s="39" t="n">
        <f aca="false">H30/($B$9*(1-H30*$AK$5*$B$5/1000) - K30*($B$11+$B$11+$B$12) - E30*$B$13 - F30*$B$14 - 0.5*E30*$B$12)</f>
        <v>1.5055693265282E-006</v>
      </c>
      <c r="K30" s="36" t="n">
        <f aca="false">0.3/3</f>
        <v>0.1</v>
      </c>
      <c r="L30" s="39" t="n">
        <f aca="false">(3*K30)/($B$9*(1-H30*$AK$5*$B$5/1000) - K30*(2*$B$11+$B$12) - E30*$B$13 - F30*$B$14 - 0.5*E30*$B$12)</f>
        <v>0.000315547676289184</v>
      </c>
      <c r="M30" s="40" t="n">
        <v>282.3</v>
      </c>
      <c r="N30" s="40" t="n">
        <f aca="false">M30*9.80665</f>
        <v>2768.417295</v>
      </c>
      <c r="O30" s="41" t="n">
        <f aca="false">$B$1*$B$2*$B$9*1000*(J30+0.25*$AJ$25*$AJ$25*J30*J30/L30)</f>
        <v>4616.03329521107</v>
      </c>
      <c r="P30" s="42" t="n">
        <f aca="false">N30/(H30*$B$1*$B$2*1000)</f>
        <v>0.780199249956764</v>
      </c>
      <c r="Q30" s="42" t="n">
        <f aca="false">P30-1</f>
        <v>-0.219800750043236</v>
      </c>
      <c r="R30" s="42" t="n">
        <f aca="false">$S$22+$S$23*J30+$S$24*J30*J30+$S$25*J30*J30*J30+$S$26*J30*J30*J30*J30</f>
        <v>-0.220517283809381</v>
      </c>
      <c r="S30" s="43"/>
      <c r="T30" s="42" t="n">
        <f aca="false">Q30-R30</f>
        <v>0.000716533766145472</v>
      </c>
      <c r="U30" s="42" t="n">
        <f aca="false">T30*T30</f>
        <v>5.13420638026614E-007</v>
      </c>
      <c r="V30" s="44" t="n">
        <f aca="false">N30/O30</f>
        <v>0.599739455491387</v>
      </c>
      <c r="W30" s="44" t="n">
        <f aca="false">V30-1</f>
        <v>-0.400260544508613</v>
      </c>
      <c r="X30" s="44" t="n">
        <f aca="false">$Y$22+$Y$23*J30+$Y$24*J30*J30+$Y$25*J30*J30*J30+$Y$26*J30*J30*J30*J30</f>
        <v>-0.400595409843737</v>
      </c>
      <c r="Y30" s="43"/>
      <c r="Z30" s="40" t="n">
        <f aca="false">W30-X30</f>
        <v>0.000334865335123835</v>
      </c>
      <c r="AA30" s="40" t="n">
        <f aca="false">Z30*Z30</f>
        <v>1.12134792667598E-007</v>
      </c>
      <c r="AB30" s="45" t="n">
        <f aca="false">EXP(W30+$Y$23*J30+$Y$24*J30*J30/2+$Y$25*J30*J30*J30/3+$Y$26*J30*J30*J30*J30/4)</f>
        <v>0.324377803889181</v>
      </c>
      <c r="AC30" s="45" t="n">
        <f aca="false">EXP(Q30+$S$23*J30+$S$24*J30*J30/2+$S$25*J30*J30*J30/3+$S$26*J30*J30*J30*J30/4)</f>
        <v>0.501291367027921</v>
      </c>
      <c r="AD30" s="46" t="n">
        <f aca="false">EXP(2*$AN$16*J30 + 1.5*$AN$21*J30*J30)</f>
        <v>0.379930757963142</v>
      </c>
      <c r="AE30" s="46" t="n">
        <f aca="false">AB30</f>
        <v>0.324377803889181</v>
      </c>
      <c r="AF30" s="47" t="n">
        <f aca="false">AC30</f>
        <v>0.501291367027921</v>
      </c>
      <c r="AG30" s="47" t="n">
        <f aca="false">AD30</f>
        <v>0.379930757963142</v>
      </c>
      <c r="AI30" s="1" t="n">
        <v>8</v>
      </c>
      <c r="AJ30" s="52" t="n">
        <v>0.2</v>
      </c>
    </row>
    <row r="31" customFormat="false" ht="15.75" hidden="false" customHeight="true" outlineLevel="0" collapsed="false">
      <c r="AI31" s="1" t="n">
        <v>8.25</v>
      </c>
      <c r="AJ31" s="52" t="n">
        <v>0</v>
      </c>
    </row>
    <row r="32" customFormat="false" ht="15.75" hidden="false" customHeight="true" outlineLevel="0" collapsed="false">
      <c r="AI32" s="1" t="n">
        <v>9</v>
      </c>
      <c r="AJ32" s="52" t="n">
        <v>-1</v>
      </c>
    </row>
    <row r="33" customFormat="false" ht="15.75" hidden="false" customHeight="true" outlineLevel="0" collapsed="false">
      <c r="AI33" s="1" t="n">
        <v>10</v>
      </c>
      <c r="AJ33" s="52" t="n">
        <v>-6</v>
      </c>
    </row>
    <row r="34" customFormat="false" ht="15.75" hidden="false" customHeight="true" outlineLevel="0" collapsed="false">
      <c r="AI34" s="1" t="n">
        <v>11</v>
      </c>
      <c r="AJ34" s="52" t="n">
        <v>-12</v>
      </c>
    </row>
    <row r="35" customFormat="false" ht="15.75" hidden="false" customHeight="true" outlineLevel="0" collapsed="false">
      <c r="AI35" s="1" t="n">
        <v>12</v>
      </c>
      <c r="AJ35" s="52" t="n">
        <v>-15.6</v>
      </c>
    </row>
    <row r="46" customFormat="false" ht="15.75" hidden="false" customHeight="true" outlineLevel="0" collapsed="false">
      <c r="N46" s="50"/>
      <c r="O46" s="53"/>
      <c r="P46" s="53"/>
      <c r="Q46" s="53"/>
      <c r="R46" s="53"/>
      <c r="S46" s="53"/>
      <c r="T46" s="53"/>
      <c r="U46" s="53"/>
      <c r="V46" s="53"/>
      <c r="Y46" s="50"/>
      <c r="AB46" s="53"/>
      <c r="AC46" s="53"/>
      <c r="AD46" s="53"/>
    </row>
    <row r="47" customFormat="false" ht="15.75" hidden="false" customHeight="true" outlineLevel="0" collapsed="false">
      <c r="N47" s="50"/>
      <c r="O47" s="53"/>
      <c r="P47" s="53"/>
      <c r="Q47" s="53"/>
      <c r="R47" s="53"/>
      <c r="S47" s="53"/>
      <c r="T47" s="53"/>
      <c r="U47" s="53"/>
      <c r="V47" s="53"/>
      <c r="Y47" s="50"/>
      <c r="AB47" s="53"/>
      <c r="AC47" s="53"/>
      <c r="AD47" s="53"/>
    </row>
    <row r="48" customFormat="false" ht="15.75" hidden="false" customHeight="true" outlineLevel="0" collapsed="false">
      <c r="N48" s="50"/>
      <c r="O48" s="53"/>
      <c r="P48" s="53"/>
      <c r="Q48" s="53"/>
      <c r="R48" s="53"/>
      <c r="S48" s="53"/>
      <c r="T48" s="53"/>
      <c r="U48" s="53"/>
      <c r="V48" s="53"/>
      <c r="Y48" s="50"/>
      <c r="AB48" s="53"/>
      <c r="AC48" s="53"/>
      <c r="AD48" s="53"/>
    </row>
    <row r="49" customFormat="false" ht="15.75" hidden="false" customHeight="true" outlineLevel="0" collapsed="false">
      <c r="N49" s="50"/>
      <c r="O49" s="53"/>
      <c r="P49" s="53"/>
      <c r="Q49" s="53"/>
      <c r="R49" s="53"/>
      <c r="S49" s="53"/>
      <c r="T49" s="53"/>
      <c r="U49" s="53"/>
      <c r="V49" s="53"/>
      <c r="AB49" s="53"/>
      <c r="AC49" s="53"/>
      <c r="AD49" s="53"/>
    </row>
    <row r="50" customFormat="false" ht="15.75" hidden="false" customHeight="true" outlineLevel="0" collapsed="false">
      <c r="N50" s="50"/>
      <c r="O50" s="53"/>
      <c r="P50" s="53"/>
      <c r="Q50" s="53"/>
      <c r="R50" s="53"/>
      <c r="S50" s="53"/>
      <c r="T50" s="53"/>
      <c r="U50" s="53"/>
      <c r="V50" s="53"/>
      <c r="AB50" s="53"/>
      <c r="AC50" s="53"/>
      <c r="AD50" s="53"/>
    </row>
    <row r="51" customFormat="false" ht="15.75" hidden="false" customHeight="true" outlineLevel="0" collapsed="false">
      <c r="N51" s="50"/>
      <c r="O51" s="53"/>
      <c r="P51" s="53"/>
      <c r="Q51" s="53"/>
      <c r="R51" s="53"/>
      <c r="S51" s="53"/>
      <c r="T51" s="53"/>
      <c r="U51" s="53"/>
      <c r="V51" s="53"/>
      <c r="AB51" s="53"/>
      <c r="AC51" s="53"/>
      <c r="AD51" s="53"/>
    </row>
    <row r="52" customFormat="false" ht="15.75" hidden="false" customHeight="true" outlineLevel="0" collapsed="false">
      <c r="N52" s="50"/>
      <c r="O52" s="53"/>
      <c r="P52" s="53"/>
      <c r="Q52" s="53"/>
      <c r="R52" s="53"/>
      <c r="S52" s="53"/>
      <c r="T52" s="53"/>
      <c r="U52" s="53"/>
      <c r="V52" s="53"/>
      <c r="AB52" s="53"/>
      <c r="AC52" s="53"/>
      <c r="AD52" s="53"/>
    </row>
    <row r="53" customFormat="false" ht="15.75" hidden="false" customHeight="true" outlineLevel="0" collapsed="false">
      <c r="N53" s="50"/>
      <c r="O53" s="53"/>
      <c r="P53" s="53"/>
      <c r="Q53" s="53"/>
      <c r="R53" s="53"/>
      <c r="S53" s="53"/>
      <c r="T53" s="53"/>
      <c r="U53" s="53"/>
      <c r="V53" s="53"/>
      <c r="AB53" s="53"/>
      <c r="AC53" s="53"/>
      <c r="AD53" s="53"/>
    </row>
    <row r="54" customFormat="false" ht="15.75" hidden="false" customHeight="true" outlineLevel="0" collapsed="false">
      <c r="N54" s="50"/>
      <c r="O54" s="53"/>
      <c r="P54" s="53"/>
      <c r="Q54" s="53"/>
      <c r="R54" s="53"/>
      <c r="S54" s="53"/>
      <c r="T54" s="53"/>
      <c r="U54" s="53"/>
      <c r="V54" s="53"/>
      <c r="AB54" s="53"/>
      <c r="AC54" s="53"/>
      <c r="AD54" s="53"/>
    </row>
    <row r="55" customFormat="false" ht="15.75" hidden="false" customHeight="true" outlineLevel="0" collapsed="false">
      <c r="N55" s="50"/>
      <c r="O55" s="53"/>
      <c r="P55" s="53"/>
      <c r="Q55" s="53"/>
      <c r="R55" s="53"/>
      <c r="S55" s="53"/>
      <c r="T55" s="53"/>
      <c r="U55" s="53"/>
      <c r="AD55" s="53"/>
    </row>
    <row r="56" customFormat="false" ht="15.75" hidden="false" customHeight="true" outlineLevel="0" collapsed="false">
      <c r="N56" s="50"/>
      <c r="O56" s="53"/>
      <c r="P56" s="53"/>
      <c r="Q56" s="53"/>
      <c r="R56" s="53"/>
      <c r="S56" s="53"/>
      <c r="T56" s="53"/>
      <c r="U56" s="53"/>
    </row>
    <row r="57" customFormat="false" ht="15.75" hidden="false" customHeight="true" outlineLevel="0" collapsed="false">
      <c r="N57" s="50"/>
      <c r="O57" s="53"/>
      <c r="P57" s="53"/>
      <c r="Q57" s="53"/>
      <c r="R57" s="53"/>
      <c r="S57" s="53"/>
      <c r="T57" s="53"/>
      <c r="U57" s="53"/>
    </row>
    <row r="58" customFormat="false" ht="15.75" hidden="false" customHeight="true" outlineLevel="0" collapsed="false">
      <c r="N58" s="50"/>
      <c r="O58" s="53"/>
      <c r="P58" s="53"/>
      <c r="Q58" s="53"/>
      <c r="R58" s="53"/>
      <c r="S58" s="53"/>
      <c r="T58" s="53"/>
      <c r="U58" s="53"/>
    </row>
    <row r="59" customFormat="false" ht="15.75" hidden="false" customHeight="true" outlineLevel="0" collapsed="false">
      <c r="N59" s="50"/>
      <c r="O59" s="53"/>
      <c r="P59" s="53"/>
      <c r="Q59" s="53"/>
      <c r="R59" s="53"/>
      <c r="S59" s="53"/>
      <c r="T59" s="53"/>
      <c r="U59" s="53"/>
    </row>
  </sheetData>
  <mergeCells count="3">
    <mergeCell ref="D4:D12"/>
    <mergeCell ref="D13:D21"/>
    <mergeCell ref="D22:D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10"/>
    <col collapsed="false" customWidth="true" hidden="false" outlineLevel="0" max="3" min="2" style="0" width="45"/>
    <col collapsed="false" customWidth="true" hidden="false" outlineLevel="0" max="4" min="4" style="0" width="70"/>
  </cols>
  <sheetData>
    <row r="1" customFormat="false" ht="15" hidden="false" customHeight="false" outlineLevel="0" collapsed="false">
      <c r="A1" s="54" t="s">
        <v>59</v>
      </c>
    </row>
    <row r="3" customFormat="false" ht="45" hidden="false" customHeight="true" outlineLevel="0" collapsed="false">
      <c r="A3" s="55" t="s">
        <v>60</v>
      </c>
      <c r="B3" s="55"/>
      <c r="C3" s="55"/>
      <c r="D3" s="55"/>
    </row>
    <row r="4" customFormat="false" ht="75" hidden="false" customHeight="true" outlineLevel="0" collapsed="false">
      <c r="A4" s="55" t="s">
        <v>61</v>
      </c>
      <c r="B4" s="55"/>
      <c r="C4" s="55"/>
      <c r="D4" s="55"/>
    </row>
    <row r="5" customFormat="false" ht="90" hidden="false" customHeight="true" outlineLevel="0" collapsed="false">
      <c r="A5" s="55" t="s">
        <v>62</v>
      </c>
      <c r="B5" s="55"/>
      <c r="C5" s="55"/>
      <c r="D5" s="55"/>
    </row>
    <row r="6" customFormat="false" ht="30" hidden="false" customHeight="true" outlineLevel="0" collapsed="false">
      <c r="A6" s="55" t="s">
        <v>63</v>
      </c>
      <c r="B6" s="55"/>
      <c r="C6" s="55"/>
      <c r="D6" s="55"/>
    </row>
    <row r="7" customFormat="false" ht="45" hidden="false" customHeight="true" outlineLevel="0" collapsed="false">
      <c r="A7" s="55" t="s">
        <v>64</v>
      </c>
      <c r="B7" s="55"/>
      <c r="C7" s="55"/>
      <c r="D7" s="55"/>
    </row>
    <row r="8" customFormat="false" ht="45" hidden="false" customHeight="true" outlineLevel="0" collapsed="false">
      <c r="A8" s="55" t="s">
        <v>65</v>
      </c>
      <c r="B8" s="55"/>
      <c r="C8" s="55"/>
      <c r="D8" s="55"/>
    </row>
    <row r="10" customFormat="false" ht="15" hidden="false" customHeight="false" outlineLevel="0" collapsed="false">
      <c r="A10" s="56" t="s">
        <v>66</v>
      </c>
      <c r="B10" s="56" t="s">
        <v>67</v>
      </c>
      <c r="C10" s="56" t="s">
        <v>68</v>
      </c>
      <c r="D10" s="56" t="s">
        <v>69</v>
      </c>
    </row>
    <row r="11" customFormat="false" ht="22.35" hidden="false" customHeight="false" outlineLevel="0" collapsed="false">
      <c r="A11" s="57" t="s">
        <v>70</v>
      </c>
      <c r="B11" s="58" t="s">
        <v>71</v>
      </c>
      <c r="C11" s="58" t="s">
        <v>72</v>
      </c>
      <c r="D11" s="58" t="s">
        <v>73</v>
      </c>
    </row>
    <row r="12" customFormat="false" ht="22.35" hidden="false" customHeight="false" outlineLevel="0" collapsed="false">
      <c r="A12" s="57" t="s">
        <v>74</v>
      </c>
      <c r="B12" s="58" t="s">
        <v>75</v>
      </c>
      <c r="C12" s="58" t="s">
        <v>76</v>
      </c>
      <c r="D12" s="58" t="s">
        <v>77</v>
      </c>
    </row>
    <row r="13" customFormat="false" ht="22.35" hidden="false" customHeight="false" outlineLevel="0" collapsed="false">
      <c r="A13" s="57" t="s">
        <v>78</v>
      </c>
      <c r="B13" s="58" t="s">
        <v>79</v>
      </c>
      <c r="C13" s="58" t="s">
        <v>80</v>
      </c>
      <c r="D13" s="58" t="s">
        <v>73</v>
      </c>
    </row>
    <row r="14" customFormat="false" ht="22.35" hidden="false" customHeight="false" outlineLevel="0" collapsed="false">
      <c r="A14" s="57" t="s">
        <v>81</v>
      </c>
      <c r="B14" s="58" t="s">
        <v>82</v>
      </c>
      <c r="C14" s="58" t="s">
        <v>83</v>
      </c>
      <c r="D14" s="58" t="s">
        <v>77</v>
      </c>
    </row>
    <row r="15" customFormat="false" ht="22.35" hidden="false" customHeight="false" outlineLevel="0" collapsed="false">
      <c r="A15" s="57" t="s">
        <v>84</v>
      </c>
      <c r="B15" s="58" t="s">
        <v>85</v>
      </c>
      <c r="C15" s="58" t="s">
        <v>86</v>
      </c>
      <c r="D15" s="58" t="s">
        <v>73</v>
      </c>
    </row>
    <row r="16" customFormat="false" ht="22.35" hidden="false" customHeight="false" outlineLevel="0" collapsed="false">
      <c r="A16" s="57" t="s">
        <v>87</v>
      </c>
      <c r="B16" s="58" t="s">
        <v>88</v>
      </c>
      <c r="C16" s="58" t="s">
        <v>89</v>
      </c>
      <c r="D16" s="58" t="s">
        <v>77</v>
      </c>
    </row>
    <row r="17" customFormat="false" ht="22.35" hidden="false" customHeight="false" outlineLevel="0" collapsed="false">
      <c r="A17" s="57" t="s">
        <v>90</v>
      </c>
      <c r="B17" s="58" t="s">
        <v>91</v>
      </c>
      <c r="C17" s="58" t="s">
        <v>92</v>
      </c>
      <c r="D17" s="58" t="s">
        <v>73</v>
      </c>
    </row>
    <row r="18" customFormat="false" ht="22.35" hidden="false" customHeight="false" outlineLevel="0" collapsed="false">
      <c r="A18" s="57" t="s">
        <v>93</v>
      </c>
      <c r="B18" s="58" t="s">
        <v>94</v>
      </c>
      <c r="C18" s="58" t="s">
        <v>95</v>
      </c>
      <c r="D18" s="58" t="s">
        <v>77</v>
      </c>
    </row>
    <row r="19" customFormat="false" ht="22.35" hidden="false" customHeight="false" outlineLevel="0" collapsed="false">
      <c r="A19" s="57" t="s">
        <v>96</v>
      </c>
      <c r="B19" s="58" t="s">
        <v>97</v>
      </c>
      <c r="C19" s="58" t="s">
        <v>98</v>
      </c>
      <c r="D19" s="58" t="s">
        <v>73</v>
      </c>
    </row>
    <row r="20" customFormat="false" ht="22.35" hidden="false" customHeight="false" outlineLevel="0" collapsed="false">
      <c r="A20" s="57" t="s">
        <v>99</v>
      </c>
      <c r="B20" s="58" t="s">
        <v>100</v>
      </c>
      <c r="C20" s="58" t="s">
        <v>101</v>
      </c>
      <c r="D20" s="58" t="s">
        <v>77</v>
      </c>
    </row>
    <row r="21" customFormat="false" ht="22.35" hidden="false" customHeight="false" outlineLevel="0" collapsed="false">
      <c r="A21" s="57" t="s">
        <v>102</v>
      </c>
      <c r="B21" s="58" t="s">
        <v>103</v>
      </c>
      <c r="C21" s="58" t="s">
        <v>104</v>
      </c>
      <c r="D21" s="58" t="s">
        <v>73</v>
      </c>
    </row>
    <row r="22" customFormat="false" ht="22.35" hidden="false" customHeight="false" outlineLevel="0" collapsed="false">
      <c r="A22" s="57" t="s">
        <v>105</v>
      </c>
      <c r="B22" s="58" t="s">
        <v>106</v>
      </c>
      <c r="C22" s="58" t="s">
        <v>107</v>
      </c>
      <c r="D22" s="58" t="s">
        <v>77</v>
      </c>
    </row>
    <row r="23" customFormat="false" ht="22.35" hidden="false" customHeight="false" outlineLevel="0" collapsed="false">
      <c r="A23" s="57" t="s">
        <v>108</v>
      </c>
      <c r="B23" s="58" t="s">
        <v>109</v>
      </c>
      <c r="C23" s="58" t="s">
        <v>110</v>
      </c>
      <c r="D23" s="58" t="s">
        <v>73</v>
      </c>
    </row>
    <row r="24" customFormat="false" ht="22.35" hidden="false" customHeight="false" outlineLevel="0" collapsed="false">
      <c r="A24" s="57" t="s">
        <v>111</v>
      </c>
      <c r="B24" s="58" t="s">
        <v>112</v>
      </c>
      <c r="C24" s="58" t="s">
        <v>113</v>
      </c>
      <c r="D24" s="58" t="s">
        <v>77</v>
      </c>
    </row>
    <row r="25" customFormat="false" ht="22.35" hidden="false" customHeight="false" outlineLevel="0" collapsed="false">
      <c r="A25" s="57" t="s">
        <v>114</v>
      </c>
      <c r="B25" s="58" t="s">
        <v>115</v>
      </c>
      <c r="C25" s="58" t="s">
        <v>116</v>
      </c>
      <c r="D25" s="58" t="s">
        <v>73</v>
      </c>
    </row>
    <row r="26" customFormat="false" ht="22.35" hidden="false" customHeight="false" outlineLevel="0" collapsed="false">
      <c r="A26" s="57" t="s">
        <v>117</v>
      </c>
      <c r="B26" s="58" t="s">
        <v>118</v>
      </c>
      <c r="C26" s="58" t="s">
        <v>119</v>
      </c>
      <c r="D26" s="58" t="s">
        <v>77</v>
      </c>
    </row>
    <row r="27" customFormat="false" ht="22.35" hidden="false" customHeight="false" outlineLevel="0" collapsed="false">
      <c r="A27" s="57" t="s">
        <v>120</v>
      </c>
      <c r="B27" s="58" t="s">
        <v>121</v>
      </c>
      <c r="C27" s="58" t="s">
        <v>122</v>
      </c>
      <c r="D27" s="58" t="s">
        <v>73</v>
      </c>
    </row>
    <row r="28" customFormat="false" ht="22.35" hidden="false" customHeight="false" outlineLevel="0" collapsed="false">
      <c r="A28" s="57" t="s">
        <v>123</v>
      </c>
      <c r="B28" s="58" t="s">
        <v>124</v>
      </c>
      <c r="C28" s="58" t="s">
        <v>125</v>
      </c>
      <c r="D28" s="58" t="s">
        <v>77</v>
      </c>
    </row>
    <row r="29" customFormat="false" ht="22.35" hidden="false" customHeight="false" outlineLevel="0" collapsed="false">
      <c r="A29" s="57" t="s">
        <v>126</v>
      </c>
      <c r="B29" s="58" t="s">
        <v>127</v>
      </c>
      <c r="C29" s="58" t="s">
        <v>128</v>
      </c>
      <c r="D29" s="58" t="s">
        <v>73</v>
      </c>
    </row>
    <row r="30" customFormat="false" ht="22.35" hidden="false" customHeight="false" outlineLevel="0" collapsed="false">
      <c r="A30" s="57" t="s">
        <v>129</v>
      </c>
      <c r="B30" s="58" t="s">
        <v>130</v>
      </c>
      <c r="C30" s="58" t="s">
        <v>131</v>
      </c>
      <c r="D30" s="58" t="s">
        <v>77</v>
      </c>
    </row>
    <row r="31" customFormat="false" ht="22.35" hidden="false" customHeight="false" outlineLevel="0" collapsed="false">
      <c r="A31" s="57" t="s">
        <v>132</v>
      </c>
      <c r="B31" s="58" t="s">
        <v>133</v>
      </c>
      <c r="C31" s="58" t="s">
        <v>134</v>
      </c>
      <c r="D31" s="58" t="s">
        <v>73</v>
      </c>
    </row>
    <row r="32" customFormat="false" ht="22.35" hidden="false" customHeight="false" outlineLevel="0" collapsed="false">
      <c r="A32" s="57" t="s">
        <v>135</v>
      </c>
      <c r="B32" s="58" t="s">
        <v>136</v>
      </c>
      <c r="C32" s="58" t="s">
        <v>137</v>
      </c>
      <c r="D32" s="58" t="s">
        <v>77</v>
      </c>
    </row>
    <row r="33" customFormat="false" ht="22.35" hidden="false" customHeight="false" outlineLevel="0" collapsed="false">
      <c r="A33" s="57" t="s">
        <v>138</v>
      </c>
      <c r="B33" s="58" t="s">
        <v>139</v>
      </c>
      <c r="C33" s="58" t="s">
        <v>140</v>
      </c>
      <c r="D33" s="58" t="s">
        <v>73</v>
      </c>
    </row>
    <row r="34" customFormat="false" ht="22.35" hidden="false" customHeight="false" outlineLevel="0" collapsed="false">
      <c r="A34" s="57" t="s">
        <v>141</v>
      </c>
      <c r="B34" s="58" t="s">
        <v>142</v>
      </c>
      <c r="C34" s="58" t="s">
        <v>143</v>
      </c>
      <c r="D34" s="58" t="s">
        <v>77</v>
      </c>
    </row>
    <row r="35" customFormat="false" ht="22.35" hidden="false" customHeight="false" outlineLevel="0" collapsed="false">
      <c r="A35" s="57" t="s">
        <v>144</v>
      </c>
      <c r="B35" s="58" t="s">
        <v>145</v>
      </c>
      <c r="C35" s="58" t="s">
        <v>146</v>
      </c>
      <c r="D35" s="58" t="s">
        <v>73</v>
      </c>
    </row>
    <row r="36" customFormat="false" ht="22.35" hidden="false" customHeight="false" outlineLevel="0" collapsed="false">
      <c r="A36" s="57" t="s">
        <v>147</v>
      </c>
      <c r="B36" s="58" t="s">
        <v>148</v>
      </c>
      <c r="C36" s="58" t="s">
        <v>149</v>
      </c>
      <c r="D36" s="58" t="s">
        <v>77</v>
      </c>
    </row>
    <row r="37" customFormat="false" ht="22.35" hidden="false" customHeight="false" outlineLevel="0" collapsed="false">
      <c r="A37" s="57" t="s">
        <v>150</v>
      </c>
      <c r="B37" s="58" t="s">
        <v>151</v>
      </c>
      <c r="C37" s="58" t="s">
        <v>152</v>
      </c>
      <c r="D37" s="58" t="s">
        <v>73</v>
      </c>
    </row>
    <row r="38" customFormat="false" ht="22.35" hidden="false" customHeight="false" outlineLevel="0" collapsed="false">
      <c r="A38" s="57" t="s">
        <v>153</v>
      </c>
      <c r="B38" s="58" t="s">
        <v>154</v>
      </c>
      <c r="C38" s="58" t="s">
        <v>155</v>
      </c>
      <c r="D38" s="58" t="s">
        <v>77</v>
      </c>
    </row>
    <row r="39" customFormat="false" ht="22.35" hidden="false" customHeight="false" outlineLevel="0" collapsed="false">
      <c r="A39" s="57" t="s">
        <v>156</v>
      </c>
      <c r="B39" s="58" t="s">
        <v>157</v>
      </c>
      <c r="C39" s="58" t="s">
        <v>158</v>
      </c>
      <c r="D39" s="58" t="s">
        <v>73</v>
      </c>
    </row>
    <row r="40" customFormat="false" ht="22.35" hidden="false" customHeight="false" outlineLevel="0" collapsed="false">
      <c r="A40" s="57" t="s">
        <v>159</v>
      </c>
      <c r="B40" s="58" t="s">
        <v>160</v>
      </c>
      <c r="C40" s="58" t="s">
        <v>161</v>
      </c>
      <c r="D40" s="58" t="s">
        <v>77</v>
      </c>
    </row>
    <row r="41" customFormat="false" ht="22.35" hidden="false" customHeight="false" outlineLevel="0" collapsed="false">
      <c r="A41" s="57" t="s">
        <v>162</v>
      </c>
      <c r="B41" s="58" t="s">
        <v>163</v>
      </c>
      <c r="C41" s="58" t="s">
        <v>164</v>
      </c>
      <c r="D41" s="58" t="s">
        <v>73</v>
      </c>
    </row>
    <row r="42" customFormat="false" ht="22.35" hidden="false" customHeight="false" outlineLevel="0" collapsed="false">
      <c r="A42" s="57" t="s">
        <v>165</v>
      </c>
      <c r="B42" s="58" t="s">
        <v>166</v>
      </c>
      <c r="C42" s="58" t="s">
        <v>167</v>
      </c>
      <c r="D42" s="58" t="s">
        <v>77</v>
      </c>
    </row>
    <row r="43" customFormat="false" ht="22.35" hidden="false" customHeight="false" outlineLevel="0" collapsed="false">
      <c r="A43" s="57" t="s">
        <v>168</v>
      </c>
      <c r="B43" s="58" t="s">
        <v>169</v>
      </c>
      <c r="C43" s="58" t="s">
        <v>170</v>
      </c>
      <c r="D43" s="58" t="s">
        <v>73</v>
      </c>
    </row>
    <row r="44" customFormat="false" ht="22.35" hidden="false" customHeight="false" outlineLevel="0" collapsed="false">
      <c r="A44" s="57" t="s">
        <v>171</v>
      </c>
      <c r="B44" s="58" t="s">
        <v>172</v>
      </c>
      <c r="C44" s="58" t="s">
        <v>173</v>
      </c>
      <c r="D44" s="58" t="s">
        <v>77</v>
      </c>
    </row>
    <row r="45" customFormat="false" ht="22.35" hidden="false" customHeight="false" outlineLevel="0" collapsed="false">
      <c r="A45" s="57" t="s">
        <v>174</v>
      </c>
      <c r="B45" s="58" t="s">
        <v>175</v>
      </c>
      <c r="C45" s="58" t="s">
        <v>176</v>
      </c>
      <c r="D45" s="58" t="s">
        <v>73</v>
      </c>
    </row>
    <row r="46" customFormat="false" ht="22.35" hidden="false" customHeight="false" outlineLevel="0" collapsed="false">
      <c r="A46" s="57" t="s">
        <v>177</v>
      </c>
      <c r="B46" s="58" t="s">
        <v>178</v>
      </c>
      <c r="C46" s="58" t="s">
        <v>179</v>
      </c>
      <c r="D46" s="58" t="s">
        <v>77</v>
      </c>
    </row>
    <row r="47" customFormat="false" ht="22.35" hidden="false" customHeight="false" outlineLevel="0" collapsed="false">
      <c r="A47" s="57" t="s">
        <v>180</v>
      </c>
      <c r="B47" s="58" t="s">
        <v>181</v>
      </c>
      <c r="C47" s="58" t="s">
        <v>182</v>
      </c>
      <c r="D47" s="58" t="s">
        <v>73</v>
      </c>
    </row>
    <row r="48" customFormat="false" ht="22.35" hidden="false" customHeight="false" outlineLevel="0" collapsed="false">
      <c r="A48" s="57" t="s">
        <v>183</v>
      </c>
      <c r="B48" s="58" t="s">
        <v>184</v>
      </c>
      <c r="C48" s="58" t="s">
        <v>185</v>
      </c>
      <c r="D48" s="58" t="s">
        <v>77</v>
      </c>
    </row>
    <row r="49" customFormat="false" ht="22.35" hidden="false" customHeight="false" outlineLevel="0" collapsed="false">
      <c r="A49" s="57" t="s">
        <v>186</v>
      </c>
      <c r="B49" s="58" t="s">
        <v>187</v>
      </c>
      <c r="C49" s="58" t="s">
        <v>188</v>
      </c>
      <c r="D49" s="58" t="s">
        <v>73</v>
      </c>
    </row>
    <row r="50" customFormat="false" ht="22.35" hidden="false" customHeight="false" outlineLevel="0" collapsed="false">
      <c r="A50" s="57" t="s">
        <v>189</v>
      </c>
      <c r="B50" s="58" t="s">
        <v>190</v>
      </c>
      <c r="C50" s="58" t="s">
        <v>191</v>
      </c>
      <c r="D50" s="58" t="s">
        <v>77</v>
      </c>
    </row>
    <row r="51" customFormat="false" ht="22.35" hidden="false" customHeight="false" outlineLevel="0" collapsed="false">
      <c r="A51" s="57" t="s">
        <v>192</v>
      </c>
      <c r="B51" s="58" t="s">
        <v>193</v>
      </c>
      <c r="C51" s="58" t="s">
        <v>194</v>
      </c>
      <c r="D51" s="58" t="s">
        <v>73</v>
      </c>
    </row>
    <row r="52" customFormat="false" ht="22.35" hidden="false" customHeight="false" outlineLevel="0" collapsed="false">
      <c r="A52" s="57" t="s">
        <v>195</v>
      </c>
      <c r="B52" s="58" t="s">
        <v>196</v>
      </c>
      <c r="C52" s="58" t="s">
        <v>197</v>
      </c>
      <c r="D52" s="58" t="s">
        <v>77</v>
      </c>
    </row>
    <row r="53" customFormat="false" ht="22.35" hidden="false" customHeight="false" outlineLevel="0" collapsed="false">
      <c r="A53" s="57" t="s">
        <v>198</v>
      </c>
      <c r="B53" s="58" t="s">
        <v>199</v>
      </c>
      <c r="C53" s="58" t="s">
        <v>200</v>
      </c>
      <c r="D53" s="58" t="s">
        <v>73</v>
      </c>
    </row>
    <row r="54" customFormat="false" ht="22.35" hidden="false" customHeight="false" outlineLevel="0" collapsed="false">
      <c r="A54" s="57" t="s">
        <v>201</v>
      </c>
      <c r="B54" s="58" t="s">
        <v>202</v>
      </c>
      <c r="C54" s="58" t="s">
        <v>203</v>
      </c>
      <c r="D54" s="58" t="s">
        <v>77</v>
      </c>
    </row>
    <row r="55" customFormat="false" ht="22.35" hidden="false" customHeight="false" outlineLevel="0" collapsed="false">
      <c r="A55" s="57" t="s">
        <v>204</v>
      </c>
      <c r="B55" s="58" t="s">
        <v>205</v>
      </c>
      <c r="C55" s="58" t="s">
        <v>206</v>
      </c>
      <c r="D55" s="58" t="s">
        <v>73</v>
      </c>
    </row>
    <row r="56" customFormat="false" ht="22.35" hidden="false" customHeight="false" outlineLevel="0" collapsed="false">
      <c r="A56" s="57" t="s">
        <v>207</v>
      </c>
      <c r="B56" s="58" t="s">
        <v>208</v>
      </c>
      <c r="C56" s="58" t="s">
        <v>209</v>
      </c>
      <c r="D56" s="58" t="s">
        <v>77</v>
      </c>
    </row>
    <row r="57" customFormat="false" ht="22.35" hidden="false" customHeight="false" outlineLevel="0" collapsed="false">
      <c r="A57" s="57" t="s">
        <v>210</v>
      </c>
      <c r="B57" s="58" t="s">
        <v>211</v>
      </c>
      <c r="C57" s="58" t="s">
        <v>212</v>
      </c>
      <c r="D57" s="58" t="s">
        <v>73</v>
      </c>
    </row>
    <row r="58" customFormat="false" ht="22.35" hidden="false" customHeight="false" outlineLevel="0" collapsed="false">
      <c r="A58" s="57" t="s">
        <v>213</v>
      </c>
      <c r="B58" s="58" t="s">
        <v>214</v>
      </c>
      <c r="C58" s="58" t="s">
        <v>215</v>
      </c>
      <c r="D58" s="58" t="s">
        <v>77</v>
      </c>
    </row>
    <row r="59" customFormat="false" ht="22.35" hidden="false" customHeight="false" outlineLevel="0" collapsed="false">
      <c r="A59" s="57" t="s">
        <v>216</v>
      </c>
      <c r="B59" s="58" t="s">
        <v>217</v>
      </c>
      <c r="C59" s="58" t="s">
        <v>218</v>
      </c>
      <c r="D59" s="58" t="s">
        <v>73</v>
      </c>
    </row>
    <row r="60" customFormat="false" ht="22.35" hidden="false" customHeight="false" outlineLevel="0" collapsed="false">
      <c r="A60" s="57" t="s">
        <v>219</v>
      </c>
      <c r="B60" s="58" t="s">
        <v>220</v>
      </c>
      <c r="C60" s="58" t="s">
        <v>221</v>
      </c>
      <c r="D60" s="58" t="s">
        <v>77</v>
      </c>
    </row>
    <row r="61" customFormat="false" ht="22.35" hidden="false" customHeight="false" outlineLevel="0" collapsed="false">
      <c r="A61" s="57" t="s">
        <v>222</v>
      </c>
      <c r="B61" s="58" t="s">
        <v>223</v>
      </c>
      <c r="C61" s="58" t="s">
        <v>224</v>
      </c>
      <c r="D61" s="58" t="s">
        <v>73</v>
      </c>
    </row>
    <row r="62" customFormat="false" ht="22.35" hidden="false" customHeight="false" outlineLevel="0" collapsed="false">
      <c r="A62" s="57" t="s">
        <v>225</v>
      </c>
      <c r="B62" s="58" t="s">
        <v>226</v>
      </c>
      <c r="C62" s="58" t="s">
        <v>227</v>
      </c>
      <c r="D62" s="58" t="s">
        <v>77</v>
      </c>
    </row>
    <row r="63" customFormat="false" ht="22.35" hidden="false" customHeight="false" outlineLevel="0" collapsed="false">
      <c r="A63" s="57" t="s">
        <v>228</v>
      </c>
      <c r="B63" s="58" t="s">
        <v>229</v>
      </c>
      <c r="C63" s="58" t="s">
        <v>230</v>
      </c>
      <c r="D63" s="58" t="s">
        <v>73</v>
      </c>
    </row>
    <row r="64" customFormat="false" ht="22.35" hidden="false" customHeight="false" outlineLevel="0" collapsed="false">
      <c r="A64" s="57" t="s">
        <v>231</v>
      </c>
      <c r="B64" s="58" t="s">
        <v>232</v>
      </c>
      <c r="C64" s="58" t="s">
        <v>233</v>
      </c>
      <c r="D64" s="58" t="s">
        <v>77</v>
      </c>
    </row>
    <row r="65" customFormat="false" ht="22.35" hidden="false" customHeight="false" outlineLevel="0" collapsed="false">
      <c r="A65" s="57" t="s">
        <v>74</v>
      </c>
      <c r="B65" s="58" t="s">
        <v>76</v>
      </c>
      <c r="C65" s="58" t="s">
        <v>234</v>
      </c>
      <c r="D65" s="58" t="s">
        <v>235</v>
      </c>
    </row>
    <row r="66" customFormat="false" ht="22.35" hidden="false" customHeight="false" outlineLevel="0" collapsed="false">
      <c r="A66" s="57" t="s">
        <v>81</v>
      </c>
      <c r="B66" s="58" t="s">
        <v>83</v>
      </c>
      <c r="C66" s="58" t="s">
        <v>236</v>
      </c>
      <c r="D66" s="58" t="s">
        <v>235</v>
      </c>
    </row>
    <row r="67" customFormat="false" ht="22.35" hidden="false" customHeight="false" outlineLevel="0" collapsed="false">
      <c r="A67" s="57" t="s">
        <v>87</v>
      </c>
      <c r="B67" s="58" t="s">
        <v>89</v>
      </c>
      <c r="C67" s="58" t="s">
        <v>237</v>
      </c>
      <c r="D67" s="58" t="s">
        <v>235</v>
      </c>
    </row>
    <row r="68" customFormat="false" ht="22.35" hidden="false" customHeight="false" outlineLevel="0" collapsed="false">
      <c r="A68" s="57" t="s">
        <v>93</v>
      </c>
      <c r="B68" s="58" t="s">
        <v>95</v>
      </c>
      <c r="C68" s="58" t="s">
        <v>238</v>
      </c>
      <c r="D68" s="58" t="s">
        <v>235</v>
      </c>
    </row>
    <row r="69" customFormat="false" ht="22.35" hidden="false" customHeight="false" outlineLevel="0" collapsed="false">
      <c r="A69" s="57" t="s">
        <v>99</v>
      </c>
      <c r="B69" s="58" t="s">
        <v>101</v>
      </c>
      <c r="C69" s="58" t="s">
        <v>239</v>
      </c>
      <c r="D69" s="58" t="s">
        <v>235</v>
      </c>
    </row>
    <row r="70" customFormat="false" ht="22.35" hidden="false" customHeight="false" outlineLevel="0" collapsed="false">
      <c r="A70" s="57" t="s">
        <v>105</v>
      </c>
      <c r="B70" s="58" t="s">
        <v>107</v>
      </c>
      <c r="C70" s="58" t="s">
        <v>240</v>
      </c>
      <c r="D70" s="58" t="s">
        <v>235</v>
      </c>
    </row>
    <row r="71" customFormat="false" ht="22.35" hidden="false" customHeight="false" outlineLevel="0" collapsed="false">
      <c r="A71" s="57" t="s">
        <v>111</v>
      </c>
      <c r="B71" s="58" t="s">
        <v>113</v>
      </c>
      <c r="C71" s="58" t="s">
        <v>241</v>
      </c>
      <c r="D71" s="58" t="s">
        <v>235</v>
      </c>
    </row>
    <row r="72" customFormat="false" ht="22.35" hidden="false" customHeight="false" outlineLevel="0" collapsed="false">
      <c r="A72" s="57" t="s">
        <v>117</v>
      </c>
      <c r="B72" s="58" t="s">
        <v>119</v>
      </c>
      <c r="C72" s="58" t="s">
        <v>242</v>
      </c>
      <c r="D72" s="58" t="s">
        <v>235</v>
      </c>
    </row>
    <row r="73" customFormat="false" ht="22.35" hidden="false" customHeight="false" outlineLevel="0" collapsed="false">
      <c r="A73" s="57" t="s">
        <v>123</v>
      </c>
      <c r="B73" s="58" t="s">
        <v>125</v>
      </c>
      <c r="C73" s="58" t="s">
        <v>243</v>
      </c>
      <c r="D73" s="58" t="s">
        <v>235</v>
      </c>
    </row>
    <row r="74" customFormat="false" ht="22.35" hidden="false" customHeight="false" outlineLevel="0" collapsed="false">
      <c r="A74" s="57" t="s">
        <v>129</v>
      </c>
      <c r="B74" s="58" t="s">
        <v>131</v>
      </c>
      <c r="C74" s="58" t="s">
        <v>244</v>
      </c>
      <c r="D74" s="58" t="s">
        <v>235</v>
      </c>
    </row>
    <row r="75" customFormat="false" ht="22.35" hidden="false" customHeight="false" outlineLevel="0" collapsed="false">
      <c r="A75" s="57" t="s">
        <v>135</v>
      </c>
      <c r="B75" s="58" t="s">
        <v>137</v>
      </c>
      <c r="C75" s="58" t="s">
        <v>245</v>
      </c>
      <c r="D75" s="58" t="s">
        <v>235</v>
      </c>
    </row>
    <row r="76" customFormat="false" ht="22.35" hidden="false" customHeight="false" outlineLevel="0" collapsed="false">
      <c r="A76" s="57" t="s">
        <v>141</v>
      </c>
      <c r="B76" s="58" t="s">
        <v>143</v>
      </c>
      <c r="C76" s="58" t="s">
        <v>246</v>
      </c>
      <c r="D76" s="58" t="s">
        <v>235</v>
      </c>
    </row>
    <row r="77" customFormat="false" ht="22.35" hidden="false" customHeight="false" outlineLevel="0" collapsed="false">
      <c r="A77" s="57" t="s">
        <v>147</v>
      </c>
      <c r="B77" s="58" t="s">
        <v>149</v>
      </c>
      <c r="C77" s="58" t="s">
        <v>247</v>
      </c>
      <c r="D77" s="58" t="s">
        <v>235</v>
      </c>
    </row>
    <row r="78" customFormat="false" ht="22.35" hidden="false" customHeight="false" outlineLevel="0" collapsed="false">
      <c r="A78" s="57" t="s">
        <v>153</v>
      </c>
      <c r="B78" s="58" t="s">
        <v>155</v>
      </c>
      <c r="C78" s="58" t="s">
        <v>248</v>
      </c>
      <c r="D78" s="58" t="s">
        <v>235</v>
      </c>
    </row>
    <row r="79" customFormat="false" ht="22.35" hidden="false" customHeight="false" outlineLevel="0" collapsed="false">
      <c r="A79" s="57" t="s">
        <v>159</v>
      </c>
      <c r="B79" s="58" t="s">
        <v>161</v>
      </c>
      <c r="C79" s="58" t="s">
        <v>249</v>
      </c>
      <c r="D79" s="58" t="s">
        <v>235</v>
      </c>
    </row>
    <row r="80" customFormat="false" ht="22.35" hidden="false" customHeight="false" outlineLevel="0" collapsed="false">
      <c r="A80" s="57" t="s">
        <v>165</v>
      </c>
      <c r="B80" s="58" t="s">
        <v>167</v>
      </c>
      <c r="C80" s="58" t="s">
        <v>250</v>
      </c>
      <c r="D80" s="58" t="s">
        <v>235</v>
      </c>
    </row>
    <row r="81" customFormat="false" ht="22.35" hidden="false" customHeight="false" outlineLevel="0" collapsed="false">
      <c r="A81" s="57" t="s">
        <v>171</v>
      </c>
      <c r="B81" s="58" t="s">
        <v>173</v>
      </c>
      <c r="C81" s="58" t="s">
        <v>251</v>
      </c>
      <c r="D81" s="58" t="s">
        <v>235</v>
      </c>
    </row>
    <row r="82" customFormat="false" ht="22.35" hidden="false" customHeight="false" outlineLevel="0" collapsed="false">
      <c r="A82" s="57" t="s">
        <v>177</v>
      </c>
      <c r="B82" s="58" t="s">
        <v>179</v>
      </c>
      <c r="C82" s="58" t="s">
        <v>252</v>
      </c>
      <c r="D82" s="58" t="s">
        <v>235</v>
      </c>
    </row>
    <row r="83" customFormat="false" ht="22.35" hidden="false" customHeight="false" outlineLevel="0" collapsed="false">
      <c r="A83" s="57" t="s">
        <v>183</v>
      </c>
      <c r="B83" s="58" t="s">
        <v>185</v>
      </c>
      <c r="C83" s="58" t="s">
        <v>253</v>
      </c>
      <c r="D83" s="58" t="s">
        <v>235</v>
      </c>
    </row>
    <row r="84" customFormat="false" ht="22.35" hidden="false" customHeight="false" outlineLevel="0" collapsed="false">
      <c r="A84" s="57" t="s">
        <v>189</v>
      </c>
      <c r="B84" s="58" t="s">
        <v>191</v>
      </c>
      <c r="C84" s="58" t="s">
        <v>254</v>
      </c>
      <c r="D84" s="58" t="s">
        <v>235</v>
      </c>
    </row>
    <row r="85" customFormat="false" ht="22.35" hidden="false" customHeight="false" outlineLevel="0" collapsed="false">
      <c r="A85" s="57" t="s">
        <v>195</v>
      </c>
      <c r="B85" s="58" t="s">
        <v>197</v>
      </c>
      <c r="C85" s="58" t="s">
        <v>255</v>
      </c>
      <c r="D85" s="58" t="s">
        <v>235</v>
      </c>
    </row>
    <row r="86" customFormat="false" ht="22.35" hidden="false" customHeight="false" outlineLevel="0" collapsed="false">
      <c r="A86" s="57" t="s">
        <v>201</v>
      </c>
      <c r="B86" s="58" t="s">
        <v>203</v>
      </c>
      <c r="C86" s="58" t="s">
        <v>256</v>
      </c>
      <c r="D86" s="58" t="s">
        <v>235</v>
      </c>
    </row>
    <row r="87" customFormat="false" ht="22.35" hidden="false" customHeight="false" outlineLevel="0" collapsed="false">
      <c r="A87" s="57" t="s">
        <v>207</v>
      </c>
      <c r="B87" s="58" t="s">
        <v>209</v>
      </c>
      <c r="C87" s="58" t="s">
        <v>257</v>
      </c>
      <c r="D87" s="58" t="s">
        <v>235</v>
      </c>
    </row>
    <row r="88" customFormat="false" ht="22.35" hidden="false" customHeight="false" outlineLevel="0" collapsed="false">
      <c r="A88" s="57" t="s">
        <v>213</v>
      </c>
      <c r="B88" s="58" t="s">
        <v>215</v>
      </c>
      <c r="C88" s="58" t="s">
        <v>258</v>
      </c>
      <c r="D88" s="58" t="s">
        <v>235</v>
      </c>
    </row>
    <row r="89" customFormat="false" ht="22.35" hidden="false" customHeight="false" outlineLevel="0" collapsed="false">
      <c r="A89" s="57" t="s">
        <v>219</v>
      </c>
      <c r="B89" s="58" t="s">
        <v>221</v>
      </c>
      <c r="C89" s="58" t="s">
        <v>259</v>
      </c>
      <c r="D89" s="58" t="s">
        <v>235</v>
      </c>
    </row>
    <row r="90" customFormat="false" ht="22.35" hidden="false" customHeight="false" outlineLevel="0" collapsed="false">
      <c r="A90" s="57" t="s">
        <v>225</v>
      </c>
      <c r="B90" s="58" t="s">
        <v>227</v>
      </c>
      <c r="C90" s="58" t="s">
        <v>260</v>
      </c>
      <c r="D90" s="58" t="s">
        <v>235</v>
      </c>
    </row>
    <row r="91" customFormat="false" ht="22.35" hidden="false" customHeight="false" outlineLevel="0" collapsed="false">
      <c r="A91" s="57" t="s">
        <v>231</v>
      </c>
      <c r="B91" s="58" t="s">
        <v>233</v>
      </c>
      <c r="C91" s="58" t="s">
        <v>261</v>
      </c>
      <c r="D91" s="58" t="s">
        <v>235</v>
      </c>
    </row>
    <row r="92" customFormat="false" ht="15" hidden="false" customHeight="false" outlineLevel="0" collapsed="false">
      <c r="A92" s="57" t="s">
        <v>262</v>
      </c>
      <c r="B92" s="58" t="s">
        <v>263</v>
      </c>
      <c r="C92" s="58" t="s">
        <v>16</v>
      </c>
      <c r="D92" s="58" t="s">
        <v>264</v>
      </c>
    </row>
    <row r="93" customFormat="false" ht="22.35" hidden="false" customHeight="false" outlineLevel="0" collapsed="false">
      <c r="A93" s="57" t="s">
        <v>265</v>
      </c>
      <c r="B93" s="58" t="s">
        <v>266</v>
      </c>
      <c r="C93" s="58" t="s">
        <v>267</v>
      </c>
      <c r="D93" s="58" t="s">
        <v>268</v>
      </c>
    </row>
    <row r="94" customFormat="false" ht="22.35" hidden="false" customHeight="false" outlineLevel="0" collapsed="false">
      <c r="A94" s="57" t="s">
        <v>269</v>
      </c>
      <c r="B94" s="58" t="s">
        <v>270</v>
      </c>
      <c r="C94" s="58" t="s">
        <v>271</v>
      </c>
      <c r="D94" s="58" t="s">
        <v>268</v>
      </c>
    </row>
    <row r="95" customFormat="false" ht="22.35" hidden="false" customHeight="false" outlineLevel="0" collapsed="false">
      <c r="A95" s="57" t="s">
        <v>272</v>
      </c>
      <c r="B95" s="58" t="s">
        <v>273</v>
      </c>
      <c r="C95" s="58" t="s">
        <v>274</v>
      </c>
      <c r="D95" s="58" t="s">
        <v>268</v>
      </c>
    </row>
    <row r="96" customFormat="false" ht="22.35" hidden="false" customHeight="false" outlineLevel="0" collapsed="false">
      <c r="A96" s="57" t="s">
        <v>275</v>
      </c>
      <c r="B96" s="58" t="s">
        <v>276</v>
      </c>
      <c r="C96" s="58" t="s">
        <v>277</v>
      </c>
      <c r="D96" s="58" t="s">
        <v>268</v>
      </c>
    </row>
    <row r="97" customFormat="false" ht="22.35" hidden="false" customHeight="false" outlineLevel="0" collapsed="false">
      <c r="A97" s="57" t="s">
        <v>278</v>
      </c>
      <c r="B97" s="58" t="s">
        <v>279</v>
      </c>
      <c r="C97" s="58" t="s">
        <v>280</v>
      </c>
      <c r="D97" s="58" t="s">
        <v>268</v>
      </c>
    </row>
    <row r="98" customFormat="false" ht="22.35" hidden="false" customHeight="false" outlineLevel="0" collapsed="false">
      <c r="A98" s="57" t="s">
        <v>281</v>
      </c>
      <c r="B98" s="58" t="s">
        <v>282</v>
      </c>
      <c r="C98" s="58" t="s">
        <v>283</v>
      </c>
      <c r="D98" s="58" t="s">
        <v>268</v>
      </c>
    </row>
    <row r="99" customFormat="false" ht="22.35" hidden="false" customHeight="false" outlineLevel="0" collapsed="false">
      <c r="A99" s="57" t="s">
        <v>284</v>
      </c>
      <c r="B99" s="58" t="s">
        <v>285</v>
      </c>
      <c r="C99" s="58" t="s">
        <v>286</v>
      </c>
      <c r="D99" s="58" t="s">
        <v>268</v>
      </c>
    </row>
    <row r="100" customFormat="false" ht="22.35" hidden="false" customHeight="false" outlineLevel="0" collapsed="false">
      <c r="A100" s="57" t="s">
        <v>287</v>
      </c>
      <c r="B100" s="58" t="s">
        <v>288</v>
      </c>
      <c r="C100" s="58" t="s">
        <v>289</v>
      </c>
      <c r="D100" s="58" t="s">
        <v>268</v>
      </c>
    </row>
    <row r="101" customFormat="false" ht="22.35" hidden="false" customHeight="false" outlineLevel="0" collapsed="false">
      <c r="A101" s="57" t="s">
        <v>290</v>
      </c>
      <c r="B101" s="58" t="s">
        <v>291</v>
      </c>
      <c r="C101" s="58" t="s">
        <v>292</v>
      </c>
      <c r="D101" s="58" t="s">
        <v>268</v>
      </c>
    </row>
    <row r="102" customFormat="false" ht="22.35" hidden="false" customHeight="false" outlineLevel="0" collapsed="false">
      <c r="A102" s="57" t="s">
        <v>293</v>
      </c>
      <c r="B102" s="58" t="s">
        <v>294</v>
      </c>
      <c r="C102" s="58" t="s">
        <v>295</v>
      </c>
      <c r="D102" s="58" t="s">
        <v>268</v>
      </c>
    </row>
    <row r="103" customFormat="false" ht="22.35" hidden="false" customHeight="false" outlineLevel="0" collapsed="false">
      <c r="A103" s="57" t="s">
        <v>296</v>
      </c>
      <c r="B103" s="58" t="s">
        <v>297</v>
      </c>
      <c r="C103" s="58" t="s">
        <v>298</v>
      </c>
      <c r="D103" s="58" t="s">
        <v>268</v>
      </c>
    </row>
    <row r="104" customFormat="false" ht="22.35" hidden="false" customHeight="false" outlineLevel="0" collapsed="false">
      <c r="A104" s="57" t="s">
        <v>299</v>
      </c>
      <c r="B104" s="58" t="s">
        <v>300</v>
      </c>
      <c r="C104" s="58" t="s">
        <v>301</v>
      </c>
      <c r="D104" s="58" t="s">
        <v>268</v>
      </c>
    </row>
    <row r="105" customFormat="false" ht="22.35" hidden="false" customHeight="false" outlineLevel="0" collapsed="false">
      <c r="A105" s="57" t="s">
        <v>302</v>
      </c>
      <c r="B105" s="58" t="s">
        <v>303</v>
      </c>
      <c r="C105" s="58" t="s">
        <v>304</v>
      </c>
      <c r="D105" s="58" t="s">
        <v>268</v>
      </c>
    </row>
    <row r="106" customFormat="false" ht="22.35" hidden="false" customHeight="false" outlineLevel="0" collapsed="false">
      <c r="A106" s="57" t="s">
        <v>305</v>
      </c>
      <c r="B106" s="58" t="s">
        <v>306</v>
      </c>
      <c r="C106" s="58" t="s">
        <v>307</v>
      </c>
      <c r="D106" s="58" t="s">
        <v>268</v>
      </c>
    </row>
    <row r="107" customFormat="false" ht="22.35" hidden="false" customHeight="false" outlineLevel="0" collapsed="false">
      <c r="A107" s="57" t="s">
        <v>308</v>
      </c>
      <c r="B107" s="58" t="s">
        <v>309</v>
      </c>
      <c r="C107" s="58" t="s">
        <v>310</v>
      </c>
      <c r="D107" s="58" t="s">
        <v>268</v>
      </c>
    </row>
    <row r="108" customFormat="false" ht="22.35" hidden="false" customHeight="false" outlineLevel="0" collapsed="false">
      <c r="A108" s="57" t="s">
        <v>311</v>
      </c>
      <c r="B108" s="58" t="s">
        <v>312</v>
      </c>
      <c r="C108" s="58" t="s">
        <v>313</v>
      </c>
      <c r="D108" s="58" t="s">
        <v>268</v>
      </c>
    </row>
    <row r="109" customFormat="false" ht="22.35" hidden="false" customHeight="false" outlineLevel="0" collapsed="false">
      <c r="A109" s="57" t="s">
        <v>314</v>
      </c>
      <c r="B109" s="58" t="s">
        <v>315</v>
      </c>
      <c r="C109" s="58" t="s">
        <v>316</v>
      </c>
      <c r="D109" s="58" t="s">
        <v>268</v>
      </c>
    </row>
    <row r="110" customFormat="false" ht="22.35" hidden="false" customHeight="false" outlineLevel="0" collapsed="false">
      <c r="A110" s="57" t="s">
        <v>317</v>
      </c>
      <c r="B110" s="58" t="s">
        <v>318</v>
      </c>
      <c r="C110" s="58" t="s">
        <v>319</v>
      </c>
      <c r="D110" s="58" t="s">
        <v>268</v>
      </c>
    </row>
    <row r="111" customFormat="false" ht="22.35" hidden="false" customHeight="false" outlineLevel="0" collapsed="false">
      <c r="A111" s="57" t="s">
        <v>320</v>
      </c>
      <c r="B111" s="58" t="s">
        <v>321</v>
      </c>
      <c r="C111" s="58" t="s">
        <v>322</v>
      </c>
      <c r="D111" s="58" t="s">
        <v>268</v>
      </c>
    </row>
    <row r="112" customFormat="false" ht="22.35" hidden="false" customHeight="false" outlineLevel="0" collapsed="false">
      <c r="A112" s="57" t="s">
        <v>323</v>
      </c>
      <c r="B112" s="58" t="s">
        <v>324</v>
      </c>
      <c r="C112" s="58" t="s">
        <v>325</v>
      </c>
      <c r="D112" s="58" t="s">
        <v>268</v>
      </c>
    </row>
    <row r="113" customFormat="false" ht="22.35" hidden="false" customHeight="false" outlineLevel="0" collapsed="false">
      <c r="A113" s="57" t="s">
        <v>326</v>
      </c>
      <c r="B113" s="58" t="s">
        <v>327</v>
      </c>
      <c r="C113" s="58" t="s">
        <v>328</v>
      </c>
      <c r="D113" s="58" t="s">
        <v>268</v>
      </c>
    </row>
    <row r="114" customFormat="false" ht="22.35" hidden="false" customHeight="false" outlineLevel="0" collapsed="false">
      <c r="A114" s="57" t="s">
        <v>329</v>
      </c>
      <c r="B114" s="58" t="s">
        <v>330</v>
      </c>
      <c r="C114" s="58" t="s">
        <v>331</v>
      </c>
      <c r="D114" s="58" t="s">
        <v>268</v>
      </c>
    </row>
    <row r="115" customFormat="false" ht="22.35" hidden="false" customHeight="false" outlineLevel="0" collapsed="false">
      <c r="A115" s="57" t="s">
        <v>332</v>
      </c>
      <c r="B115" s="58" t="s">
        <v>333</v>
      </c>
      <c r="C115" s="58" t="s">
        <v>334</v>
      </c>
      <c r="D115" s="58" t="s">
        <v>268</v>
      </c>
    </row>
    <row r="116" customFormat="false" ht="22.35" hidden="false" customHeight="false" outlineLevel="0" collapsed="false">
      <c r="A116" s="57" t="s">
        <v>335</v>
      </c>
      <c r="B116" s="58" t="s">
        <v>336</v>
      </c>
      <c r="C116" s="58" t="s">
        <v>337</v>
      </c>
      <c r="D116" s="58" t="s">
        <v>268</v>
      </c>
    </row>
    <row r="117" customFormat="false" ht="22.35" hidden="false" customHeight="false" outlineLevel="0" collapsed="false">
      <c r="A117" s="57" t="s">
        <v>338</v>
      </c>
      <c r="B117" s="58" t="s">
        <v>339</v>
      </c>
      <c r="C117" s="58" t="s">
        <v>340</v>
      </c>
      <c r="D117" s="58" t="s">
        <v>268</v>
      </c>
    </row>
    <row r="118" customFormat="false" ht="22.35" hidden="false" customHeight="false" outlineLevel="0" collapsed="false">
      <c r="A118" s="57" t="s">
        <v>341</v>
      </c>
      <c r="B118" s="58" t="s">
        <v>342</v>
      </c>
      <c r="C118" s="58" t="s">
        <v>343</v>
      </c>
      <c r="D118" s="58" t="s">
        <v>268</v>
      </c>
    </row>
    <row r="119" customFormat="false" ht="22.35" hidden="false" customHeight="false" outlineLevel="0" collapsed="false">
      <c r="A119" s="57" t="s">
        <v>344</v>
      </c>
      <c r="B119" s="58" t="s">
        <v>345</v>
      </c>
      <c r="C119" s="58" t="s">
        <v>346</v>
      </c>
      <c r="D119" s="58" t="s">
        <v>268</v>
      </c>
    </row>
    <row r="120" customFormat="false" ht="22.35" hidden="false" customHeight="false" outlineLevel="0" collapsed="false">
      <c r="A120" s="57" t="s">
        <v>347</v>
      </c>
      <c r="B120" s="58" t="s">
        <v>348</v>
      </c>
      <c r="C120" s="58" t="s">
        <v>349</v>
      </c>
      <c r="D120" s="58" t="s">
        <v>268</v>
      </c>
    </row>
    <row r="121" customFormat="false" ht="22.35" hidden="false" customHeight="false" outlineLevel="0" collapsed="false">
      <c r="A121" s="57" t="s">
        <v>350</v>
      </c>
      <c r="B121" s="58" t="s">
        <v>351</v>
      </c>
      <c r="C121" s="58" t="s">
        <v>352</v>
      </c>
      <c r="D121" s="58" t="s">
        <v>268</v>
      </c>
    </row>
    <row r="122" customFormat="false" ht="22.35" hidden="false" customHeight="false" outlineLevel="0" collapsed="false">
      <c r="A122" s="57" t="s">
        <v>353</v>
      </c>
      <c r="B122" s="58" t="s">
        <v>354</v>
      </c>
      <c r="C122" s="58" t="s">
        <v>355</v>
      </c>
      <c r="D122" s="58" t="s">
        <v>268</v>
      </c>
    </row>
    <row r="123" customFormat="false" ht="22.35" hidden="false" customHeight="false" outlineLevel="0" collapsed="false">
      <c r="A123" s="57" t="s">
        <v>356</v>
      </c>
      <c r="B123" s="58" t="s">
        <v>357</v>
      </c>
      <c r="C123" s="58" t="s">
        <v>358</v>
      </c>
      <c r="D123" s="58" t="s">
        <v>268</v>
      </c>
    </row>
    <row r="124" customFormat="false" ht="22.35" hidden="false" customHeight="false" outlineLevel="0" collapsed="false">
      <c r="A124" s="57" t="s">
        <v>359</v>
      </c>
      <c r="B124" s="58" t="s">
        <v>360</v>
      </c>
      <c r="C124" s="58" t="s">
        <v>361</v>
      </c>
      <c r="D124" s="58" t="s">
        <v>268</v>
      </c>
    </row>
    <row r="125" customFormat="false" ht="22.35" hidden="false" customHeight="false" outlineLevel="0" collapsed="false">
      <c r="A125" s="57" t="s">
        <v>362</v>
      </c>
      <c r="B125" s="58" t="s">
        <v>363</v>
      </c>
      <c r="C125" s="58" t="s">
        <v>364</v>
      </c>
      <c r="D125" s="58" t="s">
        <v>268</v>
      </c>
    </row>
    <row r="126" customFormat="false" ht="22.35" hidden="false" customHeight="false" outlineLevel="0" collapsed="false">
      <c r="A126" s="57" t="s">
        <v>365</v>
      </c>
      <c r="B126" s="58" t="s">
        <v>366</v>
      </c>
      <c r="C126" s="58" t="s">
        <v>367</v>
      </c>
      <c r="D126" s="58" t="s">
        <v>268</v>
      </c>
    </row>
    <row r="127" customFormat="false" ht="22.35" hidden="false" customHeight="false" outlineLevel="0" collapsed="false">
      <c r="A127" s="57" t="s">
        <v>368</v>
      </c>
      <c r="B127" s="58" t="s">
        <v>369</v>
      </c>
      <c r="C127" s="58" t="s">
        <v>370</v>
      </c>
      <c r="D127" s="58" t="s">
        <v>268</v>
      </c>
    </row>
    <row r="128" customFormat="false" ht="22.35" hidden="false" customHeight="false" outlineLevel="0" collapsed="false">
      <c r="A128" s="57" t="s">
        <v>371</v>
      </c>
      <c r="B128" s="58" t="s">
        <v>372</v>
      </c>
      <c r="C128" s="58" t="s">
        <v>373</v>
      </c>
      <c r="D128" s="58" t="s">
        <v>268</v>
      </c>
    </row>
    <row r="129" customFormat="false" ht="22.35" hidden="false" customHeight="false" outlineLevel="0" collapsed="false">
      <c r="A129" s="57" t="s">
        <v>374</v>
      </c>
      <c r="B129" s="58" t="s">
        <v>375</v>
      </c>
      <c r="C129" s="58" t="s">
        <v>376</v>
      </c>
      <c r="D129" s="58" t="s">
        <v>268</v>
      </c>
    </row>
    <row r="130" customFormat="false" ht="22.35" hidden="false" customHeight="false" outlineLevel="0" collapsed="false">
      <c r="A130" s="57" t="s">
        <v>377</v>
      </c>
      <c r="B130" s="58" t="s">
        <v>378</v>
      </c>
      <c r="C130" s="58" t="s">
        <v>379</v>
      </c>
      <c r="D130" s="58" t="s">
        <v>268</v>
      </c>
    </row>
    <row r="131" customFormat="false" ht="22.35" hidden="false" customHeight="false" outlineLevel="0" collapsed="false">
      <c r="A131" s="57" t="s">
        <v>380</v>
      </c>
      <c r="B131" s="58" t="s">
        <v>381</v>
      </c>
      <c r="C131" s="58" t="s">
        <v>382</v>
      </c>
      <c r="D131" s="58" t="s">
        <v>268</v>
      </c>
    </row>
    <row r="132" customFormat="false" ht="22.35" hidden="false" customHeight="false" outlineLevel="0" collapsed="false">
      <c r="A132" s="57" t="s">
        <v>383</v>
      </c>
      <c r="B132" s="58" t="s">
        <v>384</v>
      </c>
      <c r="C132" s="58" t="s">
        <v>385</v>
      </c>
      <c r="D132" s="58" t="s">
        <v>268</v>
      </c>
    </row>
    <row r="133" customFormat="false" ht="22.35" hidden="false" customHeight="false" outlineLevel="0" collapsed="false">
      <c r="A133" s="57" t="s">
        <v>386</v>
      </c>
      <c r="B133" s="58" t="s">
        <v>387</v>
      </c>
      <c r="C133" s="58" t="s">
        <v>388</v>
      </c>
      <c r="D133" s="58" t="s">
        <v>268</v>
      </c>
    </row>
    <row r="134" customFormat="false" ht="22.35" hidden="false" customHeight="false" outlineLevel="0" collapsed="false">
      <c r="A134" s="57" t="s">
        <v>389</v>
      </c>
      <c r="B134" s="58" t="s">
        <v>390</v>
      </c>
      <c r="C134" s="58" t="s">
        <v>391</v>
      </c>
      <c r="D134" s="58" t="s">
        <v>268</v>
      </c>
    </row>
    <row r="135" customFormat="false" ht="22.35" hidden="false" customHeight="false" outlineLevel="0" collapsed="false">
      <c r="A135" s="57" t="s">
        <v>392</v>
      </c>
      <c r="B135" s="58" t="s">
        <v>393</v>
      </c>
      <c r="C135" s="58" t="s">
        <v>394</v>
      </c>
      <c r="D135" s="58" t="s">
        <v>268</v>
      </c>
    </row>
    <row r="136" customFormat="false" ht="22.35" hidden="false" customHeight="false" outlineLevel="0" collapsed="false">
      <c r="A136" s="57" t="s">
        <v>395</v>
      </c>
      <c r="B136" s="58" t="s">
        <v>396</v>
      </c>
      <c r="C136" s="58" t="s">
        <v>397</v>
      </c>
      <c r="D136" s="58" t="s">
        <v>268</v>
      </c>
    </row>
    <row r="137" customFormat="false" ht="22.35" hidden="false" customHeight="false" outlineLevel="0" collapsed="false">
      <c r="A137" s="57" t="s">
        <v>398</v>
      </c>
      <c r="B137" s="58" t="s">
        <v>399</v>
      </c>
      <c r="C137" s="58" t="s">
        <v>400</v>
      </c>
      <c r="D137" s="58" t="s">
        <v>268</v>
      </c>
    </row>
    <row r="138" customFormat="false" ht="22.35" hidden="false" customHeight="false" outlineLevel="0" collapsed="false">
      <c r="A138" s="57" t="s">
        <v>401</v>
      </c>
      <c r="B138" s="58" t="s">
        <v>402</v>
      </c>
      <c r="C138" s="58" t="s">
        <v>403</v>
      </c>
      <c r="D138" s="58" t="s">
        <v>268</v>
      </c>
    </row>
    <row r="139" customFormat="false" ht="22.35" hidden="false" customHeight="false" outlineLevel="0" collapsed="false">
      <c r="A139" s="57" t="s">
        <v>404</v>
      </c>
      <c r="B139" s="58" t="s">
        <v>405</v>
      </c>
      <c r="C139" s="58" t="s">
        <v>406</v>
      </c>
      <c r="D139" s="58" t="s">
        <v>268</v>
      </c>
    </row>
    <row r="140" customFormat="false" ht="22.35" hidden="false" customHeight="false" outlineLevel="0" collapsed="false">
      <c r="A140" s="57" t="s">
        <v>407</v>
      </c>
      <c r="B140" s="58" t="s">
        <v>408</v>
      </c>
      <c r="C140" s="58" t="s">
        <v>409</v>
      </c>
      <c r="D140" s="58" t="s">
        <v>268</v>
      </c>
    </row>
    <row r="141" customFormat="false" ht="22.35" hidden="false" customHeight="false" outlineLevel="0" collapsed="false">
      <c r="A141" s="57" t="s">
        <v>410</v>
      </c>
      <c r="B141" s="58" t="s">
        <v>411</v>
      </c>
      <c r="C141" s="58" t="s">
        <v>412</v>
      </c>
      <c r="D141" s="58" t="s">
        <v>268</v>
      </c>
    </row>
    <row r="142" customFormat="false" ht="22.35" hidden="false" customHeight="false" outlineLevel="0" collapsed="false">
      <c r="A142" s="57" t="s">
        <v>413</v>
      </c>
      <c r="B142" s="58" t="s">
        <v>414</v>
      </c>
      <c r="C142" s="58" t="s">
        <v>415</v>
      </c>
      <c r="D142" s="58" t="s">
        <v>268</v>
      </c>
    </row>
    <row r="143" customFormat="false" ht="22.35" hidden="false" customHeight="false" outlineLevel="0" collapsed="false">
      <c r="A143" s="57" t="s">
        <v>416</v>
      </c>
      <c r="B143" s="58" t="s">
        <v>417</v>
      </c>
      <c r="C143" s="58" t="s">
        <v>418</v>
      </c>
      <c r="D143" s="58" t="s">
        <v>268</v>
      </c>
    </row>
    <row r="144" customFormat="false" ht="22.35" hidden="false" customHeight="false" outlineLevel="0" collapsed="false">
      <c r="A144" s="57" t="s">
        <v>419</v>
      </c>
      <c r="B144" s="58" t="s">
        <v>420</v>
      </c>
      <c r="C144" s="58" t="s">
        <v>421</v>
      </c>
      <c r="D144" s="58" t="s">
        <v>268</v>
      </c>
    </row>
    <row r="145" customFormat="false" ht="22.35" hidden="false" customHeight="false" outlineLevel="0" collapsed="false">
      <c r="A145" s="57" t="s">
        <v>422</v>
      </c>
      <c r="B145" s="58" t="s">
        <v>423</v>
      </c>
      <c r="C145" s="58" t="s">
        <v>424</v>
      </c>
      <c r="D145" s="58" t="s">
        <v>268</v>
      </c>
    </row>
    <row r="146" customFormat="false" ht="22.35" hidden="false" customHeight="false" outlineLevel="0" collapsed="false">
      <c r="A146" s="57" t="s">
        <v>425</v>
      </c>
      <c r="B146" s="58" t="s">
        <v>426</v>
      </c>
      <c r="C146" s="58" t="s">
        <v>427</v>
      </c>
      <c r="D146" s="58" t="s">
        <v>268</v>
      </c>
    </row>
    <row r="147" customFormat="false" ht="22.35" hidden="false" customHeight="false" outlineLevel="0" collapsed="false">
      <c r="A147" s="57" t="s">
        <v>428</v>
      </c>
      <c r="B147" s="58" t="s">
        <v>429</v>
      </c>
      <c r="C147" s="58" t="s">
        <v>430</v>
      </c>
      <c r="D147" s="58" t="s">
        <v>268</v>
      </c>
    </row>
    <row r="148" customFormat="false" ht="22.35" hidden="false" customHeight="false" outlineLevel="0" collapsed="false">
      <c r="A148" s="57" t="s">
        <v>431</v>
      </c>
      <c r="B148" s="58" t="s">
        <v>432</v>
      </c>
      <c r="C148" s="58" t="s">
        <v>433</v>
      </c>
      <c r="D148" s="58" t="s">
        <v>268</v>
      </c>
    </row>
    <row r="149" customFormat="false" ht="22.35" hidden="false" customHeight="false" outlineLevel="0" collapsed="false">
      <c r="A149" s="57" t="s">
        <v>434</v>
      </c>
      <c r="B149" s="58" t="s">
        <v>435</v>
      </c>
      <c r="C149" s="58" t="s">
        <v>436</v>
      </c>
      <c r="D149" s="58" t="s">
        <v>268</v>
      </c>
    </row>
    <row r="150" customFormat="false" ht="22.35" hidden="false" customHeight="false" outlineLevel="0" collapsed="false">
      <c r="A150" s="57" t="s">
        <v>437</v>
      </c>
      <c r="B150" s="58" t="s">
        <v>438</v>
      </c>
      <c r="C150" s="58" t="s">
        <v>439</v>
      </c>
      <c r="D150" s="58" t="s">
        <v>268</v>
      </c>
    </row>
    <row r="151" customFormat="false" ht="22.35" hidden="false" customHeight="false" outlineLevel="0" collapsed="false">
      <c r="A151" s="57" t="s">
        <v>440</v>
      </c>
      <c r="B151" s="58" t="s">
        <v>441</v>
      </c>
      <c r="C151" s="58" t="s">
        <v>442</v>
      </c>
      <c r="D151" s="58" t="s">
        <v>268</v>
      </c>
    </row>
    <row r="152" customFormat="false" ht="22.35" hidden="false" customHeight="false" outlineLevel="0" collapsed="false">
      <c r="A152" s="57" t="s">
        <v>443</v>
      </c>
      <c r="B152" s="58" t="s">
        <v>444</v>
      </c>
      <c r="C152" s="58" t="s">
        <v>445</v>
      </c>
      <c r="D152" s="58" t="s">
        <v>268</v>
      </c>
    </row>
    <row r="153" customFormat="false" ht="22.35" hidden="false" customHeight="false" outlineLevel="0" collapsed="false">
      <c r="A153" s="57" t="s">
        <v>446</v>
      </c>
      <c r="B153" s="58" t="s">
        <v>447</v>
      </c>
      <c r="C153" s="58" t="s">
        <v>448</v>
      </c>
      <c r="D153" s="58" t="s">
        <v>268</v>
      </c>
    </row>
    <row r="154" customFormat="false" ht="22.35" hidden="false" customHeight="false" outlineLevel="0" collapsed="false">
      <c r="A154" s="57" t="s">
        <v>449</v>
      </c>
      <c r="B154" s="58" t="s">
        <v>450</v>
      </c>
      <c r="C154" s="58" t="s">
        <v>451</v>
      </c>
      <c r="D154" s="58" t="s">
        <v>268</v>
      </c>
    </row>
    <row r="155" customFormat="false" ht="22.35" hidden="false" customHeight="false" outlineLevel="0" collapsed="false">
      <c r="A155" s="57" t="s">
        <v>452</v>
      </c>
      <c r="B155" s="58" t="s">
        <v>453</v>
      </c>
      <c r="C155" s="58" t="s">
        <v>454</v>
      </c>
      <c r="D155" s="58" t="s">
        <v>268</v>
      </c>
    </row>
    <row r="156" customFormat="false" ht="22.35" hidden="false" customHeight="false" outlineLevel="0" collapsed="false">
      <c r="A156" s="57" t="s">
        <v>455</v>
      </c>
      <c r="B156" s="58" t="s">
        <v>456</v>
      </c>
      <c r="C156" s="58" t="s">
        <v>457</v>
      </c>
      <c r="D156" s="58" t="s">
        <v>268</v>
      </c>
    </row>
    <row r="157" customFormat="false" ht="22.35" hidden="false" customHeight="false" outlineLevel="0" collapsed="false">
      <c r="A157" s="57" t="s">
        <v>458</v>
      </c>
      <c r="B157" s="58" t="s">
        <v>459</v>
      </c>
      <c r="C157" s="58" t="s">
        <v>460</v>
      </c>
      <c r="D157" s="58" t="s">
        <v>268</v>
      </c>
    </row>
    <row r="158" customFormat="false" ht="22.35" hidden="false" customHeight="false" outlineLevel="0" collapsed="false">
      <c r="A158" s="57" t="s">
        <v>461</v>
      </c>
      <c r="B158" s="58" t="s">
        <v>462</v>
      </c>
      <c r="C158" s="58" t="s">
        <v>463</v>
      </c>
      <c r="D158" s="58" t="s">
        <v>268</v>
      </c>
    </row>
    <row r="159" customFormat="false" ht="22.35" hidden="false" customHeight="false" outlineLevel="0" collapsed="false">
      <c r="A159" s="57" t="s">
        <v>464</v>
      </c>
      <c r="B159" s="58" t="s">
        <v>465</v>
      </c>
      <c r="C159" s="58" t="s">
        <v>466</v>
      </c>
      <c r="D159" s="58" t="s">
        <v>268</v>
      </c>
    </row>
    <row r="160" customFormat="false" ht="22.35" hidden="false" customHeight="false" outlineLevel="0" collapsed="false">
      <c r="A160" s="57" t="s">
        <v>467</v>
      </c>
      <c r="B160" s="58" t="s">
        <v>468</v>
      </c>
      <c r="C160" s="58" t="s">
        <v>469</v>
      </c>
      <c r="D160" s="58" t="s">
        <v>268</v>
      </c>
    </row>
    <row r="161" customFormat="false" ht="22.35" hidden="false" customHeight="false" outlineLevel="0" collapsed="false">
      <c r="A161" s="57" t="s">
        <v>470</v>
      </c>
      <c r="B161" s="58" t="s">
        <v>471</v>
      </c>
      <c r="C161" s="58" t="s">
        <v>472</v>
      </c>
      <c r="D161" s="58" t="s">
        <v>268</v>
      </c>
    </row>
    <row r="162" customFormat="false" ht="22.35" hidden="false" customHeight="false" outlineLevel="0" collapsed="false">
      <c r="A162" s="57" t="s">
        <v>473</v>
      </c>
      <c r="B162" s="58" t="s">
        <v>474</v>
      </c>
      <c r="C162" s="58" t="s">
        <v>475</v>
      </c>
      <c r="D162" s="58" t="s">
        <v>268</v>
      </c>
    </row>
    <row r="163" customFormat="false" ht="22.35" hidden="false" customHeight="false" outlineLevel="0" collapsed="false">
      <c r="A163" s="57" t="s">
        <v>476</v>
      </c>
      <c r="B163" s="58" t="s">
        <v>477</v>
      </c>
      <c r="C163" s="58" t="s">
        <v>478</v>
      </c>
      <c r="D163" s="58" t="s">
        <v>268</v>
      </c>
    </row>
    <row r="164" customFormat="false" ht="22.35" hidden="false" customHeight="false" outlineLevel="0" collapsed="false">
      <c r="A164" s="57" t="s">
        <v>479</v>
      </c>
      <c r="B164" s="58" t="s">
        <v>480</v>
      </c>
      <c r="C164" s="58" t="s">
        <v>481</v>
      </c>
      <c r="D164" s="58" t="s">
        <v>268</v>
      </c>
    </row>
    <row r="165" customFormat="false" ht="22.35" hidden="false" customHeight="false" outlineLevel="0" collapsed="false">
      <c r="A165" s="57" t="s">
        <v>482</v>
      </c>
      <c r="B165" s="58" t="s">
        <v>483</v>
      </c>
      <c r="C165" s="58" t="s">
        <v>484</v>
      </c>
      <c r="D165" s="58" t="s">
        <v>268</v>
      </c>
    </row>
    <row r="166" customFormat="false" ht="22.35" hidden="false" customHeight="false" outlineLevel="0" collapsed="false">
      <c r="A166" s="57" t="s">
        <v>485</v>
      </c>
      <c r="B166" s="58" t="s">
        <v>486</v>
      </c>
      <c r="C166" s="58" t="s">
        <v>487</v>
      </c>
      <c r="D166" s="58" t="s">
        <v>268</v>
      </c>
    </row>
    <row r="167" customFormat="false" ht="22.35" hidden="false" customHeight="false" outlineLevel="0" collapsed="false">
      <c r="A167" s="57" t="s">
        <v>488</v>
      </c>
      <c r="B167" s="58" t="s">
        <v>489</v>
      </c>
      <c r="C167" s="58" t="s">
        <v>490</v>
      </c>
      <c r="D167" s="58" t="s">
        <v>268</v>
      </c>
    </row>
    <row r="168" customFormat="false" ht="22.35" hidden="false" customHeight="false" outlineLevel="0" collapsed="false">
      <c r="A168" s="57" t="s">
        <v>491</v>
      </c>
      <c r="B168" s="58" t="s">
        <v>492</v>
      </c>
      <c r="C168" s="58" t="s">
        <v>493</v>
      </c>
      <c r="D168" s="58" t="s">
        <v>268</v>
      </c>
    </row>
    <row r="169" customFormat="false" ht="22.35" hidden="false" customHeight="false" outlineLevel="0" collapsed="false">
      <c r="A169" s="57" t="s">
        <v>494</v>
      </c>
      <c r="B169" s="58" t="s">
        <v>495</v>
      </c>
      <c r="C169" s="58" t="s">
        <v>496</v>
      </c>
      <c r="D169" s="58" t="s">
        <v>268</v>
      </c>
    </row>
    <row r="170" customFormat="false" ht="22.35" hidden="false" customHeight="false" outlineLevel="0" collapsed="false">
      <c r="A170" s="57" t="s">
        <v>497</v>
      </c>
      <c r="B170" s="58" t="s">
        <v>498</v>
      </c>
      <c r="C170" s="58" t="s">
        <v>499</v>
      </c>
      <c r="D170" s="58" t="s">
        <v>268</v>
      </c>
    </row>
    <row r="171" customFormat="false" ht="22.35" hidden="false" customHeight="false" outlineLevel="0" collapsed="false">
      <c r="A171" s="57" t="s">
        <v>500</v>
      </c>
      <c r="B171" s="58" t="s">
        <v>501</v>
      </c>
      <c r="C171" s="58" t="s">
        <v>502</v>
      </c>
      <c r="D171" s="58" t="s">
        <v>268</v>
      </c>
    </row>
    <row r="172" customFormat="false" ht="22.35" hidden="false" customHeight="false" outlineLevel="0" collapsed="false">
      <c r="A172" s="57" t="s">
        <v>503</v>
      </c>
      <c r="B172" s="58" t="s">
        <v>504</v>
      </c>
      <c r="C172" s="58" t="s">
        <v>505</v>
      </c>
      <c r="D172" s="58" t="s">
        <v>268</v>
      </c>
    </row>
    <row r="173" customFormat="false" ht="22.35" hidden="false" customHeight="false" outlineLevel="0" collapsed="false">
      <c r="A173" s="57" t="s">
        <v>506</v>
      </c>
      <c r="B173" s="58" t="s">
        <v>507</v>
      </c>
      <c r="C173" s="58" t="s">
        <v>508</v>
      </c>
      <c r="D173" s="58" t="s">
        <v>268</v>
      </c>
    </row>
    <row r="174" customFormat="false" ht="15" hidden="false" customHeight="false" outlineLevel="0" collapsed="false">
      <c r="A174" s="57" t="s">
        <v>509</v>
      </c>
      <c r="B174" s="58" t="s">
        <v>510</v>
      </c>
      <c r="C174" s="58" t="s">
        <v>33</v>
      </c>
      <c r="D174" s="58" t="s">
        <v>264</v>
      </c>
    </row>
    <row r="175" customFormat="false" ht="15" hidden="false" customHeight="false" outlineLevel="0" collapsed="false">
      <c r="A175" s="57" t="s">
        <v>511</v>
      </c>
      <c r="B175" s="58" t="s">
        <v>512</v>
      </c>
      <c r="C175" s="58" t="s">
        <v>34</v>
      </c>
      <c r="D175" s="58" t="s">
        <v>264</v>
      </c>
    </row>
    <row r="176" customFormat="false" ht="15" hidden="false" customHeight="false" outlineLevel="0" collapsed="false">
      <c r="A176" s="57" t="s">
        <v>513</v>
      </c>
      <c r="B176" s="58" t="s">
        <v>514</v>
      </c>
      <c r="C176" s="58" t="s">
        <v>35</v>
      </c>
      <c r="D176" s="58" t="s">
        <v>264</v>
      </c>
    </row>
    <row r="177" customFormat="false" ht="15" hidden="false" customHeight="false" outlineLevel="0" collapsed="false">
      <c r="A177" s="57" t="s">
        <v>515</v>
      </c>
      <c r="B177" s="58" t="s">
        <v>516</v>
      </c>
      <c r="C177" s="58" t="s">
        <v>517</v>
      </c>
      <c r="D177" s="58" t="s">
        <v>518</v>
      </c>
    </row>
    <row r="178" customFormat="false" ht="15" hidden="false" customHeight="false" outlineLevel="0" collapsed="false">
      <c r="A178" s="57" t="s">
        <v>519</v>
      </c>
      <c r="B178" s="58" t="s">
        <v>516</v>
      </c>
      <c r="C178" s="58" t="s">
        <v>517</v>
      </c>
      <c r="D178" s="58" t="s">
        <v>518</v>
      </c>
    </row>
    <row r="179" customFormat="false" ht="15" hidden="false" customHeight="false" outlineLevel="0" collapsed="false">
      <c r="A179" s="57" t="s">
        <v>520</v>
      </c>
      <c r="B179" s="58" t="s">
        <v>516</v>
      </c>
      <c r="C179" s="58" t="s">
        <v>517</v>
      </c>
      <c r="D179" s="58" t="s">
        <v>518</v>
      </c>
    </row>
    <row r="180" customFormat="false" ht="15" hidden="false" customHeight="false" outlineLevel="0" collapsed="false">
      <c r="A180" s="57" t="s">
        <v>521</v>
      </c>
      <c r="B180" s="58" t="s">
        <v>516</v>
      </c>
      <c r="C180" s="58" t="s">
        <v>517</v>
      </c>
      <c r="D180" s="58" t="s">
        <v>518</v>
      </c>
    </row>
    <row r="181" customFormat="false" ht="15" hidden="false" customHeight="false" outlineLevel="0" collapsed="false">
      <c r="A181" s="57" t="s">
        <v>522</v>
      </c>
      <c r="B181" s="58" t="s">
        <v>516</v>
      </c>
      <c r="C181" s="58" t="s">
        <v>517</v>
      </c>
      <c r="D181" s="58" t="s">
        <v>518</v>
      </c>
    </row>
    <row r="182" customFormat="false" ht="15" hidden="false" customHeight="false" outlineLevel="0" collapsed="false">
      <c r="A182" s="57" t="s">
        <v>523</v>
      </c>
      <c r="B182" s="58" t="s">
        <v>516</v>
      </c>
      <c r="C182" s="58" t="s">
        <v>517</v>
      </c>
      <c r="D182" s="58" t="s">
        <v>518</v>
      </c>
    </row>
    <row r="183" customFormat="false" ht="15" hidden="false" customHeight="false" outlineLevel="0" collapsed="false">
      <c r="A183" s="57" t="s">
        <v>524</v>
      </c>
      <c r="B183" s="58" t="s">
        <v>516</v>
      </c>
      <c r="C183" s="58" t="s">
        <v>517</v>
      </c>
      <c r="D183" s="58" t="s">
        <v>518</v>
      </c>
    </row>
    <row r="184" customFormat="false" ht="15" hidden="false" customHeight="false" outlineLevel="0" collapsed="false">
      <c r="A184" s="57" t="s">
        <v>525</v>
      </c>
      <c r="B184" s="58" t="s">
        <v>516</v>
      </c>
      <c r="C184" s="58" t="s">
        <v>517</v>
      </c>
      <c r="D184" s="58" t="s">
        <v>518</v>
      </c>
    </row>
    <row r="185" customFormat="false" ht="15" hidden="false" customHeight="false" outlineLevel="0" collapsed="false">
      <c r="A185" s="57" t="s">
        <v>526</v>
      </c>
      <c r="B185" s="58" t="s">
        <v>516</v>
      </c>
      <c r="C185" s="58" t="s">
        <v>517</v>
      </c>
      <c r="D185" s="58" t="s">
        <v>518</v>
      </c>
    </row>
    <row r="186" customFormat="false" ht="15" hidden="false" customHeight="false" outlineLevel="0" collapsed="false">
      <c r="A186" s="57" t="s">
        <v>527</v>
      </c>
      <c r="B186" s="58" t="s">
        <v>528</v>
      </c>
      <c r="C186" s="58" t="s">
        <v>529</v>
      </c>
      <c r="D186" s="58" t="s">
        <v>530</v>
      </c>
    </row>
    <row r="187" customFormat="false" ht="15" hidden="false" customHeight="false" outlineLevel="0" collapsed="false">
      <c r="A187" s="57" t="s">
        <v>531</v>
      </c>
      <c r="B187" s="58" t="s">
        <v>532</v>
      </c>
      <c r="C187" s="58" t="s">
        <v>533</v>
      </c>
      <c r="D187" s="58" t="s">
        <v>534</v>
      </c>
    </row>
    <row r="188" customFormat="false" ht="22.35" hidden="false" customHeight="false" outlineLevel="0" collapsed="false">
      <c r="A188" s="57" t="s">
        <v>535</v>
      </c>
      <c r="B188" s="58" t="s">
        <v>536</v>
      </c>
      <c r="C188" s="58" t="s">
        <v>537</v>
      </c>
      <c r="D188" s="58" t="s">
        <v>538</v>
      </c>
    </row>
    <row r="189" customFormat="false" ht="15" hidden="false" customHeight="false" outlineLevel="0" collapsed="false">
      <c r="A189" s="57" t="s">
        <v>539</v>
      </c>
      <c r="B189" s="58" t="s">
        <v>540</v>
      </c>
      <c r="C189" s="58" t="s">
        <v>541</v>
      </c>
      <c r="D189" s="58" t="s">
        <v>530</v>
      </c>
    </row>
    <row r="190" customFormat="false" ht="15" hidden="false" customHeight="false" outlineLevel="0" collapsed="false">
      <c r="A190" s="57" t="s">
        <v>542</v>
      </c>
      <c r="B190" s="58" t="s">
        <v>543</v>
      </c>
      <c r="C190" s="58" t="s">
        <v>544</v>
      </c>
      <c r="D190" s="58" t="s">
        <v>534</v>
      </c>
    </row>
    <row r="191" customFormat="false" ht="22.35" hidden="false" customHeight="false" outlineLevel="0" collapsed="false">
      <c r="A191" s="57" t="s">
        <v>545</v>
      </c>
      <c r="B191" s="58" t="s">
        <v>546</v>
      </c>
      <c r="C191" s="58" t="s">
        <v>547</v>
      </c>
      <c r="D191" s="58" t="s">
        <v>538</v>
      </c>
    </row>
    <row r="192" customFormat="false" ht="15" hidden="false" customHeight="false" outlineLevel="0" collapsed="false">
      <c r="A192" s="57" t="s">
        <v>548</v>
      </c>
      <c r="B192" s="58" t="s">
        <v>549</v>
      </c>
      <c r="C192" s="58" t="s">
        <v>550</v>
      </c>
      <c r="D192" s="58" t="s">
        <v>530</v>
      </c>
    </row>
    <row r="193" customFormat="false" ht="15" hidden="false" customHeight="false" outlineLevel="0" collapsed="false">
      <c r="A193" s="57" t="s">
        <v>551</v>
      </c>
      <c r="B193" s="58" t="s">
        <v>552</v>
      </c>
      <c r="C193" s="58" t="s">
        <v>553</v>
      </c>
      <c r="D193" s="58" t="s">
        <v>534</v>
      </c>
    </row>
    <row r="194" customFormat="false" ht="22.35" hidden="false" customHeight="false" outlineLevel="0" collapsed="false">
      <c r="A194" s="57" t="s">
        <v>554</v>
      </c>
      <c r="B194" s="58" t="s">
        <v>555</v>
      </c>
      <c r="C194" s="58" t="s">
        <v>556</v>
      </c>
      <c r="D194" s="58" t="s">
        <v>538</v>
      </c>
    </row>
    <row r="195" customFormat="false" ht="15" hidden="false" customHeight="false" outlineLevel="0" collapsed="false">
      <c r="A195" s="57" t="s">
        <v>557</v>
      </c>
      <c r="B195" s="58" t="s">
        <v>558</v>
      </c>
      <c r="C195" s="58" t="s">
        <v>53</v>
      </c>
      <c r="D195" s="58" t="s">
        <v>559</v>
      </c>
    </row>
    <row r="196" customFormat="false" ht="15" hidden="false" customHeight="false" outlineLevel="0" collapsed="false">
      <c r="A196" s="57" t="s">
        <v>560</v>
      </c>
      <c r="B196" s="58" t="s">
        <v>561</v>
      </c>
      <c r="C196" s="58" t="s">
        <v>55</v>
      </c>
      <c r="D196" s="58" t="s">
        <v>559</v>
      </c>
    </row>
    <row r="197" customFormat="false" ht="15" hidden="false" customHeight="false" outlineLevel="0" collapsed="false">
      <c r="A197" s="57" t="s">
        <v>562</v>
      </c>
      <c r="B197" s="58" t="s">
        <v>563</v>
      </c>
      <c r="C197" s="58" t="s">
        <v>56</v>
      </c>
      <c r="D197" s="58" t="s">
        <v>559</v>
      </c>
    </row>
    <row r="198" customFormat="false" ht="15" hidden="false" customHeight="false" outlineLevel="0" collapsed="false">
      <c r="A198" s="57" t="s">
        <v>564</v>
      </c>
      <c r="B198" s="58" t="s">
        <v>565</v>
      </c>
      <c r="C198" s="58" t="s">
        <v>57</v>
      </c>
      <c r="D198" s="58" t="s">
        <v>559</v>
      </c>
    </row>
    <row r="199" customFormat="false" ht="15" hidden="false" customHeight="false" outlineLevel="0" collapsed="false">
      <c r="A199" s="57" t="s">
        <v>566</v>
      </c>
      <c r="B199" s="58" t="s">
        <v>567</v>
      </c>
      <c r="C199" s="58" t="s">
        <v>568</v>
      </c>
      <c r="D199" s="58" t="s">
        <v>569</v>
      </c>
    </row>
    <row r="200" customFormat="false" ht="15" hidden="false" customHeight="false" outlineLevel="0" collapsed="false">
      <c r="A200" s="57" t="s">
        <v>570</v>
      </c>
      <c r="B200" s="58" t="s">
        <v>571</v>
      </c>
      <c r="C200" s="58" t="s">
        <v>572</v>
      </c>
      <c r="D200" s="58" t="s">
        <v>569</v>
      </c>
    </row>
    <row r="201" customFormat="false" ht="15" hidden="false" customHeight="false" outlineLevel="0" collapsed="false">
      <c r="A201" s="57" t="s">
        <v>573</v>
      </c>
      <c r="B201" s="58" t="s">
        <v>574</v>
      </c>
      <c r="C201" s="58" t="s">
        <v>575</v>
      </c>
      <c r="D201" s="58" t="s">
        <v>569</v>
      </c>
    </row>
    <row r="202" customFormat="false" ht="15" hidden="false" customHeight="false" outlineLevel="0" collapsed="false">
      <c r="A202" s="57" t="s">
        <v>576</v>
      </c>
      <c r="B202" s="58" t="s">
        <v>577</v>
      </c>
      <c r="C202" s="58" t="s">
        <v>578</v>
      </c>
      <c r="D202" s="58" t="s">
        <v>569</v>
      </c>
    </row>
    <row r="203" customFormat="false" ht="15" hidden="false" customHeight="false" outlineLevel="0" collapsed="false">
      <c r="A203" s="57" t="s">
        <v>579</v>
      </c>
      <c r="B203" s="58" t="s">
        <v>580</v>
      </c>
      <c r="C203" s="58" t="s">
        <v>581</v>
      </c>
      <c r="D203" s="58" t="s">
        <v>582</v>
      </c>
    </row>
    <row r="204" customFormat="false" ht="15" hidden="false" customHeight="false" outlineLevel="0" collapsed="false">
      <c r="A204" s="57" t="s">
        <v>583</v>
      </c>
      <c r="B204" s="58" t="s">
        <v>584</v>
      </c>
      <c r="C204" s="58" t="s">
        <v>585</v>
      </c>
      <c r="D204" s="58" t="s">
        <v>582</v>
      </c>
    </row>
    <row r="205" customFormat="false" ht="15" hidden="false" customHeight="false" outlineLevel="0" collapsed="false">
      <c r="A205" s="57" t="s">
        <v>586</v>
      </c>
      <c r="B205" s="58" t="s">
        <v>587</v>
      </c>
      <c r="C205" s="58" t="s">
        <v>588</v>
      </c>
      <c r="D205" s="58" t="s">
        <v>582</v>
      </c>
    </row>
    <row r="206" customFormat="false" ht="15" hidden="false" customHeight="false" outlineLevel="0" collapsed="false">
      <c r="A206" s="57" t="s">
        <v>589</v>
      </c>
      <c r="B206" s="58" t="s">
        <v>590</v>
      </c>
      <c r="C206" s="58" t="s">
        <v>591</v>
      </c>
      <c r="D206" s="58" t="s">
        <v>592</v>
      </c>
    </row>
    <row r="207" customFormat="false" ht="15" hidden="false" customHeight="false" outlineLevel="0" collapsed="false">
      <c r="A207" s="57" t="s">
        <v>593</v>
      </c>
      <c r="B207" s="58" t="s">
        <v>594</v>
      </c>
      <c r="C207" s="58" t="s">
        <v>595</v>
      </c>
      <c r="D207" s="58" t="s">
        <v>592</v>
      </c>
    </row>
    <row r="208" customFormat="false" ht="15" hidden="false" customHeight="false" outlineLevel="0" collapsed="false">
      <c r="A208" s="57" t="s">
        <v>596</v>
      </c>
      <c r="B208" s="58" t="s">
        <v>597</v>
      </c>
      <c r="C208" s="58" t="s">
        <v>598</v>
      </c>
      <c r="D208" s="58" t="s">
        <v>592</v>
      </c>
    </row>
    <row r="209" customFormat="false" ht="15" hidden="false" customHeight="false" outlineLevel="0" collapsed="false">
      <c r="A209" s="57" t="s">
        <v>599</v>
      </c>
      <c r="B209" s="58" t="s">
        <v>600</v>
      </c>
      <c r="C209" s="58" t="s">
        <v>601</v>
      </c>
      <c r="D209" s="58" t="s">
        <v>592</v>
      </c>
    </row>
    <row r="210" customFormat="false" ht="15" hidden="false" customHeight="false" outlineLevel="0" collapsed="false">
      <c r="A210" s="57" t="s">
        <v>602</v>
      </c>
      <c r="B210" s="58" t="s">
        <v>603</v>
      </c>
      <c r="C210" s="58" t="s">
        <v>604</v>
      </c>
      <c r="D210" s="58" t="s">
        <v>605</v>
      </c>
    </row>
    <row r="211" customFormat="false" ht="15" hidden="false" customHeight="false" outlineLevel="0" collapsed="false">
      <c r="A211" s="57" t="s">
        <v>606</v>
      </c>
      <c r="B211" s="58" t="s">
        <v>607</v>
      </c>
      <c r="C211" s="58" t="s">
        <v>608</v>
      </c>
      <c r="D211" s="58" t="s">
        <v>605</v>
      </c>
    </row>
    <row r="212" customFormat="false" ht="15" hidden="false" customHeight="false" outlineLevel="0" collapsed="false">
      <c r="A212" s="57" t="s">
        <v>609</v>
      </c>
      <c r="B212" s="58" t="s">
        <v>610</v>
      </c>
      <c r="C212" s="58" t="s">
        <v>611</v>
      </c>
      <c r="D212" s="58" t="s">
        <v>605</v>
      </c>
    </row>
    <row r="213" customFormat="false" ht="15" hidden="false" customHeight="false" outlineLevel="0" collapsed="false">
      <c r="A213" s="57" t="s">
        <v>612</v>
      </c>
      <c r="B213" s="58" t="s">
        <v>613</v>
      </c>
      <c r="C213" s="58" t="s">
        <v>614</v>
      </c>
      <c r="D213" s="58" t="s">
        <v>605</v>
      </c>
    </row>
    <row r="214" customFormat="false" ht="15" hidden="false" customHeight="false" outlineLevel="0" collapsed="false">
      <c r="A214" s="57" t="s">
        <v>615</v>
      </c>
      <c r="B214" s="58" t="s">
        <v>616</v>
      </c>
      <c r="C214" s="58" t="s">
        <v>617</v>
      </c>
      <c r="D214" s="58" t="s">
        <v>618</v>
      </c>
    </row>
    <row r="215" customFormat="false" ht="15" hidden="false" customHeight="false" outlineLevel="0" collapsed="false">
      <c r="A215" s="57" t="s">
        <v>619</v>
      </c>
      <c r="B215" s="58" t="s">
        <v>620</v>
      </c>
      <c r="C215" s="58" t="s">
        <v>621</v>
      </c>
      <c r="D215" s="58" t="s">
        <v>618</v>
      </c>
    </row>
    <row r="216" customFormat="false" ht="15" hidden="false" customHeight="false" outlineLevel="0" collapsed="false">
      <c r="A216" s="57" t="s">
        <v>622</v>
      </c>
      <c r="B216" s="58" t="s">
        <v>623</v>
      </c>
      <c r="C216" s="58" t="s">
        <v>624</v>
      </c>
      <c r="D216" s="58" t="s">
        <v>618</v>
      </c>
    </row>
    <row r="217" customFormat="false" ht="15" hidden="false" customHeight="false" outlineLevel="0" collapsed="false">
      <c r="A217" s="57" t="s">
        <v>625</v>
      </c>
      <c r="B217" s="58" t="s">
        <v>626</v>
      </c>
      <c r="C217" s="58" t="s">
        <v>627</v>
      </c>
      <c r="D217" s="58" t="s">
        <v>628</v>
      </c>
    </row>
    <row r="218" customFormat="false" ht="15" hidden="false" customHeight="false" outlineLevel="0" collapsed="false">
      <c r="A218" s="57" t="s">
        <v>629</v>
      </c>
      <c r="B218" s="58" t="s">
        <v>630</v>
      </c>
      <c r="C218" s="58" t="s">
        <v>631</v>
      </c>
      <c r="D218" s="58" t="s">
        <v>628</v>
      </c>
    </row>
    <row r="219" customFormat="false" ht="15" hidden="false" customHeight="false" outlineLevel="0" collapsed="false">
      <c r="A219" s="57" t="s">
        <v>632</v>
      </c>
      <c r="B219" s="58" t="s">
        <v>633</v>
      </c>
      <c r="C219" s="58" t="s">
        <v>634</v>
      </c>
      <c r="D219" s="58" t="s">
        <v>628</v>
      </c>
    </row>
    <row r="220" customFormat="false" ht="15" hidden="false" customHeight="false" outlineLevel="0" collapsed="false">
      <c r="A220" s="57" t="s">
        <v>635</v>
      </c>
      <c r="B220" s="58" t="s">
        <v>636</v>
      </c>
      <c r="C220" s="58" t="s">
        <v>637</v>
      </c>
      <c r="D220" s="58" t="s">
        <v>628</v>
      </c>
    </row>
  </sheetData>
  <mergeCells count="6">
    <mergeCell ref="A3:D3"/>
    <mergeCell ref="A4:D4"/>
    <mergeCell ref="A5:D5"/>
    <mergeCell ref="A6:D6"/>
    <mergeCell ref="A7:D7"/>
    <mergeCell ref="A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2023-04-12T21:19:53Z</dcterms:created>
  <dc:creator>Filipe Menezes</dc:creator>
  <dc:description/>
  <dc:language>en-US</dc:language>
  <cp:lastModifiedBy/>
  <dcterms:modified xsi:type="dcterms:W3CDTF">2026-10-09T17:51:35Z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