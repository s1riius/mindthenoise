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2SO4" sheetId="1" state="visible" r:id="rId3"/>
    <sheet name="Corrections log" sheetId="2" state="visible" r:id="rId4"/>
  </sheets>
  <definedNames>
    <definedName function="false" hidden="true" localSheetId="0" name="solver_adj" vbProcedure="false">Na2SO4!$U$5:$U$8</definedName>
    <definedName function="false" hidden="true" localSheetId="0" name="solver_cvg" vbProcedure="false">0.0001</definedName>
    <definedName function="false" hidden="true" localSheetId="0" name="solver_drv" vbProcedure="false">2</definedName>
    <definedName function="false" hidden="true" localSheetId="0" name="solver_eng" vbProcedure="false">1</definedName>
    <definedName function="false" hidden="true" localSheetId="0" name="solver_itr" vbProcedure="false">2147483647</definedName>
    <definedName function="false" hidden="true" localSheetId="0" name="solver_lin" vbProcedure="false">2</definedName>
    <definedName function="false" hidden="true" localSheetId="0" name="solver_mip" vbProcedure="false">2147483647</definedName>
    <definedName function="false" hidden="true" localSheetId="0" name="solver_mni" vbProcedure="false">30</definedName>
    <definedName function="false" hidden="true" localSheetId="0" name="solver_mrt" vbProcedure="false">0.075</definedName>
    <definedName function="false" hidden="true" localSheetId="0" name="solver_msl" vbProcedure="false">2</definedName>
    <definedName function="false" hidden="true" localSheetId="0" name="solver_neg" vbProcedure="false">2</definedName>
    <definedName function="false" hidden="true" localSheetId="0" name="solver_nod" vbProcedure="false">2147483647</definedName>
    <definedName function="false" hidden="true" localSheetId="0" name="solver_num" vbProcedure="false">0</definedName>
    <definedName function="false" hidden="true" localSheetId="0" name="solver_opt" vbProcedure="false">Na2SO4!$U$12</definedName>
    <definedName function="false" hidden="true" localSheetId="0" name="solver_pre" vbProcedure="false">0.000001</definedName>
    <definedName function="false" hidden="true" localSheetId="0" name="solver_rbv" vbProcedure="false">1</definedName>
    <definedName function="false" hidden="true" localSheetId="0" name="solver_rlx" vbProcedure="false">2</definedName>
    <definedName function="false" hidden="true" localSheetId="0" name="solver_rsd" vbProcedure="false">0</definedName>
    <definedName function="false" hidden="true" localSheetId="0" name="solver_scl" vbProcedure="false">1</definedName>
    <definedName function="false" hidden="true" localSheetId="0" name="solver_sho" vbProcedure="false">2</definedName>
    <definedName function="false" hidden="true" localSheetId="0" name="solver_ssz" vbProcedure="false">100</definedName>
    <definedName function="false" hidden="true" localSheetId="0" name="solver_tim" vbProcedure="false">2147483647</definedName>
    <definedName function="false" hidden="true" localSheetId="0" name="solver_tol" vbProcedure="false">0.01</definedName>
    <definedName function="false" hidden="true" localSheetId="0" name="solver_typ" vbProcedure="false">2</definedName>
    <definedName function="false" hidden="true" localSheetId="0" name="solver_val" vbProcedure="false">0</definedName>
    <definedName function="false" hidden="true" localSheetId="0" name="solver_ver" vbProcedure="false">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<sst xmlns="http://schemas.openxmlformats.org/spreadsheetml/2006/main" count="1246" uniqueCount="846">
  <si>
    <t xml:space="preserve">R</t>
  </si>
  <si>
    <t xml:space="preserve">T</t>
  </si>
  <si>
    <t xml:space="preserve">pH</t>
  </si>
  <si>
    <t xml:space="preserve">MW (kg/mol)</t>
  </si>
  <si>
    <t xml:space="preserve">MW (g/mol)</t>
  </si>
  <si>
    <t xml:space="preserve">[H3O+]</t>
  </si>
  <si>
    <t xml:space="preserve">[OH-]</t>
  </si>
  <si>
    <t xml:space="preserve">[P] (g/L)</t>
  </si>
  <si>
    <t xml:space="preserve">[P] (mol/L)</t>
  </si>
  <si>
    <t xml:space="preserve">[P] (uM)</t>
  </si>
  <si>
    <t xml:space="preserve">mP (mol/g)</t>
  </si>
  <si>
    <t xml:space="preserve">[Buffer] (mol/L)</t>
  </si>
  <si>
    <t xml:space="preserve">[HSO4-] (mol/L)</t>
  </si>
  <si>
    <t xml:space="preserve">[SO4--] (mol/L)</t>
  </si>
  <si>
    <t xml:space="preserve">I (mol/g)</t>
  </si>
  <si>
    <t xml:space="preserve">𝝥 (mmHg)</t>
  </si>
  <si>
    <t xml:space="preserve">𝝥 (Pa)</t>
  </si>
  <si>
    <t xml:space="preserve">𝝥0 (Pa)</t>
  </si>
  <si>
    <t xml:space="preserve">𝝫</t>
  </si>
  <si>
    <t xml:space="preserve">𝝫-1</t>
  </si>
  <si>
    <t xml:space="preserve">𝝫-1 fit</t>
  </si>
  <si>
    <t xml:space="preserve">polynomial</t>
  </si>
  <si>
    <t xml:space="preserve">res</t>
  </si>
  <si>
    <t xml:space="preserve">res2</t>
  </si>
  <si>
    <t xml:space="preserve">𝜸 (m)</t>
  </si>
  <si>
    <t xml:space="preserve">𝜸 Agena (m)</t>
  </si>
  <si>
    <t xml:space="preserve">𝜸 (m) [plotted]</t>
  </si>
  <si>
    <t xml:space="preserve">𝜸 Agena (m) [plotted]</t>
  </si>
  <si>
    <t xml:space="preserve">Partial</t>
  </si>
  <si>
    <t xml:space="preserve">mL/g</t>
  </si>
  <si>
    <t xml:space="preserve">Specific</t>
  </si>
  <si>
    <t xml:space="preserve">10.1016/S0021-9258(17)33347-1</t>
  </si>
  <si>
    <t xml:space="preserve">Volume</t>
  </si>
  <si>
    <t xml:space="preserve">Rho(H2O)</t>
  </si>
  <si>
    <t xml:space="preserve">g/L</t>
  </si>
  <si>
    <t xml:space="preserve">B2 (mL.mol/g.g)</t>
  </si>
  <si>
    <t xml:space="preserve">B2 (mL/g)</t>
  </si>
  <si>
    <t xml:space="preserve">B2 (mL/mol)</t>
  </si>
  <si>
    <t xml:space="preserve">D2 (g/mol)</t>
  </si>
  <si>
    <t xml:space="preserve">MW(NH4+)</t>
  </si>
  <si>
    <t xml:space="preserve">MW(HSO4-)</t>
  </si>
  <si>
    <t xml:space="preserve">MW(SO4--)</t>
  </si>
  <si>
    <t xml:space="preserve">MW(H3O+)</t>
  </si>
  <si>
    <t xml:space="preserve">MW(OH-)</t>
  </si>
  <si>
    <t xml:space="preserve">Charge</t>
  </si>
  <si>
    <t xml:space="preserve">pKa2</t>
  </si>
  <si>
    <t xml:space="preserve">Corrections applied to this workbook</t>
  </si>
  <si>
    <t xml:space="preserve">Donnan reference (equation 10): the term (Z m_P)^2/(4 m_S) is exact only for 1:1 electrolytes. For a general electrolyte, the dilute Donnan limit is (Z m_P)^2/(4 I), with I the ionic strength (both on the molal scale); for 1:1 salts I = m_S. The buffer-molality column now holds the ionic strength: I = [H2X-] + 3[HX2-] for the phosphate/sulphate/oxalate buffers.</t>
  </si>
  <si>
    <t xml:space="preserve">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</si>
  <si>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 xml:space="preserve">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</si>
  <si>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 xml:space="preserve">Polynomial fits of phi-1 versus molality were recomputed by linear least squares with the same terms and the same data points as the original Solver fits (points whose residual was set to 0 in the original remain excluded).</t>
  </si>
  <si>
    <t xml:space="preserve">Cell</t>
  </si>
  <si>
    <t xml:space="preserve">Original</t>
  </si>
  <si>
    <t xml:space="preserve">Corrected</t>
  </si>
  <si>
    <t xml:space="preserve">Reason</t>
  </si>
  <si>
    <t xml:space="preserve">J4</t>
  </si>
  <si>
    <t xml:space="preserve">=H4/($B$9 - H4*$AE$5 - L4*($B$11+$B$12) - M4*(2*$B$11+$B$13) - E4*$B$15 - F4*$B$16)</t>
  </si>
  <si>
    <t xml:space="preserve">=H4/($B$9*(1-H4*$AE$5*$B$5/1000) - L4*($B$11+$B$12) - M4*(2*$B$11+$B$13) - E4*$B$15 - F4*$B$16)</t>
  </si>
  <si>
    <t xml:space="preserve">molality: protein term of the water mass uses the partial specific volume, rho_w*(1 - c*M*nu), instead of subtracting the protein mass from rho_w</t>
  </si>
  <si>
    <t xml:space="preserve">N4</t>
  </si>
  <si>
    <t xml:space="preserve">=K4/($B$9 - H4*$AE$5 - L4*($B$11+$B$12) - M4*(2*$B$11+$B$13) - E4*$B$15 - F4*$B$16)</t>
  </si>
  <si>
    <t xml:space="preserve">=K4/($B$9*(1-H4*$AE$5*$B$5/1000) - L4*($B$11+$B$12) - M4*(2*$B$11+$B$13) - E4*$B$15 - F4*$B$16)</t>
  </si>
  <si>
    <t xml:space="preserve">buffer molality: same correction</t>
  </si>
  <si>
    <t xml:space="preserve">J5</t>
  </si>
  <si>
    <t xml:space="preserve">=H5/($B$9 - H5*$AE$5 - L5*($B$11+$B$12) - M5*(2*$B$11+$B$13) - E5*$B$15 - F5*$B$16)</t>
  </si>
  <si>
    <t xml:space="preserve">=H5/($B$9*(1-H5*$AE$5*$B$5/1000) - L5*($B$11+$B$12) - M5*(2*$B$11+$B$13) - E5*$B$15 - F5*$B$16)</t>
  </si>
  <si>
    <t xml:space="preserve">N5</t>
  </si>
  <si>
    <t xml:space="preserve">=K5/($B$9 - H5*$AE$5 - L5*($B$11+$B$12) - M5*(2*$B$11+$B$13) - E5*$B$15 - F5*$B$16)</t>
  </si>
  <si>
    <t xml:space="preserve">=K5/($B$9*(1-H5*$AE$5*$B$5/1000) - L5*($B$11+$B$12) - M5*(2*$B$11+$B$13) - E5*$B$15 - F5*$B$16)</t>
  </si>
  <si>
    <t xml:space="preserve">J6</t>
  </si>
  <si>
    <t xml:space="preserve">=H6/($B$9 - H6*$AE$5 - L6*($B$11+$B$12) - M6*(2*$B$11+$B$13) - E6*$B$15 - F6*$B$16)</t>
  </si>
  <si>
    <t xml:space="preserve">=H6/($B$9*(1-H6*$AE$5*$B$5/1000) - L6*($B$11+$B$12) - M6*(2*$B$11+$B$13) - E6*$B$15 - F6*$B$16)</t>
  </si>
  <si>
    <t xml:space="preserve">N6</t>
  </si>
  <si>
    <t xml:space="preserve">=K6/($B$9 - H6*$AE$5 - L6*($B$11+$B$12) - M6*(2*$B$11+$B$13) - E6*$B$15 - F6*$B$16)</t>
  </si>
  <si>
    <t xml:space="preserve">=K6/($B$9*(1-H6*$AE$5*$B$5/1000) - L6*($B$11+$B$12) - M6*(2*$B$11+$B$13) - E6*$B$15 - F6*$B$16)</t>
  </si>
  <si>
    <t xml:space="preserve">J7</t>
  </si>
  <si>
    <t xml:space="preserve">=H7/($B$9 - H7*$AE$5 - L7*($B$11+$B$12) - M7*(2*$B$11+$B$13) - E7*$B$15 - F7*$B$16)</t>
  </si>
  <si>
    <t xml:space="preserve">=H7/($B$9*(1-H7*$AE$5*$B$5/1000) - L7*($B$11+$B$12) - M7*(2*$B$11+$B$13) - E7*$B$15 - F7*$B$16)</t>
  </si>
  <si>
    <t xml:space="preserve">N7</t>
  </si>
  <si>
    <t xml:space="preserve">=K7/($B$9 - H7*$AE$5 - L7*($B$11+$B$12) - M7*(2*$B$11+$B$13) - E7*$B$15 - F7*$B$16)</t>
  </si>
  <si>
    <t xml:space="preserve">=K7/($B$9*(1-H7*$AE$5*$B$5/1000) - L7*($B$11+$B$12) - M7*(2*$B$11+$B$13) - E7*$B$15 - F7*$B$16)</t>
  </si>
  <si>
    <t xml:space="preserve">J8</t>
  </si>
  <si>
    <t xml:space="preserve">=H8/($B$9 - H8*$AE$5 - L8*($B$11+$B$12) - M8*(2*$B$11+$B$13) - E8*$B$15 - F8*$B$16)</t>
  </si>
  <si>
    <t xml:space="preserve">=H8/($B$9*(1-H8*$AE$5*$B$5/1000) - L8*($B$11+$B$12) - M8*(2*$B$11+$B$13) - E8*$B$15 - F8*$B$16)</t>
  </si>
  <si>
    <t xml:space="preserve">N8</t>
  </si>
  <si>
    <t xml:space="preserve">=K8/($B$9 - H8*$AE$5 - L8*($B$11+$B$12) - M8*(2*$B$11+$B$13) - E8*$B$15 - F8*$B$16)</t>
  </si>
  <si>
    <t xml:space="preserve">=K8/($B$9*(1-H8*$AE$5*$B$5/1000) - L8*($B$11+$B$12) - M8*(2*$B$11+$B$13) - E8*$B$15 - F8*$B$16)</t>
  </si>
  <si>
    <t xml:space="preserve">J9</t>
  </si>
  <si>
    <t xml:space="preserve">=H9/($B$9 - H9*$AE$5 - L9*($B$11+$B$12) - M9*(2*$B$11+$B$13) - E9*$B$15 - F9*$B$16)</t>
  </si>
  <si>
    <t xml:space="preserve">=H9/($B$9*(1-H9*$AE$5*$B$5/1000) - L9*($B$11+$B$12) - M9*(2*$B$11+$B$13) - E9*$B$15 - F9*$B$16)</t>
  </si>
  <si>
    <t xml:space="preserve">N9</t>
  </si>
  <si>
    <t xml:space="preserve">=K9/($B$9 - H9*$AE$5 - L9*($B$11+$B$12) - M9*(2*$B$11+$B$13) - E9*$B$15 - F9*$B$16)</t>
  </si>
  <si>
    <t xml:space="preserve">=K9/($B$9*(1-H9*$AE$5*$B$5/1000) - L9*($B$11+$B$12) - M9*(2*$B$11+$B$13) - E9*$B$15 - F9*$B$16)</t>
  </si>
  <si>
    <t xml:space="preserve">J10</t>
  </si>
  <si>
    <t xml:space="preserve">=H10/($B$9 - H10*$AE$5 - L10*($B$11+$B$12) - M10*(2*$B$11+$B$13) - E10*$B$15 - F10*$B$16)</t>
  </si>
  <si>
    <t xml:space="preserve">=H10/($B$9*(1-H10*$AE$5*$B$5/1000) - L10*($B$11+$B$12) - M10*(2*$B$11+$B$13) - E10*$B$15 - F10*$B$16)</t>
  </si>
  <si>
    <t xml:space="preserve">N10</t>
  </si>
  <si>
    <t xml:space="preserve">=K10/($B$9 - H10*$AE$5 - L10*($B$11+$B$12) - M10*(2*$B$11+$B$13) - E10*$B$15 - F10*$B$16)</t>
  </si>
  <si>
    <t xml:space="preserve">=K10/($B$9*(1-H10*$AE$5*$B$5/1000) - L10*($B$11+$B$12) - M10*(2*$B$11+$B$13) - E10*$B$15 - F10*$B$16)</t>
  </si>
  <si>
    <t xml:space="preserve">J11</t>
  </si>
  <si>
    <t xml:space="preserve">=H11/($B$9 - H11*$AE$5 - L11*($B$11+$B$12) - M11*(2*$B$11+$B$13) - E11*$B$15 - F11*$B$16)</t>
  </si>
  <si>
    <t xml:space="preserve">=H11/($B$9*(1-H11*$AE$5*$B$5/1000) - L11*($B$11+$B$12) - M11*(2*$B$11+$B$13) - E11*$B$15 - F11*$B$16)</t>
  </si>
  <si>
    <t xml:space="preserve">N11</t>
  </si>
  <si>
    <t xml:space="preserve">=K11/($B$9 - H11*$AE$5 - L11*($B$11+$B$12) - M11*(2*$B$11+$B$13) - E11*$B$15 - F11*$B$16)</t>
  </si>
  <si>
    <t xml:space="preserve">=K11/($B$9*(1-H11*$AE$5*$B$5/1000) - L11*($B$11+$B$12) - M11*(2*$B$11+$B$13) - E11*$B$15 - F11*$B$16)</t>
  </si>
  <si>
    <t xml:space="preserve">J12</t>
  </si>
  <si>
    <t xml:space="preserve">=H12/($B$9 - H12*$AE$5 - L12*($B$11+$B$12) - M12*(2*$B$11+$B$13) - E12*$B$15 - F12*$B$16)</t>
  </si>
  <si>
    <t xml:space="preserve">=H12/($B$9*(1-H12*$AE$5*$B$5/1000) - L12*($B$11+$B$12) - M12*(2*$B$11+$B$13) - E12*$B$15 - F12*$B$16)</t>
  </si>
  <si>
    <t xml:space="preserve">N12</t>
  </si>
  <si>
    <t xml:space="preserve">=K12/($B$9 - H12*$AE$5 - L12*($B$11+$B$12) - M12*(2*$B$11+$B$13) - E12*$B$15 - F12*$B$16)</t>
  </si>
  <si>
    <t xml:space="preserve">=K12/($B$9*(1-H12*$AE$5*$B$5/1000) - L12*($B$11+$B$12) - M12*(2*$B$11+$B$13) - E12*$B$15 - F12*$B$16)</t>
  </si>
  <si>
    <t xml:space="preserve">J13</t>
  </si>
  <si>
    <t xml:space="preserve">=H13/($B$9 - H13*$AE$5 - L13*($B$11+$B$12) - M13*(2*$B$11+$B$13) - E13*$B$15 - F13*$B$16)</t>
  </si>
  <si>
    <t xml:space="preserve">=H13/($B$9*(1-H13*$AE$5*$B$5/1000) - L13*($B$11+$B$12) - M13*(2*$B$11+$B$13) - E13*$B$15 - F13*$B$16)</t>
  </si>
  <si>
    <t xml:space="preserve">N13</t>
  </si>
  <si>
    <t xml:space="preserve">=K13/($B$9 - H13*$AE$5 - L13*($B$11+$B$12) - M13*(2*$B$11+$B$13) - E13*$B$15 - F13*$B$16)</t>
  </si>
  <si>
    <t xml:space="preserve">=K13/($B$9*(1-H13*$AE$5*$B$5/1000) - L13*($B$11+$B$12) - M13*(2*$B$11+$B$13) - E13*$B$15 - F13*$B$16)</t>
  </si>
  <si>
    <t xml:space="preserve">J14</t>
  </si>
  <si>
    <t xml:space="preserve">=H14/($B$9 - H14*$AE$5 - L14*($B$11+$B$12) - M14*(2*$B$11+$B$13) - E14*$B$15 - F14*$B$16)</t>
  </si>
  <si>
    <t xml:space="preserve">=H14/($B$9*(1-H14*$AE$5*$B$5/1000) - L14*($B$11+$B$12) - M14*(2*$B$11+$B$13) - E14*$B$15 - F14*$B$16)</t>
  </si>
  <si>
    <t xml:space="preserve">N14</t>
  </si>
  <si>
    <t xml:space="preserve">=K14/($B$9 - H14*$AE$5 - L14*($B$11+$B$12) - M14*(2*$B$11+$B$13) - E14*$B$15 - F14*$B$16)</t>
  </si>
  <si>
    <t xml:space="preserve">=K14/($B$9*(1-H14*$AE$5*$B$5/1000) - L14*($B$11+$B$12) - M14*(2*$B$11+$B$13) - E14*$B$15 - F14*$B$16)</t>
  </si>
  <si>
    <t xml:space="preserve">J15</t>
  </si>
  <si>
    <t xml:space="preserve">=H15/($B$9 - H15*$AE$5 - L15*($B$11+$B$12) - M15*(2*$B$11+$B$13) - E15*$B$15 - F15*$B$16)</t>
  </si>
  <si>
    <t xml:space="preserve">=H15/($B$9*(1-H15*$AE$5*$B$5/1000) - L15*($B$11+$B$12) - M15*(2*$B$11+$B$13) - E15*$B$15 - F15*$B$16)</t>
  </si>
  <si>
    <t xml:space="preserve">N15</t>
  </si>
  <si>
    <t xml:space="preserve">=K15/($B$9 - H15*$AE$5 - L15*($B$11+$B$12) - M15*(2*$B$11+$B$13) - E15*$B$15 - F15*$B$16)</t>
  </si>
  <si>
    <t xml:space="preserve">=K15/($B$9*(1-H15*$AE$5*$B$5/1000) - L15*($B$11+$B$12) - M15*(2*$B$11+$B$13) - E15*$B$15 - F15*$B$16)</t>
  </si>
  <si>
    <t xml:space="preserve">J16</t>
  </si>
  <si>
    <t xml:space="preserve">=H16/($B$9 - H16*$AE$5 - L16*($B$11+$B$12) - M16*(2*$B$11+$B$13) - E16*$B$15 - F16*$B$16)</t>
  </si>
  <si>
    <t xml:space="preserve">=H16/($B$9*(1-H16*$AE$5*$B$5/1000) - L16*($B$11+$B$12) - M16*(2*$B$11+$B$13) - E16*$B$15 - F16*$B$16)</t>
  </si>
  <si>
    <t xml:space="preserve">N16</t>
  </si>
  <si>
    <t xml:space="preserve">=K16/($B$9 - H16*$AE$5 - L16*($B$11+$B$12) - M16*(2*$B$11+$B$13) - E16*$B$15 - F16*$B$16)</t>
  </si>
  <si>
    <t xml:space="preserve">=K16/($B$9*(1-H16*$AE$5*$B$5/1000) - L16*($B$11+$B$12) - M16*(2*$B$11+$B$13) - E16*$B$15 - F16*$B$16)</t>
  </si>
  <si>
    <t xml:space="preserve">J17</t>
  </si>
  <si>
    <t xml:space="preserve">=H17/($B$9 - H17*$AE$5 - L17*($B$11+$B$12) - M17*(2*$B$11+$B$13) - E17*$B$15 - F17*$B$16)</t>
  </si>
  <si>
    <t xml:space="preserve">=H17/($B$9*(1-H17*$AE$5*$B$5/1000) - L17*($B$11+$B$12) - M17*(2*$B$11+$B$13) - E17*$B$15 - F17*$B$16)</t>
  </si>
  <si>
    <t xml:space="preserve">N17</t>
  </si>
  <si>
    <t xml:space="preserve">=K17/($B$9 - H17*$AE$5 - L17*($B$11+$B$12) - M17*(2*$B$11+$B$13) - E17*$B$15 - F17*$B$16)</t>
  </si>
  <si>
    <t xml:space="preserve">=K17/($B$9*(1-H17*$AE$5*$B$5/1000) - L17*($B$11+$B$12) - M17*(2*$B$11+$B$13) - E17*$B$15 - F17*$B$16)</t>
  </si>
  <si>
    <t xml:space="preserve">J18</t>
  </si>
  <si>
    <t xml:space="preserve">=H18/($B$9 - H18*$AE$5 - L18*($B$11+$B$12) - M18*(2*$B$11+$B$13) - E18*$B$15 - F18*$B$16)</t>
  </si>
  <si>
    <t xml:space="preserve">=H18/($B$9*(1-H18*$AE$5*$B$5/1000) - L18*($B$11+$B$12) - M18*(2*$B$11+$B$13) - E18*$B$15 - F18*$B$16)</t>
  </si>
  <si>
    <t xml:space="preserve">N18</t>
  </si>
  <si>
    <t xml:space="preserve">=K18/($B$9 - H18*$AE$5 - L18*($B$11+$B$12) - M18*(2*$B$11+$B$13) - E18*$B$15 - F18*$B$16)</t>
  </si>
  <si>
    <t xml:space="preserve">=K18/($B$9*(1-H18*$AE$5*$B$5/1000) - L18*($B$11+$B$12) - M18*(2*$B$11+$B$13) - E18*$B$15 - F18*$B$16)</t>
  </si>
  <si>
    <t xml:space="preserve">J19</t>
  </si>
  <si>
    <t xml:space="preserve">=H19/($B$9 - H19*$AE$5 - L19*($B$11+$B$12) - M19*(2*$B$11+$B$13) - E19*$B$15 - F19*$B$16)</t>
  </si>
  <si>
    <t xml:space="preserve">=H19/($B$9*(1-H19*$AE$5*$B$5/1000) - L19*($B$11+$B$12) - M19*(2*$B$11+$B$13) - E19*$B$15 - F19*$B$16)</t>
  </si>
  <si>
    <t xml:space="preserve">N19</t>
  </si>
  <si>
    <t xml:space="preserve">=K19/($B$9 - H19*$AE$5 - L19*($B$11+$B$12) - M19*(2*$B$11+$B$13) - E19*$B$15 - F19*$B$16)</t>
  </si>
  <si>
    <t xml:space="preserve">=K19/($B$9*(1-H19*$AE$5*$B$5/1000) - L19*($B$11+$B$12) - M19*(2*$B$11+$B$13) - E19*$B$15 - F19*$B$16)</t>
  </si>
  <si>
    <t xml:space="preserve">J20</t>
  </si>
  <si>
    <t xml:space="preserve">=H20/($B$9 - H20*$AE$5 - L20*($B$11+$B$12) - M20*(2*$B$11+$B$13) - E20*$B$15 - F20*$B$16)</t>
  </si>
  <si>
    <t xml:space="preserve">=H20/($B$9*(1-H20*$AE$5*$B$5/1000) - L20*($B$11+$B$12) - M20*(2*$B$11+$B$13) - E20*$B$15 - F20*$B$16)</t>
  </si>
  <si>
    <t xml:space="preserve">N20</t>
  </si>
  <si>
    <t xml:space="preserve">=K20/($B$9 - H20*$AE$5 - L20*($B$11+$B$12) - M20*(2*$B$11+$B$13) - E20*$B$15 - F20*$B$16)</t>
  </si>
  <si>
    <t xml:space="preserve">=K20/($B$9*(1-H20*$AE$5*$B$5/1000) - L20*($B$11+$B$12) - M20*(2*$B$11+$B$13) - E20*$B$15 - F20*$B$16)</t>
  </si>
  <si>
    <t xml:space="preserve">J21</t>
  </si>
  <si>
    <t xml:space="preserve">=H21/($B$9 - H21*$AE$5 - L21*($B$11+$B$12) - M21*(2*$B$11+$B$13) - E21*$B$15 - F21*$B$16)</t>
  </si>
  <si>
    <t xml:space="preserve">=H21/($B$9*(1-H21*$AE$5*$B$5/1000) - L21*($B$11+$B$12) - M21*(2*$B$11+$B$13) - E21*$B$15 - F21*$B$16)</t>
  </si>
  <si>
    <t xml:space="preserve">N21</t>
  </si>
  <si>
    <t xml:space="preserve">=K21/($B$9 - H21*$AE$5 - L21*($B$11+$B$12) - M21*(2*$B$11+$B$13) - E21*$B$15 - F21*$B$16)</t>
  </si>
  <si>
    <t xml:space="preserve">=K21/($B$9*(1-H21*$AE$5*$B$5/1000) - L21*($B$11+$B$12) - M21*(2*$B$11+$B$13) - E21*$B$15 - F21*$B$16)</t>
  </si>
  <si>
    <t xml:space="preserve">J22</t>
  </si>
  <si>
    <t xml:space="preserve">=H22/($B$9 - H22*$AE$5 - L22*($B$11+$B$12) - M22*(2*$B$11+$B$13) - E22*$B$15 - F22*$B$16)</t>
  </si>
  <si>
    <t xml:space="preserve">=H22/($B$9*(1-H22*$AE$5*$B$5/1000) - L22*($B$11+$B$12) - M22*(2*$B$11+$B$13) - E22*$B$15 - F22*$B$16)</t>
  </si>
  <si>
    <t xml:space="preserve">N22</t>
  </si>
  <si>
    <t xml:space="preserve">=K22/($B$9 - H22*$AE$5 - L22*($B$11+$B$12) - M22*(2*$B$11+$B$13) - E22*$B$15 - F22*$B$16)</t>
  </si>
  <si>
    <t xml:space="preserve">=K22/($B$9*(1-H22*$AE$5*$B$5/1000) - L22*($B$11+$B$12) - M22*(2*$B$11+$B$13) - E22*$B$15 - F22*$B$16)</t>
  </si>
  <si>
    <t xml:space="preserve">J23</t>
  </si>
  <si>
    <t xml:space="preserve">=H23/($B$9 - H23*$AE$5 - L23*($B$11+$B$12) - M23*(2*$B$11+$B$13) - E23*$B$15 - F23*$B$16)</t>
  </si>
  <si>
    <t xml:space="preserve">=H23/($B$9*(1-H23*$AE$5*$B$5/1000) - L23*($B$11+$B$12) - M23*(2*$B$11+$B$13) - E23*$B$15 - F23*$B$16)</t>
  </si>
  <si>
    <t xml:space="preserve">N23</t>
  </si>
  <si>
    <t xml:space="preserve">=K23/($B$9 - H23*$AE$5 - L23*($B$11+$B$12) - M23*(2*$B$11+$B$13) - E23*$B$15 - F23*$B$16)</t>
  </si>
  <si>
    <t xml:space="preserve">=K23/($B$9*(1-H23*$AE$5*$B$5/1000) - L23*($B$11+$B$12) - M23*(2*$B$11+$B$13) - E23*$B$15 - F23*$B$16)</t>
  </si>
  <si>
    <t xml:space="preserve">J24</t>
  </si>
  <si>
    <t xml:space="preserve">=H24/($B$9 - H24*$AE$5 - L24*($B$11+$B$12) - M24*(2*$B$11+$B$13) - E24*$B$15 - F24*$B$16)</t>
  </si>
  <si>
    <t xml:space="preserve">=H24/($B$9*(1-H24*$AE$5*$B$5/1000) - L24*($B$11+$B$12) - M24*(2*$B$11+$B$13) - E24*$B$15 - F24*$B$16)</t>
  </si>
  <si>
    <t xml:space="preserve">N24</t>
  </si>
  <si>
    <t xml:space="preserve">=K24/($B$9 - H24*$AE$5 - L24*($B$11+$B$12) - M24*(2*$B$11+$B$13) - E24*$B$15 - F24*$B$16)</t>
  </si>
  <si>
    <t xml:space="preserve">=K24/($B$9*(1-H24*$AE$5*$B$5/1000) - L24*($B$11+$B$12) - M24*(2*$B$11+$B$13) - E24*$B$15 - F24*$B$16)</t>
  </si>
  <si>
    <t xml:space="preserve">J25</t>
  </si>
  <si>
    <t xml:space="preserve">=H25/($B$9 - H25*$AE$5 - L25*($B$11+$B$12) - M25*(2*$B$11+$B$13) - E25*$B$15 - F25*$B$16)</t>
  </si>
  <si>
    <t xml:space="preserve">=H25/($B$9*(1-H25*$AE$5*$B$5/1000) - L25*($B$11+$B$12) - M25*(2*$B$11+$B$13) - E25*$B$15 - F25*$B$16)</t>
  </si>
  <si>
    <t xml:space="preserve">N25</t>
  </si>
  <si>
    <t xml:space="preserve">=K25/($B$9 - H25*$AE$5 - L25*($B$11+$B$12) - M25*(2*$B$11+$B$13) - E25*$B$15 - F25*$B$16)</t>
  </si>
  <si>
    <t xml:space="preserve">=K25/($B$9*(1-H25*$AE$5*$B$5/1000) - L25*($B$11+$B$12) - M25*(2*$B$11+$B$13) - E25*$B$15 - F25*$B$16)</t>
  </si>
  <si>
    <t xml:space="preserve">J26</t>
  </si>
  <si>
    <t xml:space="preserve">=H26/($B$9 - H26*$AE$5 - L26*($B$11+$B$12) - M26*(2*$B$11+$B$13) - E26*$B$15 - F26*$B$16)</t>
  </si>
  <si>
    <t xml:space="preserve">=H26/($B$9*(1-H26*$AE$5*$B$5/1000) - L26*($B$11+$B$12) - M26*(2*$B$11+$B$13) - E26*$B$15 - F26*$B$16)</t>
  </si>
  <si>
    <t xml:space="preserve">N26</t>
  </si>
  <si>
    <t xml:space="preserve">=K26/($B$9 - H26*$AE$5 - L26*($B$11+$B$12) - M26*(2*$B$11+$B$13) - E26*$B$15 - F26*$B$16)</t>
  </si>
  <si>
    <t xml:space="preserve">=K26/($B$9*(1-H26*$AE$5*$B$5/1000) - L26*($B$11+$B$12) - M26*(2*$B$11+$B$13) - E26*$B$15 - F26*$B$16)</t>
  </si>
  <si>
    <t xml:space="preserve">J27</t>
  </si>
  <si>
    <t xml:space="preserve">=H27/($B$9 - H27*$AE$5 - L27*($B$11+$B$12) - M27*(2*$B$11+$B$13) - E27*$B$15 - F27*$B$16)</t>
  </si>
  <si>
    <t xml:space="preserve">=H27/($B$9*(1-H27*$AE$5*$B$5/1000) - L27*($B$11+$B$12) - M27*(2*$B$11+$B$13) - E27*$B$15 - F27*$B$16)</t>
  </si>
  <si>
    <t xml:space="preserve">N27</t>
  </si>
  <si>
    <t xml:space="preserve">=K27/($B$9 - H27*$AE$5 - L27*($B$11+$B$12) - M27*(2*$B$11+$B$13) - E27*$B$15 - F27*$B$16)</t>
  </si>
  <si>
    <t xml:space="preserve">=K27/($B$9*(1-H27*$AE$5*$B$5/1000) - L27*($B$11+$B$12) - M27*(2*$B$11+$B$13) - E27*$B$15 - F27*$B$16)</t>
  </si>
  <si>
    <t xml:space="preserve">J28</t>
  </si>
  <si>
    <t xml:space="preserve">=H28/($B$9 - H28*$AE$5 - L28*($B$11+$B$12) - M28*(2*$B$11+$B$13) - E28*$B$15 - F28*$B$16)</t>
  </si>
  <si>
    <t xml:space="preserve">=H28/($B$9*(1-H28*$AE$5*$B$5/1000) - L28*($B$11+$B$12) - M28*(2*$B$11+$B$13) - E28*$B$15 - F28*$B$16)</t>
  </si>
  <si>
    <t xml:space="preserve">N28</t>
  </si>
  <si>
    <t xml:space="preserve">=K28/($B$9 - H28*$AE$5 - L28*($B$11+$B$12) - M28*(2*$B$11+$B$13) - E28*$B$15 - F28*$B$16)</t>
  </si>
  <si>
    <t xml:space="preserve">=K28/($B$9*(1-H28*$AE$5*$B$5/1000) - L28*($B$11+$B$12) - M28*(2*$B$11+$B$13) - E28*$B$15 - F28*$B$16)</t>
  </si>
  <si>
    <t xml:space="preserve">J29</t>
  </si>
  <si>
    <t xml:space="preserve">=H29/($B$9 - H29*$AE$5 - L29*($B$11+$B$12) - M29*(2*$B$11+$B$13) - E29*$B$15 - F29*$B$16)</t>
  </si>
  <si>
    <t xml:space="preserve">=H29/($B$9*(1-H29*$AE$5*$B$5/1000) - L29*($B$11+$B$12) - M29*(2*$B$11+$B$13) - E29*$B$15 - F29*$B$16)</t>
  </si>
  <si>
    <t xml:space="preserve">N29</t>
  </si>
  <si>
    <t xml:space="preserve">=K29/($B$9 - H29*$AE$5 - L29*($B$11+$B$12) - M29*(2*$B$11+$B$13) - E29*$B$15 - F29*$B$16)</t>
  </si>
  <si>
    <t xml:space="preserve">=K29/($B$9*(1-H29*$AE$5*$B$5/1000) - L29*($B$11+$B$12) - M29*(2*$B$11+$B$13) - E29*$B$15 - F29*$B$16)</t>
  </si>
  <si>
    <t xml:space="preserve">J30</t>
  </si>
  <si>
    <t xml:space="preserve">=H30/($B$9 - H30*$AE$5 - L30*($B$11+$B$12) - M30*(2*$B$11+$B$13) - E30*$B$15 - F30*$B$16)</t>
  </si>
  <si>
    <t xml:space="preserve">=H30/($B$9*(1-H30*$AE$5*$B$5/1000) - L30*($B$11+$B$12) - M30*(2*$B$11+$B$13) - E30*$B$15 - F30*$B$16)</t>
  </si>
  <si>
    <t xml:space="preserve">N30</t>
  </si>
  <si>
    <t xml:space="preserve">=K30/($B$9 - H30*$AE$5 - L30*($B$11+$B$12) - M30*(2*$B$11+$B$13) - E30*$B$15 - F30*$B$16)</t>
  </si>
  <si>
    <t xml:space="preserve">=K30/($B$9*(1-H30*$AE$5*$B$5/1000) - L30*($B$11+$B$12) - M30*(2*$B$11+$B$13) - E30*$B$15 - F30*$B$16)</t>
  </si>
  <si>
    <t xml:space="preserve">J31</t>
  </si>
  <si>
    <t xml:space="preserve">=H31/($B$9 - H31*$AE$6 - L31*($B$11+$B$12) - M31*(2*$B$11+$B$13) - E31*$B$15 - F31*$B$16)</t>
  </si>
  <si>
    <t xml:space="preserve">=H31/($B$9*(1-H31*$AE$6*$B$5/1000) - L31*($B$11+$B$12) - M31*(2*$B$11+$B$13) - E31*$B$15 - F31*$B$16)</t>
  </si>
  <si>
    <t xml:space="preserve">N31</t>
  </si>
  <si>
    <t xml:space="preserve">=K31/($B$9 - H31*$AE$5 - L31*($B$11+$B$12) - M31*(2*$B$11+$B$13) - E31*$B$15 - F31*$B$16)</t>
  </si>
  <si>
    <t xml:space="preserve">=K31/($B$9*(1-H31*$AE$5*$B$5/1000) - L31*($B$11+$B$12) - M31*(2*$B$11+$B$13) - E31*$B$15 - F31*$B$16)</t>
  </si>
  <si>
    <t xml:space="preserve">J32</t>
  </si>
  <si>
    <t xml:space="preserve">=H32/($B$9 - H32*$AE$6 - L32*($B$11+$B$12) - M32*(2*$B$11+$B$13) - E32*$B$15 - F32*$B$16)</t>
  </si>
  <si>
    <t xml:space="preserve">=H32/($B$9*(1-H32*$AE$6*$B$5/1000) - L32*($B$11+$B$12) - M32*(2*$B$11+$B$13) - E32*$B$15 - F32*$B$16)</t>
  </si>
  <si>
    <t xml:space="preserve">N32</t>
  </si>
  <si>
    <t xml:space="preserve">=K32/($B$9 - H32*$AE$5 - L32*($B$11+$B$12) - M32*(2*$B$11+$B$13) - E32*$B$15 - F32*$B$16)</t>
  </si>
  <si>
    <t xml:space="preserve">=K32/($B$9*(1-H32*$AE$5*$B$5/1000) - L32*($B$11+$B$12) - M32*(2*$B$11+$B$13) - E32*$B$15 - F32*$B$16)</t>
  </si>
  <si>
    <t xml:space="preserve">J33</t>
  </si>
  <si>
    <t xml:space="preserve">=H33/($B$9 - H33*$AE$6 - L33*($B$11+$B$12) - M33*(2*$B$11+$B$13) - E33*$B$15 - F33*$B$16)</t>
  </si>
  <si>
    <t xml:space="preserve">=H33/($B$9*(1-H33*$AE$6*$B$5/1000) - L33*($B$11+$B$12) - M33*(2*$B$11+$B$13) - E33*$B$15 - F33*$B$16)</t>
  </si>
  <si>
    <t xml:space="preserve">N33</t>
  </si>
  <si>
    <t xml:space="preserve">=K33/($B$9 - H33*$AE$5 - L33*($B$11+$B$12) - M33*(2*$B$11+$B$13) - E33*$B$15 - F33*$B$16)</t>
  </si>
  <si>
    <t xml:space="preserve">=K33/($B$9*(1-H33*$AE$5*$B$5/1000) - L33*($B$11+$B$12) - M33*(2*$B$11+$B$13) - E33*$B$15 - F33*$B$16)</t>
  </si>
  <si>
    <t xml:space="preserve">J34</t>
  </si>
  <si>
    <t xml:space="preserve">=H34/($B$9 - H34*$AE$6 - L34*($B$11+$B$12) - M34*(2*$B$11+$B$13) - E34*$B$15 - F34*$B$16)</t>
  </si>
  <si>
    <t xml:space="preserve">=H34/($B$9*(1-H34*$AE$6*$B$5/1000) - L34*($B$11+$B$12) - M34*(2*$B$11+$B$13) - E34*$B$15 - F34*$B$16)</t>
  </si>
  <si>
    <t xml:space="preserve">N34</t>
  </si>
  <si>
    <t xml:space="preserve">=K34/($B$9 - H34*$AE$5 - L34*($B$11+$B$12) - M34*(2*$B$11+$B$13) - E34*$B$15 - F34*$B$16)</t>
  </si>
  <si>
    <t xml:space="preserve">=K34/($B$9*(1-H34*$AE$5*$B$5/1000) - L34*($B$11+$B$12) - M34*(2*$B$11+$B$13) - E34*$B$15 - F34*$B$16)</t>
  </si>
  <si>
    <t xml:space="preserve">J35</t>
  </si>
  <si>
    <t xml:space="preserve">=H35/($B$9 - H35*$AE$6 - L35*($B$11+$B$12) - M35*(2*$B$11+$B$13) - E35*$B$15 - F35*$B$16)</t>
  </si>
  <si>
    <t xml:space="preserve">=H35/($B$9*(1-H35*$AE$6*$B$5/1000) - L35*($B$11+$B$12) - M35*(2*$B$11+$B$13) - E35*$B$15 - F35*$B$16)</t>
  </si>
  <si>
    <t xml:space="preserve">N35</t>
  </si>
  <si>
    <t xml:space="preserve">=K35/($B$9 - H35*$AE$5 - L35*($B$11+$B$12) - M35*(2*$B$11+$B$13) - E35*$B$15 - F35*$B$16)</t>
  </si>
  <si>
    <t xml:space="preserve">=K35/($B$9*(1-H35*$AE$5*$B$5/1000) - L35*($B$11+$B$12) - M35*(2*$B$11+$B$13) - E35*$B$15 - F35*$B$16)</t>
  </si>
  <si>
    <t xml:space="preserve">J36</t>
  </si>
  <si>
    <t xml:space="preserve">=H36/($B$9 - H36*$AE$6 - L36*($B$11+$B$12) - M36*(2*$B$11+$B$13) - E36*$B$15 - F36*$B$16)</t>
  </si>
  <si>
    <t xml:space="preserve">=H36/($B$9*(1-H36*$AE$6*$B$5/1000) - L36*($B$11+$B$12) - M36*(2*$B$11+$B$13) - E36*$B$15 - F36*$B$16)</t>
  </si>
  <si>
    <t xml:space="preserve">N36</t>
  </si>
  <si>
    <t xml:space="preserve">=K36/($B$9 - H36*$AE$5 - L36*($B$11+$B$12) - M36*(2*$B$11+$B$13) - E36*$B$15 - F36*$B$16)</t>
  </si>
  <si>
    <t xml:space="preserve">=K36/($B$9*(1-H36*$AE$5*$B$5/1000) - L36*($B$11+$B$12) - M36*(2*$B$11+$B$13) - E36*$B$15 - F36*$B$16)</t>
  </si>
  <si>
    <t xml:space="preserve">J37</t>
  </si>
  <si>
    <t xml:space="preserve">=H37/($B$9 - H37*$AE$6 - L37*($B$11+$B$12) - M37*(2*$B$11+$B$13) - E37*$B$15 - F37*$B$16)</t>
  </si>
  <si>
    <t xml:space="preserve">=H37/($B$9*(1-H37*$AE$6*$B$5/1000) - L37*($B$11+$B$12) - M37*(2*$B$11+$B$13) - E37*$B$15 - F37*$B$16)</t>
  </si>
  <si>
    <t xml:space="preserve">N37</t>
  </si>
  <si>
    <t xml:space="preserve">=K37/($B$9 - H37*$AE$5 - L37*($B$11+$B$12) - M37*(2*$B$11+$B$13) - E37*$B$15 - F37*$B$16)</t>
  </si>
  <si>
    <t xml:space="preserve">=K37/($B$9*(1-H37*$AE$5*$B$5/1000) - L37*($B$11+$B$12) - M37*(2*$B$11+$B$13) - E37*$B$15 - F37*$B$16)</t>
  </si>
  <si>
    <t xml:space="preserve">J38</t>
  </si>
  <si>
    <t xml:space="preserve">=H38/($B$9 - H38*$AE$6 - L38*($B$11+$B$12) - M38*(2*$B$11+$B$13) - E38*$B$15 - F38*$B$16)</t>
  </si>
  <si>
    <t xml:space="preserve">=H38/($B$9*(1-H38*$AE$6*$B$5/1000) - L38*($B$11+$B$12) - M38*(2*$B$11+$B$13) - E38*$B$15 - F38*$B$16)</t>
  </si>
  <si>
    <t xml:space="preserve">N38</t>
  </si>
  <si>
    <t xml:space="preserve">=K38/($B$9 - H38*$AE$5 - L38*($B$11+$B$12) - M38*(2*$B$11+$B$13) - E38*$B$15 - F38*$B$16)</t>
  </si>
  <si>
    <t xml:space="preserve">=K38/($B$9*(1-H38*$AE$5*$B$5/1000) - L38*($B$11+$B$12) - M38*(2*$B$11+$B$13) - E38*$B$15 - F38*$B$16)</t>
  </si>
  <si>
    <t xml:space="preserve">J39</t>
  </si>
  <si>
    <t xml:space="preserve">=H39/($B$9 - H39*$AE$6 - L39*($B$11+$B$12) - M39*(2*$B$11+$B$13) - E39*$B$15 - F39*$B$16)</t>
  </si>
  <si>
    <t xml:space="preserve">=H39/($B$9*(1-H39*$AE$6*$B$5/1000) - L39*($B$11+$B$12) - M39*(2*$B$11+$B$13) - E39*$B$15 - F39*$B$16)</t>
  </si>
  <si>
    <t xml:space="preserve">N39</t>
  </si>
  <si>
    <t xml:space="preserve">=K39/($B$9 - H39*$AE$5 - L39*($B$11+$B$12) - M39*(2*$B$11+$B$13) - E39*$B$15 - F39*$B$16)</t>
  </si>
  <si>
    <t xml:space="preserve">=K39/($B$9*(1-H39*$AE$5*$B$5/1000) - L39*($B$11+$B$12) - M39*(2*$B$11+$B$13) - E39*$B$15 - F39*$B$16)</t>
  </si>
  <si>
    <t xml:space="preserve">J40</t>
  </si>
  <si>
    <t xml:space="preserve">=H40/($B$9 - H40*$AE$7 - L40*($B$11+$B$12) - M40*(2*$B$11+$B$13) - E40*$B$15 - F40*$B$16)</t>
  </si>
  <si>
    <t xml:space="preserve">=H40/($B$9*(1-H40*$AE$7*$B$5/1000) - L40*($B$11+$B$12) - M40*(2*$B$11+$B$13) - E40*$B$15 - F40*$B$16)</t>
  </si>
  <si>
    <t xml:space="preserve">N40</t>
  </si>
  <si>
    <t xml:space="preserve">=K40/($B$9 - H40*$AE$5 - L40*($B$11+$B$12) - M40*(2*$B$11+$B$13) - E40*$B$15 - F40*$B$16)</t>
  </si>
  <si>
    <t xml:space="preserve">=K40/($B$9*(1-H40*$AE$5*$B$5/1000) - L40*($B$11+$B$12) - M40*(2*$B$11+$B$13) - E40*$B$15 - F40*$B$16)</t>
  </si>
  <si>
    <t xml:space="preserve">J41</t>
  </si>
  <si>
    <t xml:space="preserve">=H41/($B$9 - H41*$AE$7 - L41*($B$11+$B$12) - M41*(2*$B$11+$B$13) - E41*$B$15 - F41*$B$16)</t>
  </si>
  <si>
    <t xml:space="preserve">=H41/($B$9*(1-H41*$AE$7*$B$5/1000) - L41*($B$11+$B$12) - M41*(2*$B$11+$B$13) - E41*$B$15 - F41*$B$16)</t>
  </si>
  <si>
    <t xml:space="preserve">N41</t>
  </si>
  <si>
    <t xml:space="preserve">=K41/($B$9 - H41*$AE$5 - L41*($B$11+$B$12) - M41*(2*$B$11+$B$13) - E41*$B$15 - F41*$B$16)</t>
  </si>
  <si>
    <t xml:space="preserve">=K41/($B$9*(1-H41*$AE$5*$B$5/1000) - L41*($B$11+$B$12) - M41*(2*$B$11+$B$13) - E41*$B$15 - F41*$B$16)</t>
  </si>
  <si>
    <t xml:space="preserve">J42</t>
  </si>
  <si>
    <t xml:space="preserve">=H42/($B$9 - H42*$AE$7 - L42*($B$11+$B$12) - M42*(2*$B$11+$B$13) - E42*$B$15 - F42*$B$16)</t>
  </si>
  <si>
    <t xml:space="preserve">=H42/($B$9*(1-H42*$AE$7*$B$5/1000) - L42*($B$11+$B$12) - M42*(2*$B$11+$B$13) - E42*$B$15 - F42*$B$16)</t>
  </si>
  <si>
    <t xml:space="preserve">N42</t>
  </si>
  <si>
    <t xml:space="preserve">=K42/($B$9 - H42*$AE$5 - L42*($B$11+$B$12) - M42*(2*$B$11+$B$13) - E42*$B$15 - F42*$B$16)</t>
  </si>
  <si>
    <t xml:space="preserve">=K42/($B$9*(1-H42*$AE$5*$B$5/1000) - L42*($B$11+$B$12) - M42*(2*$B$11+$B$13) - E42*$B$15 - F42*$B$16)</t>
  </si>
  <si>
    <t xml:space="preserve">J43</t>
  </si>
  <si>
    <t xml:space="preserve">=H43/($B$9 - H43*$AE$7 - L43*($B$11+$B$12) - M43*(2*$B$11+$B$13) - E43*$B$15 - F43*$B$16)</t>
  </si>
  <si>
    <t xml:space="preserve">=H43/($B$9*(1-H43*$AE$7*$B$5/1000) - L43*($B$11+$B$12) - M43*(2*$B$11+$B$13) - E43*$B$15 - F43*$B$16)</t>
  </si>
  <si>
    <t xml:space="preserve">N43</t>
  </si>
  <si>
    <t xml:space="preserve">=K43/($B$9 - H43*$AE$5 - L43*($B$11+$B$12) - M43*(2*$B$11+$B$13) - E43*$B$15 - F43*$B$16)</t>
  </si>
  <si>
    <t xml:space="preserve">=K43/($B$9*(1-H43*$AE$5*$B$5/1000) - L43*($B$11+$B$12) - M43*(2*$B$11+$B$13) - E43*$B$15 - F43*$B$16)</t>
  </si>
  <si>
    <t xml:space="preserve">J44</t>
  </si>
  <si>
    <t xml:space="preserve">=H44/($B$9 - H44*$AE$7 - L44*($B$11+$B$12) - M44*(2*$B$11+$B$13) - E44*$B$15 - F44*$B$16)</t>
  </si>
  <si>
    <t xml:space="preserve">=H44/($B$9*(1-H44*$AE$7*$B$5/1000) - L44*($B$11+$B$12) - M44*(2*$B$11+$B$13) - E44*$B$15 - F44*$B$16)</t>
  </si>
  <si>
    <t xml:space="preserve">N44</t>
  </si>
  <si>
    <t xml:space="preserve">=K44/($B$9 - H44*$AE$5 - L44*($B$11+$B$12) - M44*(2*$B$11+$B$13) - E44*$B$15 - F44*$B$16)</t>
  </si>
  <si>
    <t xml:space="preserve">=K44/($B$9*(1-H44*$AE$5*$B$5/1000) - L44*($B$11+$B$12) - M44*(2*$B$11+$B$13) - E44*$B$15 - F44*$B$16)</t>
  </si>
  <si>
    <t xml:space="preserve">J45</t>
  </si>
  <si>
    <t xml:space="preserve">=H45/($B$9 - H45*$AE$7 - L45*($B$11+$B$12) - M45*(2*$B$11+$B$13) - E45*$B$15 - F45*$B$16)</t>
  </si>
  <si>
    <t xml:space="preserve">=H45/($B$9*(1-H45*$AE$7*$B$5/1000) - L45*($B$11+$B$12) - M45*(2*$B$11+$B$13) - E45*$B$15 - F45*$B$16)</t>
  </si>
  <si>
    <t xml:space="preserve">N45</t>
  </si>
  <si>
    <t xml:space="preserve">=K45/($B$9 - H45*$AE$5 - L45*($B$11+$B$12) - M45*(2*$B$11+$B$13) - E45*$B$15 - F45*$B$16)</t>
  </si>
  <si>
    <t xml:space="preserve">=K45/($B$9*(1-H45*$AE$5*$B$5/1000) - L45*($B$11+$B$12) - M45*(2*$B$11+$B$13) - E45*$B$15 - F45*$B$16)</t>
  </si>
  <si>
    <t xml:space="preserve">J46</t>
  </si>
  <si>
    <t xml:space="preserve">=H46/($B$9 - H46*$AE$7 - L46*($B$11+$B$12) - M46*(2*$B$11+$B$13) - E46*$B$15 - F46*$B$16)</t>
  </si>
  <si>
    <t xml:space="preserve">=H46/($B$9*(1-H46*$AE$7*$B$5/1000) - L46*($B$11+$B$12) - M46*(2*$B$11+$B$13) - E46*$B$15 - F46*$B$16)</t>
  </si>
  <si>
    <t xml:space="preserve">N46</t>
  </si>
  <si>
    <t xml:space="preserve">=K46/($B$9 - H46*$AE$5 - L46*($B$11+$B$12) - M46*(2*$B$11+$B$13) - E46*$B$15 - F46*$B$16)</t>
  </si>
  <si>
    <t xml:space="preserve">=K46/($B$9*(1-H46*$AE$5*$B$5/1000) - L46*($B$11+$B$12) - M46*(2*$B$11+$B$13) - E46*$B$15 - F46*$B$16)</t>
  </si>
  <si>
    <t xml:space="preserve">J47</t>
  </si>
  <si>
    <t xml:space="preserve">=H47/($B$9 - H47*$AE$7 - L47*($B$11+$B$12) - M47*(2*$B$11+$B$13) - E47*$B$15 - F47*$B$16)</t>
  </si>
  <si>
    <t xml:space="preserve">=H47/($B$9*(1-H47*$AE$7*$B$5/1000) - L47*($B$11+$B$12) - M47*(2*$B$11+$B$13) - E47*$B$15 - F47*$B$16)</t>
  </si>
  <si>
    <t xml:space="preserve">N47</t>
  </si>
  <si>
    <t xml:space="preserve">=K47/($B$9 - H47*$AE$5 - L47*($B$11+$B$12) - M47*(2*$B$11+$B$13) - E47*$B$15 - F47*$B$16)</t>
  </si>
  <si>
    <t xml:space="preserve">=K47/($B$9*(1-H47*$AE$5*$B$5/1000) - L47*($B$11+$B$12) - M47*(2*$B$11+$B$13) - E47*$B$15 - F47*$B$16)</t>
  </si>
  <si>
    <t xml:space="preserve">J48</t>
  </si>
  <si>
    <t xml:space="preserve">=H48/($B$9 - H48*$AE$7 - L48*($B$11+$B$12) - M48*(2*$B$11+$B$13) - E48*$B$15 - F48*$B$16)</t>
  </si>
  <si>
    <t xml:space="preserve">=H48/($B$9*(1-H48*$AE$7*$B$5/1000) - L48*($B$11+$B$12) - M48*(2*$B$11+$B$13) - E48*$B$15 - F48*$B$16)</t>
  </si>
  <si>
    <t xml:space="preserve">N48</t>
  </si>
  <si>
    <t xml:space="preserve">=K48/($B$9 - H48*$AE$5 - L48*($B$11+$B$12) - M48*(2*$B$11+$B$13) - E48*$B$15 - F48*$B$16)</t>
  </si>
  <si>
    <t xml:space="preserve">=K48/($B$9*(1-H48*$AE$5*$B$5/1000) - L48*($B$11+$B$12) - M48*(2*$B$11+$B$13) - E48*$B$15 - F48*$B$16)</t>
  </si>
  <si>
    <t xml:space="preserve">J49</t>
  </si>
  <si>
    <t xml:space="preserve">=H49/($B$9 - H49*$AE$8 - L49*($B$11+$B$12) - M49*(2*$B$11+$B$13) - E49*$B$15 - F49*$B$16)</t>
  </si>
  <si>
    <t xml:space="preserve">=H49/($B$9*(1-H49*$AE$8*$B$5/1000) - L49*($B$11+$B$12) - M49*(2*$B$11+$B$13) - E49*$B$15 - F49*$B$16)</t>
  </si>
  <si>
    <t xml:space="preserve">N49</t>
  </si>
  <si>
    <t xml:space="preserve">=K49/($B$9 - H49*$AE$5 - L49*($B$11+$B$12) - M49*(2*$B$11+$B$13) - E49*$B$15 - F49*$B$16)</t>
  </si>
  <si>
    <t xml:space="preserve">=K49/($B$9*(1-H49*$AE$5*$B$5/1000) - L49*($B$11+$B$12) - M49*(2*$B$11+$B$13) - E49*$B$15 - F49*$B$16)</t>
  </si>
  <si>
    <t xml:space="preserve">J50</t>
  </si>
  <si>
    <t xml:space="preserve">=H50/($B$9 - H50*$AE$8 - L50*($B$11+$B$12) - M50*(2*$B$11+$B$13) - E50*$B$15 - F50*$B$16)</t>
  </si>
  <si>
    <t xml:space="preserve">=H50/($B$9*(1-H50*$AE$8*$B$5/1000) - L50*($B$11+$B$12) - M50*(2*$B$11+$B$13) - E50*$B$15 - F50*$B$16)</t>
  </si>
  <si>
    <t xml:space="preserve">N50</t>
  </si>
  <si>
    <t xml:space="preserve">=K50/($B$9 - H50*$AE$5 - L50*($B$11+$B$12) - M50*(2*$B$11+$B$13) - E50*$B$15 - F50*$B$16)</t>
  </si>
  <si>
    <t xml:space="preserve">=K50/($B$9*(1-H50*$AE$5*$B$5/1000) - L50*($B$11+$B$12) - M50*(2*$B$11+$B$13) - E50*$B$15 - F50*$B$16)</t>
  </si>
  <si>
    <t xml:space="preserve">J51</t>
  </si>
  <si>
    <t xml:space="preserve">=H51/($B$9 - H51*$AE$8 - L51*($B$11+$B$12) - M51*(2*$B$11+$B$13) - E51*$B$15 - F51*$B$16)</t>
  </si>
  <si>
    <t xml:space="preserve">=H51/($B$9*(1-H51*$AE$8*$B$5/1000) - L51*($B$11+$B$12) - M51*(2*$B$11+$B$13) - E51*$B$15 - F51*$B$16)</t>
  </si>
  <si>
    <t xml:space="preserve">N51</t>
  </si>
  <si>
    <t xml:space="preserve">=K51/($B$9 - H51*$AE$5 - L51*($B$11+$B$12) - M51*(2*$B$11+$B$13) - E51*$B$15 - F51*$B$16)</t>
  </si>
  <si>
    <t xml:space="preserve">=K51/($B$9*(1-H51*$AE$5*$B$5/1000) - L51*($B$11+$B$12) - M51*(2*$B$11+$B$13) - E51*$B$15 - F51*$B$16)</t>
  </si>
  <si>
    <t xml:space="preserve">J52</t>
  </si>
  <si>
    <t xml:space="preserve">=H52/($B$9 - H52*$AE$8 - L52*($B$11+$B$12) - M52*(2*$B$11+$B$13) - E52*$B$15 - F52*$B$16)</t>
  </si>
  <si>
    <t xml:space="preserve">=H52/($B$9*(1-H52*$AE$8*$B$5/1000) - L52*($B$11+$B$12) - M52*(2*$B$11+$B$13) - E52*$B$15 - F52*$B$16)</t>
  </si>
  <si>
    <t xml:space="preserve">N52</t>
  </si>
  <si>
    <t xml:space="preserve">=K52/($B$9 - H52*$AE$5 - L52*($B$11+$B$12) - M52*(2*$B$11+$B$13) - E52*$B$15 - F52*$B$16)</t>
  </si>
  <si>
    <t xml:space="preserve">=K52/($B$9*(1-H52*$AE$5*$B$5/1000) - L52*($B$11+$B$12) - M52*(2*$B$11+$B$13) - E52*$B$15 - F52*$B$16)</t>
  </si>
  <si>
    <t xml:space="preserve">J53</t>
  </si>
  <si>
    <t xml:space="preserve">=H53/($B$9 - H53*$AE$8 - L53*($B$11+$B$12) - M53*(2*$B$11+$B$13) - E53*$B$15 - F53*$B$16)</t>
  </si>
  <si>
    <t xml:space="preserve">=H53/($B$9*(1-H53*$AE$8*$B$5/1000) - L53*($B$11+$B$12) - M53*(2*$B$11+$B$13) - E53*$B$15 - F53*$B$16)</t>
  </si>
  <si>
    <t xml:space="preserve">N53</t>
  </si>
  <si>
    <t xml:space="preserve">=K53/($B$9 - H53*$AE$5 - L53*($B$11+$B$12) - M53*(2*$B$11+$B$13) - E53*$B$15 - F53*$B$16)</t>
  </si>
  <si>
    <t xml:space="preserve">=K53/($B$9*(1-H53*$AE$5*$B$5/1000) - L53*($B$11+$B$12) - M53*(2*$B$11+$B$13) - E53*$B$15 - F53*$B$16)</t>
  </si>
  <si>
    <t xml:space="preserve">J54</t>
  </si>
  <si>
    <t xml:space="preserve">=H54/($B$9 - H54*$AE$8 - L54*($B$11+$B$12) - M54*(2*$B$11+$B$13) - E54*$B$15 - F54*$B$16)</t>
  </si>
  <si>
    <t xml:space="preserve">=H54/($B$9*(1-H54*$AE$8*$B$5/1000) - L54*($B$11+$B$12) - M54*(2*$B$11+$B$13) - E54*$B$15 - F54*$B$16)</t>
  </si>
  <si>
    <t xml:space="preserve">N54</t>
  </si>
  <si>
    <t xml:space="preserve">=K54/($B$9 - H54*$AE$5 - L54*($B$11+$B$12) - M54*(2*$B$11+$B$13) - E54*$B$15 - F54*$B$16)</t>
  </si>
  <si>
    <t xml:space="preserve">=K54/($B$9*(1-H54*$AE$5*$B$5/1000) - L54*($B$11+$B$12) - M54*(2*$B$11+$B$13) - E54*$B$15 - F54*$B$16)</t>
  </si>
  <si>
    <t xml:space="preserve">J55</t>
  </si>
  <si>
    <t xml:space="preserve">=H55/($B$9 - H55*$AE$8 - L55*($B$11+$B$12) - M55*(2*$B$11+$B$13) - E55*$B$15 - F55*$B$16)</t>
  </si>
  <si>
    <t xml:space="preserve">=H55/($B$9*(1-H55*$AE$8*$B$5/1000) - L55*($B$11+$B$12) - M55*(2*$B$11+$B$13) - E55*$B$15 - F55*$B$16)</t>
  </si>
  <si>
    <t xml:space="preserve">N55</t>
  </si>
  <si>
    <t xml:space="preserve">=K55/($B$9 - H55*$AE$5 - L55*($B$11+$B$12) - M55*(2*$B$11+$B$13) - E55*$B$15 - F55*$B$16)</t>
  </si>
  <si>
    <t xml:space="preserve">=K55/($B$9*(1-H55*$AE$5*$B$5/1000) - L55*($B$11+$B$12) - M55*(2*$B$11+$B$13) - E55*$B$15 - F55*$B$16)</t>
  </si>
  <si>
    <t xml:space="preserve">J56</t>
  </si>
  <si>
    <t xml:space="preserve">=H56/($B$9 - H56*$AE$8 - L56*($B$11+$B$12) - M56*(2*$B$11+$B$13) - E56*$B$15 - F56*$B$16)</t>
  </si>
  <si>
    <t xml:space="preserve">=H56/($B$9*(1-H56*$AE$8*$B$5/1000) - L56*($B$11+$B$12) - M56*(2*$B$11+$B$13) - E56*$B$15 - F56*$B$16)</t>
  </si>
  <si>
    <t xml:space="preserve">N56</t>
  </si>
  <si>
    <t xml:space="preserve">=K56/($B$9 - H56*$AE$5 - L56*($B$11+$B$12) - M56*(2*$B$11+$B$13) - E56*$B$15 - F56*$B$16)</t>
  </si>
  <si>
    <t xml:space="preserve">=K56/($B$9*(1-H56*$AE$5*$B$5/1000) - L56*($B$11+$B$12) - M56*(2*$B$11+$B$13) - E56*$B$15 - F56*$B$16)</t>
  </si>
  <si>
    <t xml:space="preserve">J57</t>
  </si>
  <si>
    <t xml:space="preserve">=H57/($B$9 - H57*$AE$8 - L57*($B$11+$B$12) - M57*(2*$B$11+$B$13) - E57*$B$15 - F57*$B$16)</t>
  </si>
  <si>
    <t xml:space="preserve">=H57/($B$9*(1-H57*$AE$8*$B$5/1000) - L57*($B$11+$B$12) - M57*(2*$B$11+$B$13) - E57*$B$15 - F57*$B$16)</t>
  </si>
  <si>
    <t xml:space="preserve">N57</t>
  </si>
  <si>
    <t xml:space="preserve">=K57/($B$9 - H57*$AE$5 - L57*($B$11+$B$12) - M57*(2*$B$11+$B$13) - E57*$B$15 - F57*$B$16)</t>
  </si>
  <si>
    <t xml:space="preserve">=K57/($B$9*(1-H57*$AE$5*$B$5/1000) - L57*($B$11+$B$12) - M57*(2*$B$11+$B$13) - E57*$B$15 - F57*$B$16)</t>
  </si>
  <si>
    <t xml:space="preserve">=(L4+3*M4)/($B$9*(1-H4*$AE$5*$B$5/1000) - L4*($B$11+$B$12) - M4*(2*$B$11+$B$13) - E4*$B$15 - F4*$B$16)</t>
  </si>
  <si>
    <t xml:space="preserve">Donnan term (equation 10): ionic strength (molal) instead of salt molality, which generalises the 1:1 expression to multivalent electrolytes</t>
  </si>
  <si>
    <t xml:space="preserve">=(L5+3*M5)/($B$9*(1-H5*$AE$5*$B$5/1000) - L5*($B$11+$B$12) - M5*(2*$B$11+$B$13) - E5*$B$15 - F5*$B$16)</t>
  </si>
  <si>
    <t xml:space="preserve">=(L6+3*M6)/($B$9*(1-H6*$AE$5*$B$5/1000) - L6*($B$11+$B$12) - M6*(2*$B$11+$B$13) - E6*$B$15 - F6*$B$16)</t>
  </si>
  <si>
    <t xml:space="preserve">=(L7+3*M7)/($B$9*(1-H7*$AE$5*$B$5/1000) - L7*($B$11+$B$12) - M7*(2*$B$11+$B$13) - E7*$B$15 - F7*$B$16)</t>
  </si>
  <si>
    <t xml:space="preserve">=(L8+3*M8)/($B$9*(1-H8*$AE$5*$B$5/1000) - L8*($B$11+$B$12) - M8*(2*$B$11+$B$13) - E8*$B$15 - F8*$B$16)</t>
  </si>
  <si>
    <t xml:space="preserve">=(L9+3*M9)/($B$9*(1-H9*$AE$5*$B$5/1000) - L9*($B$11+$B$12) - M9*(2*$B$11+$B$13) - E9*$B$15 - F9*$B$16)</t>
  </si>
  <si>
    <t xml:space="preserve">=(L10+3*M10)/($B$9*(1-H10*$AE$5*$B$5/1000) - L10*($B$11+$B$12) - M10*(2*$B$11+$B$13) - E10*$B$15 - F10*$B$16)</t>
  </si>
  <si>
    <t xml:space="preserve">=(L11+3*M11)/($B$9*(1-H11*$AE$5*$B$5/1000) - L11*($B$11+$B$12) - M11*(2*$B$11+$B$13) - E11*$B$15 - F11*$B$16)</t>
  </si>
  <si>
    <t xml:space="preserve">=(L12+3*M12)/($B$9*(1-H12*$AE$5*$B$5/1000) - L12*($B$11+$B$12) - M12*(2*$B$11+$B$13) - E12*$B$15 - F12*$B$16)</t>
  </si>
  <si>
    <t xml:space="preserve">=(L13+3*M13)/($B$9*(1-H13*$AE$5*$B$5/1000) - L13*($B$11+$B$12) - M13*(2*$B$11+$B$13) - E13*$B$15 - F13*$B$16)</t>
  </si>
  <si>
    <t xml:space="preserve">=(L14+3*M14)/($B$9*(1-H14*$AE$5*$B$5/1000) - L14*($B$11+$B$12) - M14*(2*$B$11+$B$13) - E14*$B$15 - F14*$B$16)</t>
  </si>
  <si>
    <t xml:space="preserve">=(L15+3*M15)/($B$9*(1-H15*$AE$5*$B$5/1000) - L15*($B$11+$B$12) - M15*(2*$B$11+$B$13) - E15*$B$15 - F15*$B$16)</t>
  </si>
  <si>
    <t xml:space="preserve">=(L16+3*M16)/($B$9*(1-H16*$AE$5*$B$5/1000) - L16*($B$11+$B$12) - M16*(2*$B$11+$B$13) - E16*$B$15 - F16*$B$16)</t>
  </si>
  <si>
    <t xml:space="preserve">=(L17+3*M17)/($B$9*(1-H17*$AE$5*$B$5/1000) - L17*($B$11+$B$12) - M17*(2*$B$11+$B$13) - E17*$B$15 - F17*$B$16)</t>
  </si>
  <si>
    <t xml:space="preserve">=(L18+3*M18)/($B$9*(1-H18*$AE$5*$B$5/1000) - L18*($B$11+$B$12) - M18*(2*$B$11+$B$13) - E18*$B$15 - F18*$B$16)</t>
  </si>
  <si>
    <t xml:space="preserve">=(L19+3*M19)/($B$9*(1-H19*$AE$5*$B$5/1000) - L19*($B$11+$B$12) - M19*(2*$B$11+$B$13) - E19*$B$15 - F19*$B$16)</t>
  </si>
  <si>
    <t xml:space="preserve">=(L20+3*M20)/($B$9*(1-H20*$AE$5*$B$5/1000) - L20*($B$11+$B$12) - M20*(2*$B$11+$B$13) - E20*$B$15 - F20*$B$16)</t>
  </si>
  <si>
    <t xml:space="preserve">=(L21+3*M21)/($B$9*(1-H21*$AE$5*$B$5/1000) - L21*($B$11+$B$12) - M21*(2*$B$11+$B$13) - E21*$B$15 - F21*$B$16)</t>
  </si>
  <si>
    <t xml:space="preserve">=(L22+3*M22)/($B$9*(1-H22*$AE$5*$B$5/1000) - L22*($B$11+$B$12) - M22*(2*$B$11+$B$13) - E22*$B$15 - F22*$B$16)</t>
  </si>
  <si>
    <t xml:space="preserve">=(L23+3*M23)/($B$9*(1-H23*$AE$5*$B$5/1000) - L23*($B$11+$B$12) - M23*(2*$B$11+$B$13) - E23*$B$15 - F23*$B$16)</t>
  </si>
  <si>
    <t xml:space="preserve">=(L24+3*M24)/($B$9*(1-H24*$AE$5*$B$5/1000) - L24*($B$11+$B$12) - M24*(2*$B$11+$B$13) - E24*$B$15 - F24*$B$16)</t>
  </si>
  <si>
    <t xml:space="preserve">=(L25+3*M25)/($B$9*(1-H25*$AE$5*$B$5/1000) - L25*($B$11+$B$12) - M25*(2*$B$11+$B$13) - E25*$B$15 - F25*$B$16)</t>
  </si>
  <si>
    <t xml:space="preserve">=(L26+3*M26)/($B$9*(1-H26*$AE$5*$B$5/1000) - L26*($B$11+$B$12) - M26*(2*$B$11+$B$13) - E26*$B$15 - F26*$B$16)</t>
  </si>
  <si>
    <t xml:space="preserve">=(L27+3*M27)/($B$9*(1-H27*$AE$5*$B$5/1000) - L27*($B$11+$B$12) - M27*(2*$B$11+$B$13) - E27*$B$15 - F27*$B$16)</t>
  </si>
  <si>
    <t xml:space="preserve">=(L28+3*M28)/($B$9*(1-H28*$AE$5*$B$5/1000) - L28*($B$11+$B$12) - M28*(2*$B$11+$B$13) - E28*$B$15 - F28*$B$16)</t>
  </si>
  <si>
    <t xml:space="preserve">=(L29+3*M29)/($B$9*(1-H29*$AE$5*$B$5/1000) - L29*($B$11+$B$12) - M29*(2*$B$11+$B$13) - E29*$B$15 - F29*$B$16)</t>
  </si>
  <si>
    <t xml:space="preserve">=(L30+3*M30)/($B$9*(1-H30*$AE$5*$B$5/1000) - L30*($B$11+$B$12) - M30*(2*$B$11+$B$13) - E30*$B$15 - F30*$B$16)</t>
  </si>
  <si>
    <t xml:space="preserve">=(L31+3*M31)/($B$9*(1-H31*$AE$5*$B$5/1000) - L31*($B$11+$B$12) - M31*(2*$B$11+$B$13) - E31*$B$15 - F31*$B$16)</t>
  </si>
  <si>
    <t xml:space="preserve">=(L32+3*M32)/($B$9*(1-H32*$AE$5*$B$5/1000) - L32*($B$11+$B$12) - M32*(2*$B$11+$B$13) - E32*$B$15 - F32*$B$16)</t>
  </si>
  <si>
    <t xml:space="preserve">=(L33+3*M33)/($B$9*(1-H33*$AE$5*$B$5/1000) - L33*($B$11+$B$12) - M33*(2*$B$11+$B$13) - E33*$B$15 - F33*$B$16)</t>
  </si>
  <si>
    <t xml:space="preserve">=(L34+3*M34)/($B$9*(1-H34*$AE$5*$B$5/1000) - L34*($B$11+$B$12) - M34*(2*$B$11+$B$13) - E34*$B$15 - F34*$B$16)</t>
  </si>
  <si>
    <t xml:space="preserve">=(L35+3*M35)/($B$9*(1-H35*$AE$5*$B$5/1000) - L35*($B$11+$B$12) - M35*(2*$B$11+$B$13) - E35*$B$15 - F35*$B$16)</t>
  </si>
  <si>
    <t xml:space="preserve">=(L36+3*M36)/($B$9*(1-H36*$AE$5*$B$5/1000) - L36*($B$11+$B$12) - M36*(2*$B$11+$B$13) - E36*$B$15 - F36*$B$16)</t>
  </si>
  <si>
    <t xml:space="preserve">=(L37+3*M37)/($B$9*(1-H37*$AE$5*$B$5/1000) - L37*($B$11+$B$12) - M37*(2*$B$11+$B$13) - E37*$B$15 - F37*$B$16)</t>
  </si>
  <si>
    <t xml:space="preserve">=(L38+3*M38)/($B$9*(1-H38*$AE$5*$B$5/1000) - L38*($B$11+$B$12) - M38*(2*$B$11+$B$13) - E38*$B$15 - F38*$B$16)</t>
  </si>
  <si>
    <t xml:space="preserve">=(L39+3*M39)/($B$9*(1-H39*$AE$5*$B$5/1000) - L39*($B$11+$B$12) - M39*(2*$B$11+$B$13) - E39*$B$15 - F39*$B$16)</t>
  </si>
  <si>
    <t xml:space="preserve">=(L40+3*M40)/($B$9*(1-H40*$AE$5*$B$5/1000) - L40*($B$11+$B$12) - M40*(2*$B$11+$B$13) - E40*$B$15 - F40*$B$16)</t>
  </si>
  <si>
    <t xml:space="preserve">=(L41+3*M41)/($B$9*(1-H41*$AE$5*$B$5/1000) - L41*($B$11+$B$12) - M41*(2*$B$11+$B$13) - E41*$B$15 - F41*$B$16)</t>
  </si>
  <si>
    <t xml:space="preserve">=(L42+3*M42)/($B$9*(1-H42*$AE$5*$B$5/1000) - L42*($B$11+$B$12) - M42*(2*$B$11+$B$13) - E42*$B$15 - F42*$B$16)</t>
  </si>
  <si>
    <t xml:space="preserve">=(L43+3*M43)/($B$9*(1-H43*$AE$5*$B$5/1000) - L43*($B$11+$B$12) - M43*(2*$B$11+$B$13) - E43*$B$15 - F43*$B$16)</t>
  </si>
  <si>
    <t xml:space="preserve">=(L44+3*M44)/($B$9*(1-H44*$AE$5*$B$5/1000) - L44*($B$11+$B$12) - M44*(2*$B$11+$B$13) - E44*$B$15 - F44*$B$16)</t>
  </si>
  <si>
    <t xml:space="preserve">=(L45+3*M45)/($B$9*(1-H45*$AE$5*$B$5/1000) - L45*($B$11+$B$12) - M45*(2*$B$11+$B$13) - E45*$B$15 - F45*$B$16)</t>
  </si>
  <si>
    <t xml:space="preserve">=(L46+3*M46)/($B$9*(1-H46*$AE$5*$B$5/1000) - L46*($B$11+$B$12) - M46*(2*$B$11+$B$13) - E46*$B$15 - F46*$B$16)</t>
  </si>
  <si>
    <t xml:space="preserve">=(L47+3*M47)/($B$9*(1-H47*$AE$5*$B$5/1000) - L47*($B$11+$B$12) - M47*(2*$B$11+$B$13) - E47*$B$15 - F47*$B$16)</t>
  </si>
  <si>
    <t xml:space="preserve">=(L48+3*M48)/($B$9*(1-H48*$AE$5*$B$5/1000) - L48*($B$11+$B$12) - M48*(2*$B$11+$B$13) - E48*$B$15 - F48*$B$16)</t>
  </si>
  <si>
    <t xml:space="preserve">=(L49+3*M49)/($B$9*(1-H49*$AE$5*$B$5/1000) - L49*($B$11+$B$12) - M49*(2*$B$11+$B$13) - E49*$B$15 - F49*$B$16)</t>
  </si>
  <si>
    <t xml:space="preserve">=(L50+3*M50)/($B$9*(1-H50*$AE$5*$B$5/1000) - L50*($B$11+$B$12) - M50*(2*$B$11+$B$13) - E50*$B$15 - F50*$B$16)</t>
  </si>
  <si>
    <t xml:space="preserve">=(L51+3*M51)/($B$9*(1-H51*$AE$5*$B$5/1000) - L51*($B$11+$B$12) - M51*(2*$B$11+$B$13) - E51*$B$15 - F51*$B$16)</t>
  </si>
  <si>
    <t xml:space="preserve">=(L52+3*M52)/($B$9*(1-H52*$AE$5*$B$5/1000) - L52*($B$11+$B$12) - M52*(2*$B$11+$B$13) - E52*$B$15 - F52*$B$16)</t>
  </si>
  <si>
    <t xml:space="preserve">=(L53+3*M53)/($B$9*(1-H53*$AE$5*$B$5/1000) - L53*($B$11+$B$12) - M53*(2*$B$11+$B$13) - E53*$B$15 - F53*$B$16)</t>
  </si>
  <si>
    <t xml:space="preserve">=(L54+3*M54)/($B$9*(1-H54*$AE$5*$B$5/1000) - L54*($B$11+$B$12) - M54*(2*$B$11+$B$13) - E54*$B$15 - F54*$B$16)</t>
  </si>
  <si>
    <t xml:space="preserve">=(L55+3*M55)/($B$9*(1-H55*$AE$5*$B$5/1000) - L55*($B$11+$B$12) - M55*(2*$B$11+$B$13) - E55*$B$15 - F55*$B$16)</t>
  </si>
  <si>
    <t xml:space="preserve">=(L56+3*M56)/($B$9*(1-H56*$AE$5*$B$5/1000) - L56*($B$11+$B$12) - M56*(2*$B$11+$B$13) - E56*$B$15 - F56*$B$16)</t>
  </si>
  <si>
    <t xml:space="preserve">=(L57+3*M57)/($B$9*(1-H57*$AE$5*$B$5/1000) - L57*($B$11+$B$12) - M57*(2*$B$11+$B$13) - E57*$B$15 - F57*$B$16)</t>
  </si>
  <si>
    <t xml:space="preserve">N3</t>
  </si>
  <si>
    <t xml:space="preserve">mBuffer (mol/g)</t>
  </si>
  <si>
    <t xml:space="preserve">header</t>
  </si>
  <si>
    <t xml:space="preserve">Z4</t>
  </si>
  <si>
    <t xml:space="preserve">=X4*$B$9*18.01528/($B$9*18.01528 + H4+E4+F4+K4)</t>
  </si>
  <si>
    <t xml:space="preserve">=X4</t>
  </si>
  <si>
    <t xml:space="preserve">the original "molar" conversion equals gamma_m to within 1e-4; the column now states that it holds the molal value</t>
  </si>
  <si>
    <t xml:space="preserve">AA4</t>
  </si>
  <si>
    <t xml:space="preserve">=Y4*$B$9*18.01528/($B$9*18.01528 + H4+E4+F4+K4)</t>
  </si>
  <si>
    <t xml:space="preserve">=Y4</t>
  </si>
  <si>
    <t xml:space="preserve">Z5</t>
  </si>
  <si>
    <t xml:space="preserve">=X5*$B$9*18.01528/($B$9*18.01528 + H5+E5+F5+K5)</t>
  </si>
  <si>
    <t xml:space="preserve">=X5</t>
  </si>
  <si>
    <t xml:space="preserve">AA5</t>
  </si>
  <si>
    <t xml:space="preserve">=Y5*$B$9*18.01528/($B$9*18.01528 + H5+E5+F5+K5)</t>
  </si>
  <si>
    <t xml:space="preserve">=Y5</t>
  </si>
  <si>
    <t xml:space="preserve">Z6</t>
  </si>
  <si>
    <t xml:space="preserve">=X6*$B$9*18.01528/($B$9*18.01528 + H6+E6+F6+K6)</t>
  </si>
  <si>
    <t xml:space="preserve">=X6</t>
  </si>
  <si>
    <t xml:space="preserve">AA6</t>
  </si>
  <si>
    <t xml:space="preserve">=Y6*$B$9*18.01528/($B$9*18.01528 + H6+E6+F6+K6)</t>
  </si>
  <si>
    <t xml:space="preserve">=Y6</t>
  </si>
  <si>
    <t xml:space="preserve">Z7</t>
  </si>
  <si>
    <t xml:space="preserve">=X7*$B$9*18.01528/($B$9*18.01528 + H7+E7+F7+K7)</t>
  </si>
  <si>
    <t xml:space="preserve">=X7</t>
  </si>
  <si>
    <t xml:space="preserve">AA7</t>
  </si>
  <si>
    <t xml:space="preserve">=Y7*$B$9*18.01528/($B$9*18.01528 + H7+E7+F7+K7)</t>
  </si>
  <si>
    <t xml:space="preserve">=Y7</t>
  </si>
  <si>
    <t xml:space="preserve">Z8</t>
  </si>
  <si>
    <t xml:space="preserve">=X8*$B$9*18.01528/($B$9*18.01528 + H8+E8+F8+K8)</t>
  </si>
  <si>
    <t xml:space="preserve">=X8</t>
  </si>
  <si>
    <t xml:space="preserve">AA8</t>
  </si>
  <si>
    <t xml:space="preserve">=Y8*$B$9*18.01528/($B$9*18.01528 + H8+E8+F8+K8)</t>
  </si>
  <si>
    <t xml:space="preserve">=Y8</t>
  </si>
  <si>
    <t xml:space="preserve">Z9</t>
  </si>
  <si>
    <t xml:space="preserve">=X9*$B$9*18.01528/($B$9*18.01528 + H9+E9+F9+K9)</t>
  </si>
  <si>
    <t xml:space="preserve">=X9</t>
  </si>
  <si>
    <t xml:space="preserve">AA9</t>
  </si>
  <si>
    <t xml:space="preserve">=Y9*$B$9*18.01528/($B$9*18.01528 + H9+E9+F9+K9)</t>
  </si>
  <si>
    <t xml:space="preserve">=Y9</t>
  </si>
  <si>
    <t xml:space="preserve">Z10</t>
  </si>
  <si>
    <t xml:space="preserve">=X10*$B$9*18.01528/($B$9*18.01528 + H10+E10+F10+K10)</t>
  </si>
  <si>
    <t xml:space="preserve">=X10</t>
  </si>
  <si>
    <t xml:space="preserve">AA10</t>
  </si>
  <si>
    <t xml:space="preserve">=Y10*$B$9*18.01528/($B$9*18.01528 + H10+E10+F10+K10)</t>
  </si>
  <si>
    <t xml:space="preserve">=Y10</t>
  </si>
  <si>
    <t xml:space="preserve">Z11</t>
  </si>
  <si>
    <t xml:space="preserve">=X11*$B$9*18.01528/($B$9*18.01528 + H11+E11+F11+K11)</t>
  </si>
  <si>
    <t xml:space="preserve">=X11</t>
  </si>
  <si>
    <t xml:space="preserve">AA11</t>
  </si>
  <si>
    <t xml:space="preserve">=Y11*$B$9*18.01528/($B$9*18.01528 + H11+E11+F11+K11)</t>
  </si>
  <si>
    <t xml:space="preserve">=Y11</t>
  </si>
  <si>
    <t xml:space="preserve">Z12</t>
  </si>
  <si>
    <t xml:space="preserve">=X12*$B$9*18.01528/($B$9*18.01528 + H12+E12+F12+K12)</t>
  </si>
  <si>
    <t xml:space="preserve">=X12</t>
  </si>
  <si>
    <t xml:space="preserve">AA12</t>
  </si>
  <si>
    <t xml:space="preserve">=Y12*$B$9*18.01528/($B$9*18.01528 + H12+E12+F12+K12)</t>
  </si>
  <si>
    <t xml:space="preserve">=Y12</t>
  </si>
  <si>
    <t xml:space="preserve">Z13</t>
  </si>
  <si>
    <t xml:space="preserve">=X13*$B$9*18.01528/($B$9*18.01528 + H13+E13+F13+K13)</t>
  </si>
  <si>
    <t xml:space="preserve">=X13</t>
  </si>
  <si>
    <t xml:space="preserve">AA13</t>
  </si>
  <si>
    <t xml:space="preserve">=Y13*$B$9*18.01528/($B$9*18.01528 + H13+E13+F13+K13)</t>
  </si>
  <si>
    <t xml:space="preserve">=Y13</t>
  </si>
  <si>
    <t xml:space="preserve">Z14</t>
  </si>
  <si>
    <t xml:space="preserve">=X14*$B$9*18.01528/($B$9*18.01528 + H14+E14+F14+K14)</t>
  </si>
  <si>
    <t xml:space="preserve">=X14</t>
  </si>
  <si>
    <t xml:space="preserve">AA14</t>
  </si>
  <si>
    <t xml:space="preserve">=Y14*$B$9*18.01528/($B$9*18.01528 + H14+E14+F14+K14)</t>
  </si>
  <si>
    <t xml:space="preserve">=Y14</t>
  </si>
  <si>
    <t xml:space="preserve">Z15</t>
  </si>
  <si>
    <t xml:space="preserve">=X15*$B$9*18.01528/($B$9*18.01528 + H15+E15+F15+K15)</t>
  </si>
  <si>
    <t xml:space="preserve">=X15</t>
  </si>
  <si>
    <t xml:space="preserve">AA15</t>
  </si>
  <si>
    <t xml:space="preserve">=Y15*$B$9*18.01528/($B$9*18.01528 + H15+E15+F15+K15)</t>
  </si>
  <si>
    <t xml:space="preserve">=Y15</t>
  </si>
  <si>
    <t xml:space="preserve">Z16</t>
  </si>
  <si>
    <t xml:space="preserve">=X16*$B$9*18.01528/($B$9*18.01528 + H16+E16+F16+K16)</t>
  </si>
  <si>
    <t xml:space="preserve">=X16</t>
  </si>
  <si>
    <t xml:space="preserve">AA16</t>
  </si>
  <si>
    <t xml:space="preserve">=Y16*$B$9*18.01528/($B$9*18.01528 + H16+E16+F16+K16)</t>
  </si>
  <si>
    <t xml:space="preserve">=Y16</t>
  </si>
  <si>
    <t xml:space="preserve">Z17</t>
  </si>
  <si>
    <t xml:space="preserve">=X17*$B$9*18.01528/($B$9*18.01528 + H17+E17+F17+K17)</t>
  </si>
  <si>
    <t xml:space="preserve">=X17</t>
  </si>
  <si>
    <t xml:space="preserve">AA17</t>
  </si>
  <si>
    <t xml:space="preserve">=Y17*$B$9*18.01528/($B$9*18.01528 + H17+E17+F17+K17)</t>
  </si>
  <si>
    <t xml:space="preserve">=Y17</t>
  </si>
  <si>
    <t xml:space="preserve">Z18</t>
  </si>
  <si>
    <t xml:space="preserve">=X18*$B$9*18.01528/($B$9*18.01528 + H18+E18+F18+K18)</t>
  </si>
  <si>
    <t xml:space="preserve">=X18</t>
  </si>
  <si>
    <t xml:space="preserve">AA18</t>
  </si>
  <si>
    <t xml:space="preserve">=Y18*$B$9*18.01528/($B$9*18.01528 + H18+E18+F18+K18)</t>
  </si>
  <si>
    <t xml:space="preserve">=Y18</t>
  </si>
  <si>
    <t xml:space="preserve">Z19</t>
  </si>
  <si>
    <t xml:space="preserve">=X19*$B$9*18.01528/($B$9*18.01528 + H19+E19+F19+K19)</t>
  </si>
  <si>
    <t xml:space="preserve">=X19</t>
  </si>
  <si>
    <t xml:space="preserve">AA19</t>
  </si>
  <si>
    <t xml:space="preserve">=Y19*$B$9*18.01528/($B$9*18.01528 + H19+E19+F19+K19)</t>
  </si>
  <si>
    <t xml:space="preserve">=Y19</t>
  </si>
  <si>
    <t xml:space="preserve">Z20</t>
  </si>
  <si>
    <t xml:space="preserve">=X20*$B$9*18.01528/($B$9*18.01528 + H20+E20+F20+K20)</t>
  </si>
  <si>
    <t xml:space="preserve">=X20</t>
  </si>
  <si>
    <t xml:space="preserve">AA20</t>
  </si>
  <si>
    <t xml:space="preserve">=Y20*$B$9*18.01528/($B$9*18.01528 + H20+E20+F20+K20)</t>
  </si>
  <si>
    <t xml:space="preserve">=Y20</t>
  </si>
  <si>
    <t xml:space="preserve">Z21</t>
  </si>
  <si>
    <t xml:space="preserve">=X21*$B$9*18.01528/($B$9*18.01528 + H21+E21+F21+K21)</t>
  </si>
  <si>
    <t xml:space="preserve">=X21</t>
  </si>
  <si>
    <t xml:space="preserve">AA21</t>
  </si>
  <si>
    <t xml:space="preserve">=Y21*$B$9*18.01528/($B$9*18.01528 + H21+E21+F21+K21)</t>
  </si>
  <si>
    <t xml:space="preserve">=Y21</t>
  </si>
  <si>
    <t xml:space="preserve">Z22</t>
  </si>
  <si>
    <t xml:space="preserve">=X22*$B$9*18.01528/($B$9*18.01528 + H22+E22+F22+K22)</t>
  </si>
  <si>
    <t xml:space="preserve">=X22</t>
  </si>
  <si>
    <t xml:space="preserve">AA22</t>
  </si>
  <si>
    <t xml:space="preserve">=Y22*$B$9*18.01528/($B$9*18.01528 + H22+E22+F22+K22)</t>
  </si>
  <si>
    <t xml:space="preserve">=Y22</t>
  </si>
  <si>
    <t xml:space="preserve">Z23</t>
  </si>
  <si>
    <t xml:space="preserve">=X23*$B$9*18.01528/($B$9*18.01528 + H23+E23+F23+K23)</t>
  </si>
  <si>
    <t xml:space="preserve">=X23</t>
  </si>
  <si>
    <t xml:space="preserve">AA23</t>
  </si>
  <si>
    <t xml:space="preserve">=Y23*$B$9*18.01528/($B$9*18.01528 + H23+E23+F23+K23)</t>
  </si>
  <si>
    <t xml:space="preserve">=Y23</t>
  </si>
  <si>
    <t xml:space="preserve">Z24</t>
  </si>
  <si>
    <t xml:space="preserve">=X24*$B$9*18.01528/($B$9*18.01528 + H24+E24+F24+K24)</t>
  </si>
  <si>
    <t xml:space="preserve">=X24</t>
  </si>
  <si>
    <t xml:space="preserve">AA24</t>
  </si>
  <si>
    <t xml:space="preserve">=Y24*$B$9*18.01528/($B$9*18.01528 + H24+E24+F24+K24)</t>
  </si>
  <si>
    <t xml:space="preserve">=Y24</t>
  </si>
  <si>
    <t xml:space="preserve">Z25</t>
  </si>
  <si>
    <t xml:space="preserve">=X25*$B$9*18.01528/($B$9*18.01528 + H25+E25+F25+K25)</t>
  </si>
  <si>
    <t xml:space="preserve">=X25</t>
  </si>
  <si>
    <t xml:space="preserve">AA25</t>
  </si>
  <si>
    <t xml:space="preserve">=Y25*$B$9*18.01528/($B$9*18.01528 + H25+E25+F25+K25)</t>
  </si>
  <si>
    <t xml:space="preserve">=Y25</t>
  </si>
  <si>
    <t xml:space="preserve">Z26</t>
  </si>
  <si>
    <t xml:space="preserve">=X26*$B$9*18.01528/($B$9*18.01528 + H26+E26+F26+K26)</t>
  </si>
  <si>
    <t xml:space="preserve">=X26</t>
  </si>
  <si>
    <t xml:space="preserve">AA26</t>
  </si>
  <si>
    <t xml:space="preserve">=Y26*$B$9*18.01528/($B$9*18.01528 + H26+E26+F26+K26)</t>
  </si>
  <si>
    <t xml:space="preserve">=Y26</t>
  </si>
  <si>
    <t xml:space="preserve">Z27</t>
  </si>
  <si>
    <t xml:space="preserve">=X27*$B$9*18.01528/($B$9*18.01528 + H27+E27+F27+K27)</t>
  </si>
  <si>
    <t xml:space="preserve">=X27</t>
  </si>
  <si>
    <t xml:space="preserve">AA27</t>
  </si>
  <si>
    <t xml:space="preserve">=Y27*$B$9*18.01528/($B$9*18.01528 + H27+E27+F27+K27)</t>
  </si>
  <si>
    <t xml:space="preserve">=Y27</t>
  </si>
  <si>
    <t xml:space="preserve">Z28</t>
  </si>
  <si>
    <t xml:space="preserve">=X28*$B$9*18.01528/($B$9*18.01528 + H28+E28+F28+K28)</t>
  </si>
  <si>
    <t xml:space="preserve">=X28</t>
  </si>
  <si>
    <t xml:space="preserve">AA28</t>
  </si>
  <si>
    <t xml:space="preserve">=Y28*$B$9*18.01528/($B$9*18.01528 + H28+E28+F28+K28)</t>
  </si>
  <si>
    <t xml:space="preserve">=Y28</t>
  </si>
  <si>
    <t xml:space="preserve">Z29</t>
  </si>
  <si>
    <t xml:space="preserve">=X29*$B$9*18.01528/($B$9*18.01528 + H29+E29+F29+K29)</t>
  </si>
  <si>
    <t xml:space="preserve">=X29</t>
  </si>
  <si>
    <t xml:space="preserve">AA29</t>
  </si>
  <si>
    <t xml:space="preserve">=Y29*$B$9*18.01528/($B$9*18.01528 + H29+E29+F29+K29)</t>
  </si>
  <si>
    <t xml:space="preserve">=Y29</t>
  </si>
  <si>
    <t xml:space="preserve">Z30</t>
  </si>
  <si>
    <t xml:space="preserve">=X30*$B$9*18.01528/($B$9*18.01528 + H30+E30+F30+K30)</t>
  </si>
  <si>
    <t xml:space="preserve">=X30</t>
  </si>
  <si>
    <t xml:space="preserve">AA30</t>
  </si>
  <si>
    <t xml:space="preserve">=Y30*$B$9*18.01528/($B$9*18.01528 + H30+E30+F30+K30)</t>
  </si>
  <si>
    <t xml:space="preserve">=Y30</t>
  </si>
  <si>
    <t xml:space="preserve">Z31</t>
  </si>
  <si>
    <t xml:space="preserve">=X31*$B$9*18.01528/($B$9*18.01528 + H31+E31+F31+K31)</t>
  </si>
  <si>
    <t xml:space="preserve">=X31</t>
  </si>
  <si>
    <t xml:space="preserve">AA31</t>
  </si>
  <si>
    <t xml:space="preserve">=Y31*$B$9*18.01528/($B$9*18.01528 + H31+E31+F31+K31)</t>
  </si>
  <si>
    <t xml:space="preserve">=Y31</t>
  </si>
  <si>
    <t xml:space="preserve">Z32</t>
  </si>
  <si>
    <t xml:space="preserve">=X32*$B$9*18.01528/($B$9*18.01528 + H32+E32+F32+K32)</t>
  </si>
  <si>
    <t xml:space="preserve">=X32</t>
  </si>
  <si>
    <t xml:space="preserve">AA32</t>
  </si>
  <si>
    <t xml:space="preserve">=Y32*$B$9*18.01528/($B$9*18.01528 + H32+E32+F32+K32)</t>
  </si>
  <si>
    <t xml:space="preserve">=Y32</t>
  </si>
  <si>
    <t xml:space="preserve">Z33</t>
  </si>
  <si>
    <t xml:space="preserve">=X33*$B$9*18.01528/($B$9*18.01528 + H33+E33+F33+K33)</t>
  </si>
  <si>
    <t xml:space="preserve">=X33</t>
  </si>
  <si>
    <t xml:space="preserve">AA33</t>
  </si>
  <si>
    <t xml:space="preserve">=Y33*$B$9*18.01528/($B$9*18.01528 + H33+E33+F33+K33)</t>
  </si>
  <si>
    <t xml:space="preserve">=Y33</t>
  </si>
  <si>
    <t xml:space="preserve">Z34</t>
  </si>
  <si>
    <t xml:space="preserve">=X34*$B$9*18.01528/($B$9*18.01528 + H34+E34+F34+K34)</t>
  </si>
  <si>
    <t xml:space="preserve">=X34</t>
  </si>
  <si>
    <t xml:space="preserve">AA34</t>
  </si>
  <si>
    <t xml:space="preserve">=Y34*$B$9*18.01528/($B$9*18.01528 + H34+E34+F34+K34)</t>
  </si>
  <si>
    <t xml:space="preserve">=Y34</t>
  </si>
  <si>
    <t xml:space="preserve">Z35</t>
  </si>
  <si>
    <t xml:space="preserve">=X35*$B$9*18.01528/($B$9*18.01528 + H35+E35+F35+K35)</t>
  </si>
  <si>
    <t xml:space="preserve">=X35</t>
  </si>
  <si>
    <t xml:space="preserve">AA35</t>
  </si>
  <si>
    <t xml:space="preserve">=Y35*$B$9*18.01528/($B$9*18.01528 + H35+E35+F35+K35)</t>
  </si>
  <si>
    <t xml:space="preserve">=Y35</t>
  </si>
  <si>
    <t xml:space="preserve">Z36</t>
  </si>
  <si>
    <t xml:space="preserve">=X36*$B$9*18.01528/($B$9*18.01528 + H36+E36+F36+K36)</t>
  </si>
  <si>
    <t xml:space="preserve">=X36</t>
  </si>
  <si>
    <t xml:space="preserve">AA36</t>
  </si>
  <si>
    <t xml:space="preserve">=Y36*$B$9*18.01528/($B$9*18.01528 + H36+E36+F36+K36)</t>
  </si>
  <si>
    <t xml:space="preserve">=Y36</t>
  </si>
  <si>
    <t xml:space="preserve">Z37</t>
  </si>
  <si>
    <t xml:space="preserve">=X37*$B$9*18.01528/($B$9*18.01528 + H37+E37+F37+K37)</t>
  </si>
  <si>
    <t xml:space="preserve">=X37</t>
  </si>
  <si>
    <t xml:space="preserve">AA37</t>
  </si>
  <si>
    <t xml:space="preserve">=Y37*$B$9*18.01528/($B$9*18.01528 + H37+E37+F37+K37)</t>
  </si>
  <si>
    <t xml:space="preserve">=Y37</t>
  </si>
  <si>
    <t xml:space="preserve">Z38</t>
  </si>
  <si>
    <t xml:space="preserve">=X38*$B$9*18.01528/($B$9*18.01528 + H38+E38+F38+K38)</t>
  </si>
  <si>
    <t xml:space="preserve">=X38</t>
  </si>
  <si>
    <t xml:space="preserve">AA38</t>
  </si>
  <si>
    <t xml:space="preserve">=Y38*$B$9*18.01528/($B$9*18.01528 + H38+E38+F38+K38)</t>
  </si>
  <si>
    <t xml:space="preserve">=Y38</t>
  </si>
  <si>
    <t xml:space="preserve">Z39</t>
  </si>
  <si>
    <t xml:space="preserve">=X39*$B$9*18.01528/($B$9*18.01528 + H39+E39+F39+K39)</t>
  </si>
  <si>
    <t xml:space="preserve">=X39</t>
  </si>
  <si>
    <t xml:space="preserve">AA39</t>
  </si>
  <si>
    <t xml:space="preserve">=Y39*$B$9*18.01528/($B$9*18.01528 + H39+E39+F39+K39)</t>
  </si>
  <si>
    <t xml:space="preserve">=Y39</t>
  </si>
  <si>
    <t xml:space="preserve">Z40</t>
  </si>
  <si>
    <t xml:space="preserve">=X40*$B$9*18.01528/($B$9*18.01528 + H40+E40+F40+K40)</t>
  </si>
  <si>
    <t xml:space="preserve">=X40</t>
  </si>
  <si>
    <t xml:space="preserve">AA40</t>
  </si>
  <si>
    <t xml:space="preserve">=Y40*$B$9*18.01528/($B$9*18.01528 + H40+E40+F40+K40)</t>
  </si>
  <si>
    <t xml:space="preserve">=Y40</t>
  </si>
  <si>
    <t xml:space="preserve">Z41</t>
  </si>
  <si>
    <t xml:space="preserve">=X41*$B$9*18.01528/($B$9*18.01528 + H41+E41+F41+K41)</t>
  </si>
  <si>
    <t xml:space="preserve">=X41</t>
  </si>
  <si>
    <t xml:space="preserve">AA41</t>
  </si>
  <si>
    <t xml:space="preserve">=Y41*$B$9*18.01528/($B$9*18.01528 + H41+E41+F41+K41)</t>
  </si>
  <si>
    <t xml:space="preserve">=Y41</t>
  </si>
  <si>
    <t xml:space="preserve">Z42</t>
  </si>
  <si>
    <t xml:space="preserve">=X42*$B$9*18.01528/($B$9*18.01528 + H42+E42+F42+K42)</t>
  </si>
  <si>
    <t xml:space="preserve">=X42</t>
  </si>
  <si>
    <t xml:space="preserve">AA42</t>
  </si>
  <si>
    <t xml:space="preserve">=Y42*$B$9*18.01528/($B$9*18.01528 + H42+E42+F42+K42)</t>
  </si>
  <si>
    <t xml:space="preserve">=Y42</t>
  </si>
  <si>
    <t xml:space="preserve">Z43</t>
  </si>
  <si>
    <t xml:space="preserve">=X43*$B$9*18.01528/($B$9*18.01528 + H43+E43+F43+K43)</t>
  </si>
  <si>
    <t xml:space="preserve">=X43</t>
  </si>
  <si>
    <t xml:space="preserve">AA43</t>
  </si>
  <si>
    <t xml:space="preserve">=Y43*$B$9*18.01528/($B$9*18.01528 + H43+E43+F43+K43)</t>
  </si>
  <si>
    <t xml:space="preserve">=Y43</t>
  </si>
  <si>
    <t xml:space="preserve">Z44</t>
  </si>
  <si>
    <t xml:space="preserve">=X44*$B$9*18.01528/($B$9*18.01528 + H44+E44+F44+K44)</t>
  </si>
  <si>
    <t xml:space="preserve">=X44</t>
  </si>
  <si>
    <t xml:space="preserve">AA44</t>
  </si>
  <si>
    <t xml:space="preserve">=Y44*$B$9*18.01528/($B$9*18.01528 + H44+E44+F44+K44)</t>
  </si>
  <si>
    <t xml:space="preserve">=Y44</t>
  </si>
  <si>
    <t xml:space="preserve">Z45</t>
  </si>
  <si>
    <t xml:space="preserve">=X45*$B$9*18.01528/($B$9*18.01528 + H45+E45+F45+K45)</t>
  </si>
  <si>
    <t xml:space="preserve">=X45</t>
  </si>
  <si>
    <t xml:space="preserve">AA45</t>
  </si>
  <si>
    <t xml:space="preserve">=Y45*$B$9*18.01528/($B$9*18.01528 + H45+E45+F45+K45)</t>
  </si>
  <si>
    <t xml:space="preserve">=Y45</t>
  </si>
  <si>
    <t xml:space="preserve">Z46</t>
  </si>
  <si>
    <t xml:space="preserve">=X46*$B$9*18.01528/($B$9*18.01528 + H46+E46+F46+K46)</t>
  </si>
  <si>
    <t xml:space="preserve">=X46</t>
  </si>
  <si>
    <t xml:space="preserve">AA46</t>
  </si>
  <si>
    <t xml:space="preserve">=Y46*$B$9*18.01528/($B$9*18.01528 + H46+E46+F46+K46)</t>
  </si>
  <si>
    <t xml:space="preserve">=Y46</t>
  </si>
  <si>
    <t xml:space="preserve">Z47</t>
  </si>
  <si>
    <t xml:space="preserve">=X47*$B$9*18.01528/($B$9*18.01528 + H47+E47+F47+K47)</t>
  </si>
  <si>
    <t xml:space="preserve">=X47</t>
  </si>
  <si>
    <t xml:space="preserve">AA47</t>
  </si>
  <si>
    <t xml:space="preserve">=Y47*$B$9*18.01528/($B$9*18.01528 + H47+E47+F47+K47)</t>
  </si>
  <si>
    <t xml:space="preserve">=Y47</t>
  </si>
  <si>
    <t xml:space="preserve">Z48</t>
  </si>
  <si>
    <t xml:space="preserve">=X48*$B$9*18.01528/($B$9*18.01528 + H48+E48+F48+K48)</t>
  </si>
  <si>
    <t xml:space="preserve">=X48</t>
  </si>
  <si>
    <t xml:space="preserve">AA48</t>
  </si>
  <si>
    <t xml:space="preserve">=Y48*$B$9*18.01528/($B$9*18.01528 + H48+E48+F48+K48)</t>
  </si>
  <si>
    <t xml:space="preserve">=Y48</t>
  </si>
  <si>
    <t xml:space="preserve">Z49</t>
  </si>
  <si>
    <t xml:space="preserve">=X49*$B$9*18.01528/($B$9*18.01528 + H49+E49+F49+K49)</t>
  </si>
  <si>
    <t xml:space="preserve">=X49</t>
  </si>
  <si>
    <t xml:space="preserve">AA49</t>
  </si>
  <si>
    <t xml:space="preserve">=Y49*$B$9*18.01528/($B$9*18.01528 + H49+E49+F49+K49)</t>
  </si>
  <si>
    <t xml:space="preserve">=Y49</t>
  </si>
  <si>
    <t xml:space="preserve">Z50</t>
  </si>
  <si>
    <t xml:space="preserve">=X50*$B$9*18.01528/($B$9*18.01528 + H50+E50+F50+K50)</t>
  </si>
  <si>
    <t xml:space="preserve">=X50</t>
  </si>
  <si>
    <t xml:space="preserve">AA50</t>
  </si>
  <si>
    <t xml:space="preserve">=Y50*$B$9*18.01528/($B$9*18.01528 + H50+E50+F50+K50)</t>
  </si>
  <si>
    <t xml:space="preserve">=Y50</t>
  </si>
  <si>
    <t xml:space="preserve">Z51</t>
  </si>
  <si>
    <t xml:space="preserve">=X51*$B$9*18.01528/($B$9*18.01528 + H51+E51+F51+K51)</t>
  </si>
  <si>
    <t xml:space="preserve">=X51</t>
  </si>
  <si>
    <t xml:space="preserve">AA51</t>
  </si>
  <si>
    <t xml:space="preserve">=Y51*$B$9*18.01528/($B$9*18.01528 + H51+E51+F51+K51)</t>
  </si>
  <si>
    <t xml:space="preserve">=Y51</t>
  </si>
  <si>
    <t xml:space="preserve">Z52</t>
  </si>
  <si>
    <t xml:space="preserve">=X52*$B$9*18.01528/($B$9*18.01528 + H52+E52+F52+K52)</t>
  </si>
  <si>
    <t xml:space="preserve">=X52</t>
  </si>
  <si>
    <t xml:space="preserve">AA52</t>
  </si>
  <si>
    <t xml:space="preserve">=Y52*$B$9*18.01528/($B$9*18.01528 + H52+E52+F52+K52)</t>
  </si>
  <si>
    <t xml:space="preserve">=Y52</t>
  </si>
  <si>
    <t xml:space="preserve">Z53</t>
  </si>
  <si>
    <t xml:space="preserve">=X53*$B$9*18.01528/($B$9*18.01528 + H53+E53+F53+K53)</t>
  </si>
  <si>
    <t xml:space="preserve">=X53</t>
  </si>
  <si>
    <t xml:space="preserve">AA53</t>
  </si>
  <si>
    <t xml:space="preserve">=Y53*$B$9*18.01528/($B$9*18.01528 + H53+E53+F53+K53)</t>
  </si>
  <si>
    <t xml:space="preserve">=Y53</t>
  </si>
  <si>
    <t xml:space="preserve">Z54</t>
  </si>
  <si>
    <t xml:space="preserve">=X54*$B$9*18.01528/($B$9*18.01528 + H54+E54+F54+K54)</t>
  </si>
  <si>
    <t xml:space="preserve">=X54</t>
  </si>
  <si>
    <t xml:space="preserve">AA54</t>
  </si>
  <si>
    <t xml:space="preserve">=Y54*$B$9*18.01528/($B$9*18.01528 + H54+E54+F54+K54)</t>
  </si>
  <si>
    <t xml:space="preserve">=Y54</t>
  </si>
  <si>
    <t xml:space="preserve">Z55</t>
  </si>
  <si>
    <t xml:space="preserve">=X55*$B$9*18.01528/($B$9*18.01528 + H55+E55+F55+K55)</t>
  </si>
  <si>
    <t xml:space="preserve">=X55</t>
  </si>
  <si>
    <t xml:space="preserve">AA55</t>
  </si>
  <si>
    <t xml:space="preserve">=Y55*$B$9*18.01528/($B$9*18.01528 + H55+E55+F55+K55)</t>
  </si>
  <si>
    <t xml:space="preserve">=Y55</t>
  </si>
  <si>
    <t xml:space="preserve">Z56</t>
  </si>
  <si>
    <t xml:space="preserve">=X56*$B$9*18.01528/($B$9*18.01528 + H56+E56+F56+K56)</t>
  </si>
  <si>
    <t xml:space="preserve">=X56</t>
  </si>
  <si>
    <t xml:space="preserve">AA56</t>
  </si>
  <si>
    <t xml:space="preserve">=Y56*$B$9*18.01528/($B$9*18.01528 + H56+E56+F56+K56)</t>
  </si>
  <si>
    <t xml:space="preserve">=Y56</t>
  </si>
  <si>
    <t xml:space="preserve">Z57</t>
  </si>
  <si>
    <t xml:space="preserve">=X57*$B$9*18.01528/($B$9*18.01528 + H57+E57+F57+K57)</t>
  </si>
  <si>
    <t xml:space="preserve">=X57</t>
  </si>
  <si>
    <t xml:space="preserve">AA57</t>
  </si>
  <si>
    <t xml:space="preserve">=Y57*$B$9*18.01528/($B$9*18.01528 + H57+E57+F57+K57)</t>
  </si>
  <si>
    <t xml:space="preserve">=Y57</t>
  </si>
  <si>
    <t xml:space="preserve">Z3</t>
  </si>
  <si>
    <t xml:space="preserve">𝜸 (c)</t>
  </si>
  <si>
    <t xml:space="preserve">AA3</t>
  </si>
  <si>
    <t xml:space="preserve">𝜸 Agena (c)</t>
  </si>
  <si>
    <t xml:space="preserve">U5</t>
  </si>
  <si>
    <t xml:space="preserve">-417532.622004485</t>
  </si>
  <si>
    <t xml:space="preserve">-321525</t>
  </si>
  <si>
    <t xml:space="preserve">phi-1 fit: polynomial refitted (least squares, rows 4-12)</t>
  </si>
  <si>
    <t xml:space="preserve">U6</t>
  </si>
  <si>
    <t xml:space="preserve">452542113805.935</t>
  </si>
  <si>
    <t xml:space="preserve">4.18069e+11</t>
  </si>
  <si>
    <t xml:space="preserve">U7</t>
  </si>
  <si>
    <t xml:space="preserve">-3.14240713706796e+17</t>
  </si>
  <si>
    <t xml:space="preserve">-2.95409e+17</t>
  </si>
  <si>
    <t xml:space="preserve">U8</t>
  </si>
  <si>
    <t xml:space="preserve">7.84179450298286e+22</t>
  </si>
  <si>
    <t xml:space="preserve">7.17026e+22</t>
  </si>
  <si>
    <t xml:space="preserve">U14</t>
  </si>
  <si>
    <t xml:space="preserve">-848753.869110009</t>
  </si>
  <si>
    <t xml:space="preserve">-823328</t>
  </si>
  <si>
    <t xml:space="preserve">phi-1 fit: polynomial refitted (least squares, rows 13-21)</t>
  </si>
  <si>
    <t xml:space="preserve">U15</t>
  </si>
  <si>
    <t xml:space="preserve">1323470814235.24</t>
  </si>
  <si>
    <t xml:space="preserve">1.33037e+12</t>
  </si>
  <si>
    <t xml:space="preserve">U16</t>
  </si>
  <si>
    <t xml:space="preserve">-9.90557182099495e+17</t>
  </si>
  <si>
    <t xml:space="preserve">-1.00546e+18</t>
  </si>
  <si>
    <t xml:space="preserve">U17</t>
  </si>
  <si>
    <t xml:space="preserve">2.61467290769182e+23</t>
  </si>
  <si>
    <t xml:space="preserve">2.67202e+23</t>
  </si>
  <si>
    <t xml:space="preserve">U23</t>
  </si>
  <si>
    <t xml:space="preserve">-296766.921120804</t>
  </si>
  <si>
    <t xml:space="preserve">-263260</t>
  </si>
  <si>
    <t xml:space="preserve">phi-1 fit: polynomial refitted (least squares, rows 22-30)</t>
  </si>
  <si>
    <t xml:space="preserve">U24</t>
  </si>
  <si>
    <t xml:space="preserve">398403826355.047</t>
  </si>
  <si>
    <t xml:space="preserve">3.95185e+11</t>
  </si>
  <si>
    <t xml:space="preserve">U25</t>
  </si>
  <si>
    <t xml:space="preserve">-3.37832365374903e+17</t>
  </si>
  <si>
    <t xml:space="preserve">-3.40054e+17</t>
  </si>
  <si>
    <t xml:space="preserve">U26</t>
  </si>
  <si>
    <t xml:space="preserve">1.01910570064041e+23</t>
  </si>
  <si>
    <t xml:space="preserve">1.03004e+23</t>
  </si>
  <si>
    <t xml:space="preserve">U32</t>
  </si>
  <si>
    <t xml:space="preserve">-752852.150822281</t>
  </si>
  <si>
    <t xml:space="preserve">-742838</t>
  </si>
  <si>
    <t xml:space="preserve">phi-1 fit: polynomial refitted (least squares, rows 31-39)</t>
  </si>
  <si>
    <t xml:space="preserve">U33</t>
  </si>
  <si>
    <t xml:space="preserve">1089994440961.2</t>
  </si>
  <si>
    <t xml:space="preserve">1.09581e+12</t>
  </si>
  <si>
    <t xml:space="preserve">U34</t>
  </si>
  <si>
    <t xml:space="preserve">-8.0072502120469e+17</t>
  </si>
  <si>
    <t xml:space="preserve">-8.11442e+17</t>
  </si>
  <si>
    <t xml:space="preserve">U35</t>
  </si>
  <si>
    <t xml:space="preserve">2.16846341444132e+23</t>
  </si>
  <si>
    <t xml:space="preserve">2.21383e+23</t>
  </si>
  <si>
    <t xml:space="preserve">U41</t>
  </si>
  <si>
    <t xml:space="preserve">-340298.28561796</t>
  </si>
  <si>
    <t xml:space="preserve">-310148</t>
  </si>
  <si>
    <t xml:space="preserve">phi-1 fit: polynomial refitted (least squares, rows 40-48)</t>
  </si>
  <si>
    <t xml:space="preserve">U42</t>
  </si>
  <si>
    <t xml:space="preserve">368667759535.864</t>
  </si>
  <si>
    <t xml:space="preserve">3.62872e+11</t>
  </si>
  <si>
    <t xml:space="preserve">U43</t>
  </si>
  <si>
    <t xml:space="preserve">-2.7667424472896e+17</t>
  </si>
  <si>
    <t xml:space="preserve">-2.76526e+17</t>
  </si>
  <si>
    <t xml:space="preserve">U44</t>
  </si>
  <si>
    <t xml:space="preserve">8.03626269495198e+22</t>
  </si>
  <si>
    <t xml:space="preserve">8.0879e+22</t>
  </si>
  <si>
    <t xml:space="preserve">U50</t>
  </si>
  <si>
    <t xml:space="preserve">-899157.67743482</t>
  </si>
  <si>
    <t xml:space="preserve">-892418</t>
  </si>
  <si>
    <t xml:space="preserve">phi-1 fit: polynomial refitted (least squares, rows 49-57)</t>
  </si>
  <si>
    <t xml:space="preserve">U51</t>
  </si>
  <si>
    <t xml:space="preserve">1548939858402.39</t>
  </si>
  <si>
    <t xml:space="preserve">1.56461e+12</t>
  </si>
  <si>
    <t xml:space="preserve">U52</t>
  </si>
  <si>
    <t xml:space="preserve">-1.24610308208724e+18</t>
  </si>
  <si>
    <t xml:space="preserve">-1.26864e+18</t>
  </si>
  <si>
    <t xml:space="preserve">U53</t>
  </si>
  <si>
    <t xml:space="preserve">3.49217174133736e+23</t>
  </si>
  <si>
    <t xml:space="preserve">3.57945e+23</t>
  </si>
</sst>
</file>

<file path=xl/styles.xml><?xml version="1.0" encoding="utf-8"?>
<styleSheet xmlns="http://schemas.openxmlformats.org/spreadsheetml/2006/main">
  <numFmts count="10">
    <numFmt numFmtId="164" formatCode="General"/>
    <numFmt numFmtId="165" formatCode="0.0E+00"/>
    <numFmt numFmtId="166" formatCode="0.00"/>
    <numFmt numFmtId="167" formatCode="0.00E+00"/>
    <numFmt numFmtId="168" formatCode="0.0"/>
    <numFmt numFmtId="169" formatCode="0.000"/>
    <numFmt numFmtId="170" formatCode="0.0000"/>
    <numFmt numFmtId="171" formatCode="General"/>
    <numFmt numFmtId="172" formatCode="0.000000"/>
    <numFmt numFmtId="173" formatCode="0.000E+00"/>
  </numFmts>
  <fonts count="12">
    <font>
      <sz val="12"/>
      <color theme="1"/>
      <name val="Calibri"/>
      <family val="2"/>
      <charset val="1"/>
    </font>
    <font>
      <sz val="10"/>
      <name val="Arial"/>
      <family val="0"/>
    </font>
    <font>
      <sz val="10"/>
      <name val="Arial"/>
      <family val="0"/>
    </font>
    <font>
      <sz val="10"/>
      <name val="Arial"/>
      <family val="0"/>
    </font>
    <font>
      <sz val="12"/>
      <color rgb="FF000000"/>
      <name val="Calibri"/>
      <family val="2"/>
      <charset val="1"/>
    </font>
    <font>
      <sz val="14"/>
      <color rgb="FF595959"/>
      <name val="Calibri"/>
      <family val="2"/>
    </font>
    <font>
      <sz val="9"/>
      <color rgb="FF595959"/>
      <name val="Calibri"/>
      <family val="2"/>
    </font>
    <font>
      <sz val="10"/>
      <color rgb="FF595959"/>
      <name val="Calibri"/>
      <family val="2"/>
    </font>
    <font>
      <b val="true"/>
      <sz val="12"/>
      <name val="Arial"/>
      <family val="0"/>
      <charset val="1"/>
    </font>
    <font>
      <sz val="11"/>
      <name val="Arial"/>
      <family val="0"/>
      <charset val="1"/>
    </font>
    <font>
      <b val="true"/>
      <sz val="11"/>
      <name val="Arial"/>
      <family val="0"/>
      <charset val="1"/>
    </font>
    <font>
      <sz val="9"/>
      <name val="Arial"/>
      <family val="0"/>
      <charset val="1"/>
    </font>
  </fonts>
  <fills count="5">
    <fill>
      <patternFill patternType="none"/>
    </fill>
    <fill>
      <patternFill patternType="gray125"/>
    </fill>
    <fill>
      <patternFill patternType="solid">
        <fgColor theme="8" tint="0.7999"/>
        <bgColor rgb="FFD9D9D9"/>
      </patternFill>
    </fill>
    <fill>
      <patternFill patternType="solid">
        <fgColor theme="5" tint="0.7999"/>
        <bgColor rgb="FFFFF2CC"/>
      </patternFill>
    </fill>
    <fill>
      <patternFill patternType="solid">
        <fgColor theme="7" tint="0.7999"/>
        <bgColor rgb="FFFBE5D6"/>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right style="thin"/>
      <top/>
      <bottom/>
      <diagonal/>
    </border>
    <border diagonalUp="false" diagonalDown="false">
      <left/>
      <right/>
      <top/>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diagonal/>
    </border>
    <border diagonalUp="false" diagonalDown="false">
      <left style="thin"/>
      <right/>
      <top/>
      <bottom/>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7" fontId="0" fillId="2" borderId="4" xfId="0" applyFont="false" applyBorder="true" applyAlignment="true" applyProtection="false">
      <alignment horizontal="center" vertical="center" textRotation="0" wrapText="false" indent="0" shrinkToFit="false"/>
      <protection locked="true" hidden="false"/>
    </xf>
    <xf numFmtId="168" fontId="0" fillId="2" borderId="4" xfId="0" applyFont="fals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0" fontId="0" fillId="2" borderId="4" xfId="0" applyFont="false" applyBorder="true" applyAlignment="true" applyProtection="false">
      <alignment horizontal="center" vertical="center" textRotation="0" wrapText="false" indent="0" shrinkToFit="false"/>
      <protection locked="true" hidden="false"/>
    </xf>
    <xf numFmtId="170" fontId="0" fillId="2" borderId="5" xfId="0" applyFont="false" applyBorder="true" applyAlignment="true" applyProtection="false">
      <alignment horizontal="center" vertical="center" textRotation="0" wrapText="false" indent="0" shrinkToFit="false"/>
      <protection locked="true" hidden="false"/>
    </xf>
    <xf numFmtId="170" fontId="0" fillId="2" borderId="6" xfId="0" applyFont="false" applyBorder="true" applyAlignment="true" applyProtection="false">
      <alignment horizontal="center" vertical="center" textRotation="0" wrapText="false" indent="0" shrinkToFit="false"/>
      <protection locked="true" hidden="false"/>
    </xf>
    <xf numFmtId="167" fontId="0" fillId="3" borderId="0" xfId="0" applyFont="fals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8" fontId="0" fillId="2" borderId="4" xfId="0" applyFont="false" applyBorder="true" applyAlignment="true" applyProtection="false">
      <alignment horizontal="center" vertical="bottom" textRotation="0" wrapText="false" indent="0" shrinkToFit="false"/>
      <protection locked="true" hidden="false"/>
    </xf>
    <xf numFmtId="171" fontId="0" fillId="0" borderId="0" xfId="0" applyFont="false" applyBorder="fals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7" xfId="0" applyFont="false" applyBorder="true" applyAlignment="true" applyProtection="false">
      <alignment horizontal="center" vertical="bottom" textRotation="0" wrapText="false" indent="0" shrinkToFit="false"/>
      <protection locked="true" hidden="false"/>
    </xf>
    <xf numFmtId="166" fontId="0" fillId="0" borderId="7" xfId="0" applyFont="false" applyBorder="true" applyAlignment="true" applyProtection="false">
      <alignment horizontal="center" vertical="center" textRotation="0" wrapText="false" indent="0" shrinkToFit="false"/>
      <protection locked="true" hidden="false"/>
    </xf>
    <xf numFmtId="167" fontId="0" fillId="2" borderId="8" xfId="0" applyFont="false" applyBorder="true" applyAlignment="true" applyProtection="false">
      <alignment horizontal="center" vertical="center" textRotation="0" wrapText="false" indent="0" shrinkToFit="false"/>
      <protection locked="true" hidden="false"/>
    </xf>
    <xf numFmtId="168" fontId="0" fillId="2" borderId="8" xfId="0" applyFont="false" applyBorder="true" applyAlignment="true" applyProtection="false">
      <alignment horizontal="center" vertical="bottom" textRotation="0" wrapText="false" indent="0" shrinkToFit="false"/>
      <protection locked="true" hidden="false"/>
    </xf>
    <xf numFmtId="167" fontId="0" fillId="0" borderId="7" xfId="0" applyFont="false" applyBorder="true" applyAlignment="true" applyProtection="false">
      <alignment horizontal="center" vertical="center" textRotation="0" wrapText="false" indent="0" shrinkToFit="false"/>
      <protection locked="true" hidden="false"/>
    </xf>
    <xf numFmtId="169" fontId="0" fillId="0" borderId="7" xfId="0" applyFont="fals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true" applyProtection="false">
      <alignment horizontal="center" vertical="center" textRotation="0" wrapText="false" indent="0" shrinkToFit="false"/>
      <protection locked="true" hidden="false"/>
    </xf>
    <xf numFmtId="168" fontId="0" fillId="0" borderId="7" xfId="0" applyFont="false" applyBorder="true" applyAlignment="true" applyProtection="false">
      <alignment horizontal="center" vertical="center" textRotation="0" wrapText="false" indent="0" shrinkToFit="false"/>
      <protection locked="true" hidden="false"/>
    </xf>
    <xf numFmtId="170" fontId="0" fillId="0" borderId="7" xfId="0" applyFont="false" applyBorder="true" applyAlignment="true" applyProtection="false">
      <alignment horizontal="center" vertical="bottom" textRotation="0" wrapText="false" indent="0" shrinkToFit="false"/>
      <protection locked="true" hidden="false"/>
    </xf>
    <xf numFmtId="170" fontId="0" fillId="0" borderId="7" xfId="0" applyFont="false" applyBorder="true" applyAlignment="true" applyProtection="false">
      <alignment horizontal="center" vertical="center" textRotation="0" wrapText="false" indent="0" shrinkToFit="false"/>
      <protection locked="true" hidden="false"/>
    </xf>
    <xf numFmtId="172" fontId="0" fillId="4" borderId="7" xfId="0" applyFont="false" applyBorder="true" applyAlignment="true" applyProtection="false">
      <alignment horizontal="center" vertical="center" textRotation="0" wrapText="false" indent="0" shrinkToFit="false"/>
      <protection locked="true" hidden="false"/>
    </xf>
    <xf numFmtId="171" fontId="0" fillId="0" borderId="7" xfId="0" applyFont="false" applyBorder="true" applyAlignment="true" applyProtection="false">
      <alignment horizontal="general" vertical="bottom" textRotation="0" wrapText="false" indent="0" shrinkToFit="false"/>
      <protection locked="true" hidden="false"/>
    </xf>
    <xf numFmtId="170" fontId="0" fillId="2" borderId="8" xfId="0" applyFont="false" applyBorder="true" applyAlignment="true" applyProtection="false">
      <alignment horizontal="center" vertical="center" textRotation="0" wrapText="false" indent="0" shrinkToFit="false"/>
      <protection locked="true" hidden="false"/>
    </xf>
    <xf numFmtId="170" fontId="0" fillId="2" borderId="9" xfId="0" applyFont="false" applyBorder="true" applyAlignment="true" applyProtection="false">
      <alignment horizontal="center" vertical="center" textRotation="0" wrapText="false" indent="0" shrinkToFit="false"/>
      <protection locked="true" hidden="false"/>
    </xf>
    <xf numFmtId="165" fontId="0" fillId="0" borderId="10" xfId="0" applyFont="false" applyBorder="true" applyAlignment="true" applyProtection="false">
      <alignment horizontal="center" vertical="center" textRotation="0" wrapText="false" indent="0" shrinkToFit="false"/>
      <protection locked="true" hidden="false"/>
    </xf>
    <xf numFmtId="166" fontId="0" fillId="0" borderId="10" xfId="0" applyFont="false" applyBorder="true" applyAlignment="true" applyProtection="false">
      <alignment horizontal="center" vertical="center" textRotation="0" wrapText="false" indent="0" shrinkToFit="false"/>
      <protection locked="true" hidden="false"/>
    </xf>
    <xf numFmtId="167" fontId="0" fillId="2" borderId="5" xfId="0" applyFont="false" applyBorder="true" applyAlignment="true" applyProtection="false">
      <alignment horizontal="center" vertical="center" textRotation="0" wrapText="false" indent="0" shrinkToFit="false"/>
      <protection locked="true" hidden="false"/>
    </xf>
    <xf numFmtId="168" fontId="0" fillId="2" borderId="5" xfId="0" applyFont="false" applyBorder="true" applyAlignment="true" applyProtection="false">
      <alignment horizontal="center" vertical="center" textRotation="0" wrapText="false" indent="0" shrinkToFit="false"/>
      <protection locked="true" hidden="false"/>
    </xf>
    <xf numFmtId="167" fontId="0" fillId="0" borderId="10" xfId="0" applyFont="false" applyBorder="true" applyAlignment="true" applyProtection="false">
      <alignment horizontal="center" vertical="center" textRotation="0" wrapText="false" indent="0" shrinkToFit="false"/>
      <protection locked="true" hidden="false"/>
    </xf>
    <xf numFmtId="169" fontId="0" fillId="0" borderId="10" xfId="0" applyFont="false" applyBorder="true" applyAlignment="true" applyProtection="false">
      <alignment horizontal="center" vertical="center" textRotation="0" wrapText="false" indent="0" shrinkToFit="false"/>
      <protection locked="true" hidden="false"/>
    </xf>
    <xf numFmtId="168" fontId="0" fillId="0" borderId="10" xfId="0" applyFont="false" applyBorder="true" applyAlignment="true" applyProtection="false">
      <alignment horizontal="center" vertical="center" textRotation="0" wrapText="false" indent="0" shrinkToFit="false"/>
      <protection locked="true" hidden="false"/>
    </xf>
    <xf numFmtId="170" fontId="0" fillId="0" borderId="10" xfId="0" applyFont="false" applyBorder="true" applyAlignment="true" applyProtection="false">
      <alignment horizontal="center" vertical="center" textRotation="0" wrapText="false" indent="0" shrinkToFit="false"/>
      <protection locked="true" hidden="false"/>
    </xf>
    <xf numFmtId="170" fontId="0" fillId="2" borderId="11" xfId="0" applyFont="false" applyBorder="tru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0" fillId="0" borderId="7"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5" fontId="0" fillId="0" borderId="7" xfId="0" applyFont="false" applyBorder="true" applyAlignment="true" applyProtection="false">
      <alignment horizontal="center" vertical="center" textRotation="0" wrapText="false" indent="0" shrinkToFit="false"/>
      <protection locked="true" hidden="false"/>
    </xf>
    <xf numFmtId="168" fontId="0" fillId="2" borderId="8" xfId="0" applyFont="false" applyBorder="true" applyAlignment="true" applyProtection="false">
      <alignment horizontal="center" vertical="center" textRotation="0" wrapText="false" indent="0" shrinkToFit="false"/>
      <protection locked="true" hidden="false"/>
    </xf>
    <xf numFmtId="172" fontId="0" fillId="4" borderId="0" xfId="0" applyFont="false" applyBorder="false" applyAlignment="true" applyProtection="false">
      <alignment horizontal="center" vertical="center" textRotation="0" wrapText="false" indent="0" shrinkToFit="false"/>
      <protection locked="true" hidden="false"/>
    </xf>
    <xf numFmtId="164" fontId="0" fillId="3" borderId="10" xfId="0" applyFont="false" applyBorder="true" applyAlignment="true" applyProtection="false">
      <alignment horizontal="center" vertical="center" textRotation="0" wrapText="false" indent="0" shrinkToFit="false"/>
      <protection locked="true" hidden="false"/>
    </xf>
    <xf numFmtId="167" fontId="0" fillId="0" borderId="12" xfId="0" applyFont="false" applyBorder="true" applyAlignment="true" applyProtection="false">
      <alignment horizontal="center" vertical="center" textRotation="0" wrapText="false" indent="0" shrinkToFit="false"/>
      <protection locked="true" hidden="false"/>
    </xf>
    <xf numFmtId="173" fontId="0" fillId="0" borderId="10" xfId="0" applyFont="false" applyBorder="true" applyAlignment="true" applyProtection="false">
      <alignment horizontal="center" vertical="center" textRotation="0" wrapText="false" indent="0" shrinkToFit="false"/>
      <protection locked="true" hidden="false"/>
    </xf>
    <xf numFmtId="166" fontId="0" fillId="0" borderId="11" xfId="0" applyFont="false" applyBorder="true" applyAlignment="true" applyProtection="false">
      <alignment horizontal="center" vertical="center" textRotation="0" wrapText="false" indent="0" shrinkToFit="false"/>
      <protection locked="true" hidden="false"/>
    </xf>
    <xf numFmtId="167" fontId="0" fillId="0" borderId="13" xfId="0" applyFont="false" applyBorder="true" applyAlignment="true" applyProtection="false">
      <alignment horizontal="center" vertical="center" textRotation="0" wrapText="false" indent="0" shrinkToFit="false"/>
      <protection locked="true" hidden="false"/>
    </xf>
    <xf numFmtId="173" fontId="0" fillId="0" borderId="0" xfId="0" applyFont="false" applyBorder="false" applyAlignment="true" applyProtection="false">
      <alignment horizontal="center" vertical="center" textRotation="0" wrapText="false" indent="0" shrinkToFit="false"/>
      <protection locked="true" hidden="false"/>
    </xf>
    <xf numFmtId="166" fontId="0" fillId="0" borderId="6" xfId="0" applyFont="false" applyBorder="true" applyAlignment="true" applyProtection="false">
      <alignment horizontal="center" vertical="center" textRotation="0" wrapText="false" indent="0" shrinkToFit="false"/>
      <protection locked="true" hidden="false"/>
    </xf>
    <xf numFmtId="167" fontId="0" fillId="0" borderId="14" xfId="0" applyFont="false" applyBorder="true" applyAlignment="true" applyProtection="false">
      <alignment horizontal="center" vertical="center" textRotation="0" wrapText="false" indent="0" shrinkToFit="false"/>
      <protection locked="true" hidden="false"/>
    </xf>
    <xf numFmtId="173" fontId="0" fillId="0" borderId="7" xfId="0" applyFont="false" applyBorder="true" applyAlignment="true" applyProtection="false">
      <alignment horizontal="center" vertical="center" textRotation="0" wrapText="false" indent="0" shrinkToFit="false"/>
      <protection locked="true" hidden="false"/>
    </xf>
    <xf numFmtId="166" fontId="0" fillId="0" borderId="9" xfId="0" applyFont="fals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pH=4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Na2SO4!$J$4:$J$12</c:f>
              <c:numCache>
                <c:formatCode>0.00E+00</c:formatCode>
                <c:ptCount val="9"/>
                <c:pt idx="0">
                  <c:v>2.55134258716346E-007</c:v>
                </c:pt>
                <c:pt idx="1">
                  <c:v>3.91419324907823E-007</c:v>
                </c:pt>
                <c:pt idx="2">
                  <c:v>5.16288034648135E-007</c:v>
                </c:pt>
                <c:pt idx="3">
                  <c:v>6.44684127300811E-007</c:v>
                </c:pt>
                <c:pt idx="4">
                  <c:v>7.77269104158238E-007</c:v>
                </c:pt>
                <c:pt idx="5">
                  <c:v>9.02716216017737E-007</c:v>
                </c:pt>
                <c:pt idx="6">
                  <c:v>1.031089410289E-006</c:v>
                </c:pt>
                <c:pt idx="7">
                  <c:v>1.16241485622078E-006</c:v>
                </c:pt>
                <c:pt idx="8">
                  <c:v>1.29926982895601E-006</c:v>
                </c:pt>
              </c:numCache>
            </c:numRef>
          </c:xVal>
          <c:yVal>
            <c:numRef>
              <c:f>Na2SO4!$S$4:$S$12</c:f>
              <c:numCache>
                <c:formatCode>0.0000</c:formatCode>
                <c:ptCount val="9"/>
                <c:pt idx="0">
                  <c:v>-0.0597260462373982</c:v>
                </c:pt>
                <c:pt idx="1">
                  <c:v>-0.0796002578182244</c:v>
                </c:pt>
                <c:pt idx="2">
                  <c:v>-0.0918536093409079</c:v>
                </c:pt>
                <c:pt idx="3">
                  <c:v>-0.0900238255618941</c:v>
                </c:pt>
                <c:pt idx="4">
                  <c:v>-0.115690371990447</c:v>
                </c:pt>
                <c:pt idx="5">
                  <c:v>-0.122304211720385</c:v>
                </c:pt>
                <c:pt idx="6">
                  <c:v>-0.130991318250624</c:v>
                </c:pt>
                <c:pt idx="7">
                  <c:v>-0.136624943346207</c:v>
                </c:pt>
                <c:pt idx="8">
                  <c:v>-0.157642422819279</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Na2SO4!$J$4:$J$12</c:f>
              <c:numCache>
                <c:formatCode>0.00E+00</c:formatCode>
                <c:ptCount val="9"/>
                <c:pt idx="0">
                  <c:v>2.55134258716346E-007</c:v>
                </c:pt>
                <c:pt idx="1">
                  <c:v>3.91419324907823E-007</c:v>
                </c:pt>
                <c:pt idx="2">
                  <c:v>5.16288034648135E-007</c:v>
                </c:pt>
                <c:pt idx="3">
                  <c:v>6.44684127300811E-007</c:v>
                </c:pt>
                <c:pt idx="4">
                  <c:v>7.77269104158238E-007</c:v>
                </c:pt>
                <c:pt idx="5">
                  <c:v>9.02716216017737E-007</c:v>
                </c:pt>
                <c:pt idx="6">
                  <c:v>1.031089410289E-006</c:v>
                </c:pt>
                <c:pt idx="7">
                  <c:v>1.16241485622078E-006</c:v>
                </c:pt>
                <c:pt idx="8">
                  <c:v>1.29926982895601E-006</c:v>
                </c:pt>
              </c:numCache>
            </c:numRef>
          </c:xVal>
          <c:yVal>
            <c:numRef>
              <c:f>Na2SO4!$T$4:$T$12</c:f>
              <c:numCache>
                <c:formatCode>0.0000</c:formatCode>
                <c:ptCount val="9"/>
                <c:pt idx="0">
                  <c:v>-0.0594206926327567</c:v>
                </c:pt>
                <c:pt idx="1">
                  <c:v>-0.0778314344903299</c:v>
                </c:pt>
                <c:pt idx="2">
                  <c:v>-0.0901209846863201</c:v>
                </c:pt>
                <c:pt idx="3">
                  <c:v>-0.100291951702357</c:v>
                </c:pt>
                <c:pt idx="4">
                  <c:v>-0.109884830416942</c:v>
                </c:pt>
                <c:pt idx="5">
                  <c:v>-0.11925715775818</c:v>
                </c:pt>
                <c:pt idx="6">
                  <c:v>-0.129835818142741</c:v>
                </c:pt>
                <c:pt idx="7">
                  <c:v>-0.141923702717399</c:v>
                </c:pt>
                <c:pt idx="8">
                  <c:v>-0.155595314303803</c:v>
                </c:pt>
              </c:numCache>
            </c:numRef>
          </c:yVal>
          <c:smooth val="0"/>
        </c:ser>
        <c:axId val="96921261"/>
        <c:axId val="22098072"/>
      </c:scatterChart>
      <c:valAx>
        <c:axId val="96921261"/>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2098072"/>
        <c:crosses val="autoZero"/>
        <c:crossBetween val="midCat"/>
      </c:valAx>
      <c:valAx>
        <c:axId val="2209807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6921261"/>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pH=7  I=3M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Na2SO4!$J$31:$J$39</c:f>
              <c:numCache>
                <c:formatCode>0.00E+00</c:formatCode>
                <c:ptCount val="9"/>
                <c:pt idx="0">
                  <c:v>2.93544563353861E-007</c:v>
                </c:pt>
                <c:pt idx="1">
                  <c:v>4.46633224572126E-007</c:v>
                </c:pt>
                <c:pt idx="2">
                  <c:v>5.94787025271209E-007</c:v>
                </c:pt>
                <c:pt idx="3">
                  <c:v>7.44876726319697E-007</c:v>
                </c:pt>
                <c:pt idx="4">
                  <c:v>8.92052244192823E-007</c:v>
                </c:pt>
                <c:pt idx="5">
                  <c:v>1.04046657338909E-006</c:v>
                </c:pt>
                <c:pt idx="6">
                  <c:v>1.18732789612328E-006</c:v>
                </c:pt>
                <c:pt idx="7">
                  <c:v>1.33613205822833E-006</c:v>
                </c:pt>
                <c:pt idx="8">
                  <c:v>1.47772291260178E-006</c:v>
                </c:pt>
              </c:numCache>
            </c:numRef>
          </c:xVal>
          <c:yVal>
            <c:numRef>
              <c:f>Na2SO4!$S$31:$S$39</c:f>
              <c:numCache>
                <c:formatCode>0.0000</c:formatCode>
                <c:ptCount val="9"/>
                <c:pt idx="0">
                  <c:v>-0.150312683137529</c:v>
                </c:pt>
                <c:pt idx="1">
                  <c:v>-0.168337863586628</c:v>
                </c:pt>
                <c:pt idx="2">
                  <c:v>-0.195019894503223</c:v>
                </c:pt>
                <c:pt idx="3">
                  <c:v>-0.213309398186561</c:v>
                </c:pt>
                <c:pt idx="4">
                  <c:v>-0.232118878717252</c:v>
                </c:pt>
                <c:pt idx="5">
                  <c:v>-0.241467209735792</c:v>
                </c:pt>
                <c:pt idx="6">
                  <c:v>-0.252127089399501</c:v>
                </c:pt>
                <c:pt idx="7">
                  <c:v>-0.265629913257986</c:v>
                </c:pt>
                <c:pt idx="8">
                  <c:v>-0.268601545935305</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Na2SO4!$J$31:$J$39</c:f>
              <c:numCache>
                <c:formatCode>0.00E+00</c:formatCode>
                <c:ptCount val="9"/>
                <c:pt idx="0">
                  <c:v>2.93544563353861E-007</c:v>
                </c:pt>
                <c:pt idx="1">
                  <c:v>4.46633224572126E-007</c:v>
                </c:pt>
                <c:pt idx="2">
                  <c:v>5.94787025271209E-007</c:v>
                </c:pt>
                <c:pt idx="3">
                  <c:v>7.44876726319697E-007</c:v>
                </c:pt>
                <c:pt idx="4">
                  <c:v>8.92052244192823E-007</c:v>
                </c:pt>
                <c:pt idx="5">
                  <c:v>1.04046657338909E-006</c:v>
                </c:pt>
                <c:pt idx="6">
                  <c:v>1.18732789612328E-006</c:v>
                </c:pt>
                <c:pt idx="7">
                  <c:v>1.33613205822833E-006</c:v>
                </c:pt>
                <c:pt idx="8">
                  <c:v>1.47772291260178E-006</c:v>
                </c:pt>
              </c:numCache>
            </c:numRef>
          </c:xVal>
          <c:yVal>
            <c:numRef>
              <c:f>Na2SO4!$T$31:$T$39</c:f>
              <c:numCache>
                <c:formatCode>0.0000</c:formatCode>
                <c:ptCount val="9"/>
                <c:pt idx="0">
                  <c:v>-0.142513045235176</c:v>
                </c:pt>
                <c:pt idx="1">
                  <c:v>-0.17666887482499</c:v>
                </c:pt>
                <c:pt idx="2">
                  <c:v>-0.197200160294923</c:v>
                </c:pt>
                <c:pt idx="3">
                  <c:v>-0.212530182346887</c:v>
                </c:pt>
                <c:pt idx="4">
                  <c:v>-0.22647478233601</c:v>
                </c:pt>
                <c:pt idx="5">
                  <c:v>-0.241147757528415</c:v>
                </c:pt>
                <c:pt idx="6">
                  <c:v>-0.255424240240978</c:v>
                </c:pt>
                <c:pt idx="7">
                  <c:v>-0.266223292961939</c:v>
                </c:pt>
                <c:pt idx="8">
                  <c:v>-0.267594480409598</c:v>
                </c:pt>
              </c:numCache>
            </c:numRef>
          </c:yVal>
          <c:smooth val="0"/>
        </c:ser>
        <c:axId val="84334107"/>
        <c:axId val="99955196"/>
      </c:scatterChart>
      <c:valAx>
        <c:axId val="84334107"/>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9955196"/>
        <c:crosses val="autoZero"/>
        <c:crossBetween val="midCat"/>
      </c:valAx>
      <c:valAx>
        <c:axId val="99955196"/>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4334107"/>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pH=8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Na2SO4!$J$40:$J$48</c:f>
              <c:numCache>
                <c:formatCode>0.00E+00</c:formatCode>
                <c:ptCount val="9"/>
                <c:pt idx="0">
                  <c:v>2.51406464784083E-007</c:v>
                </c:pt>
                <c:pt idx="1">
                  <c:v>3.80199494967355E-007</c:v>
                </c:pt>
                <c:pt idx="2">
                  <c:v>5.08158699070484E-007</c:v>
                </c:pt>
                <c:pt idx="3">
                  <c:v>6.48446974153652E-007</c:v>
                </c:pt>
                <c:pt idx="4">
                  <c:v>7.640522668209E-007</c:v>
                </c:pt>
                <c:pt idx="5">
                  <c:v>8.90088970103986E-007</c:v>
                </c:pt>
                <c:pt idx="6">
                  <c:v>1.01968796534947E-006</c:v>
                </c:pt>
                <c:pt idx="7">
                  <c:v>1.15097594501573E-006</c:v>
                </c:pt>
                <c:pt idx="8">
                  <c:v>1.28205532648635E-006</c:v>
                </c:pt>
              </c:numCache>
            </c:numRef>
          </c:xVal>
          <c:yVal>
            <c:numRef>
              <c:f>Na2SO4!$S$40:$S$48</c:f>
              <c:numCache>
                <c:formatCode>0.0000</c:formatCode>
                <c:ptCount val="9"/>
                <c:pt idx="0">
                  <c:v>-0.0590689866917331</c:v>
                </c:pt>
                <c:pt idx="1">
                  <c:v>-0.0824223212056644</c:v>
                </c:pt>
                <c:pt idx="2">
                  <c:v>-0.0879353348884032</c:v>
                </c:pt>
                <c:pt idx="3">
                  <c:v>-0.113366155319868</c:v>
                </c:pt>
                <c:pt idx="4">
                  <c:v>-0.122845516636807</c:v>
                </c:pt>
                <c:pt idx="5">
                  <c:v>-0.128486141040679</c:v>
                </c:pt>
                <c:pt idx="6">
                  <c:v>-0.149179852799875</c:v>
                </c:pt>
                <c:pt idx="7">
                  <c:v>-0.152862035112554</c:v>
                </c:pt>
                <c:pt idx="8">
                  <c:v>-0.16627227390221</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Na2SO4!$J$40:$J$48</c:f>
              <c:numCache>
                <c:formatCode>0.00E+00</c:formatCode>
                <c:ptCount val="9"/>
                <c:pt idx="0">
                  <c:v>2.51406464784083E-007</c:v>
                </c:pt>
                <c:pt idx="1">
                  <c:v>3.80199494967355E-007</c:v>
                </c:pt>
                <c:pt idx="2">
                  <c:v>5.08158699070484E-007</c:v>
                </c:pt>
                <c:pt idx="3">
                  <c:v>6.48446974153652E-007</c:v>
                </c:pt>
                <c:pt idx="4">
                  <c:v>7.640522668209E-007</c:v>
                </c:pt>
                <c:pt idx="5">
                  <c:v>8.90088970103986E-007</c:v>
                </c:pt>
                <c:pt idx="6">
                  <c:v>1.01968796534947E-006</c:v>
                </c:pt>
                <c:pt idx="7">
                  <c:v>1.15097594501573E-006</c:v>
                </c:pt>
                <c:pt idx="8">
                  <c:v>1.28205532648635E-006</c:v>
                </c:pt>
              </c:numCache>
            </c:numRef>
          </c:xVal>
          <c:yVal>
            <c:numRef>
              <c:f>Na2SO4!$T$40:$T$48</c:f>
              <c:numCache>
                <c:formatCode>0.0000</c:formatCode>
                <c:ptCount val="9"/>
                <c:pt idx="0">
                  <c:v>-0.0591089040461433</c:v>
                </c:pt>
                <c:pt idx="1">
                  <c:v>-0.0789720763831471</c:v>
                </c:pt>
                <c:pt idx="2">
                  <c:v>-0.0947946108724082</c:v>
                </c:pt>
                <c:pt idx="3">
                  <c:v>-0.109631412376022</c:v>
                </c:pt>
                <c:pt idx="4">
                  <c:v>-0.120911359961899</c:v>
                </c:pt>
                <c:pt idx="5">
                  <c:v>-0.132807048888666</c:v>
                </c:pt>
                <c:pt idx="6">
                  <c:v>-0.144697797651114</c:v>
                </c:pt>
                <c:pt idx="7">
                  <c:v>-0.155955855656426</c:v>
                </c:pt>
                <c:pt idx="8">
                  <c:v>-0.165397987846351</c:v>
                </c:pt>
              </c:numCache>
            </c:numRef>
          </c:yVal>
          <c:smooth val="0"/>
        </c:ser>
        <c:axId val="13815462"/>
        <c:axId val="42678689"/>
      </c:scatterChart>
      <c:valAx>
        <c:axId val="13815462"/>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2678689"/>
        <c:crosses val="autoZero"/>
        <c:crossBetween val="midCat"/>
      </c:valAx>
      <c:valAx>
        <c:axId val="42678689"/>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3815462"/>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pH=8  I=3M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Na2SO4!$J$49:$J$57</c:f>
              <c:numCache>
                <c:formatCode>0.00E+00</c:formatCode>
                <c:ptCount val="9"/>
                <c:pt idx="0">
                  <c:v>2.94914955401571E-007</c:v>
                </c:pt>
                <c:pt idx="1">
                  <c:v>4.47321050625333E-007</c:v>
                </c:pt>
                <c:pt idx="2">
                  <c:v>6.0859669875933E-007</c:v>
                </c:pt>
                <c:pt idx="3">
                  <c:v>7.54579259439209E-007</c:v>
                </c:pt>
                <c:pt idx="4">
                  <c:v>9.02486069625021E-007</c:v>
                </c:pt>
                <c:pt idx="5">
                  <c:v>1.05303375620187E-006</c:v>
                </c:pt>
                <c:pt idx="6">
                  <c:v>1.20484708250618E-006</c:v>
                </c:pt>
                <c:pt idx="7">
                  <c:v>1.35160545456705E-006</c:v>
                </c:pt>
                <c:pt idx="8">
                  <c:v>1.49395650166152E-006</c:v>
                </c:pt>
              </c:numCache>
            </c:numRef>
          </c:xVal>
          <c:yVal>
            <c:numRef>
              <c:f>Na2SO4!$S$49:$S$57</c:f>
              <c:numCache>
                <c:formatCode>0.0000</c:formatCode>
                <c:ptCount val="9"/>
                <c:pt idx="0">
                  <c:v>-0.159608435365102</c:v>
                </c:pt>
                <c:pt idx="1">
                  <c:v>-0.181450820277712</c:v>
                </c:pt>
                <c:pt idx="2">
                  <c:v>-0.204228287596108</c:v>
                </c:pt>
                <c:pt idx="3">
                  <c:v>-0.208881187697779</c:v>
                </c:pt>
                <c:pt idx="4">
                  <c:v>-0.222788212838961</c:v>
                </c:pt>
                <c:pt idx="5">
                  <c:v>-0.2501286457042</c:v>
                </c:pt>
                <c:pt idx="6">
                  <c:v>-0.273712273438428</c:v>
                </c:pt>
                <c:pt idx="7">
                  <c:v>-0.277520589292615</c:v>
                </c:pt>
                <c:pt idx="8">
                  <c:v>-0.291087494726847</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Na2SO4!$J$49:$J$57</c:f>
              <c:numCache>
                <c:formatCode>0.00E+00</c:formatCode>
                <c:ptCount val="9"/>
                <c:pt idx="0">
                  <c:v>2.94914955401571E-007</c:v>
                </c:pt>
                <c:pt idx="1">
                  <c:v>4.47321050625333E-007</c:v>
                </c:pt>
                <c:pt idx="2">
                  <c:v>6.0859669875933E-007</c:v>
                </c:pt>
                <c:pt idx="3">
                  <c:v>7.54579259439209E-007</c:v>
                </c:pt>
                <c:pt idx="4">
                  <c:v>9.02486069625021E-007</c:v>
                </c:pt>
                <c:pt idx="5">
                  <c:v>1.05303375620187E-006</c:v>
                </c:pt>
                <c:pt idx="6">
                  <c:v>1.20484708250618E-006</c:v>
                </c:pt>
                <c:pt idx="7">
                  <c:v>1.35160545456705E-006</c:v>
                </c:pt>
                <c:pt idx="8">
                  <c:v>1.49395650166152E-006</c:v>
                </c:pt>
              </c:numCache>
            </c:numRef>
          </c:xVal>
          <c:yVal>
            <c:numRef>
              <c:f>Na2SO4!$T$49:$T$57</c:f>
              <c:numCache>
                <c:formatCode>0.0000</c:formatCode>
                <c:ptCount val="9"/>
                <c:pt idx="0">
                  <c:v>-0.156938682586194</c:v>
                </c:pt>
                <c:pt idx="1">
                  <c:v>-0.185345311332991</c:v>
                </c:pt>
                <c:pt idx="2">
                  <c:v>-0.200474150944458</c:v>
                </c:pt>
                <c:pt idx="3">
                  <c:v>-0.211548618399536</c:v>
                </c:pt>
                <c:pt idx="4">
                  <c:v>-0.226117148469994</c:v>
                </c:pt>
                <c:pt idx="5">
                  <c:v>-0.246018685199897</c:v>
                </c:pt>
                <c:pt idx="6">
                  <c:v>-0.268527393513587</c:v>
                </c:pt>
                <c:pt idx="7">
                  <c:v>-0.285798729587447</c:v>
                </c:pt>
                <c:pt idx="8">
                  <c:v>-0.288208593282119</c:v>
                </c:pt>
              </c:numCache>
            </c:numRef>
          </c:yVal>
          <c:smooth val="0"/>
        </c:ser>
        <c:axId val="33227831"/>
        <c:axId val="99891517"/>
      </c:scatterChart>
      <c:valAx>
        <c:axId val="33227831"/>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9891517"/>
        <c:crosses val="autoZero"/>
        <c:crossBetween val="midCat"/>
      </c:valAx>
      <c:valAx>
        <c:axId val="99891517"/>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3227831"/>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0777725783809078"/>
          <c:y val="0.0305693839452396"/>
          <c:w val="0.891764155357979"/>
          <c:h val="0.84590852520224"/>
        </c:manualLayout>
      </c:layout>
      <c:scatterChart>
        <c:scatterStyle val="lineMarker"/>
        <c:varyColors val="0"/>
        <c:ser>
          <c:idx val="0"/>
          <c:order val="0"/>
          <c:tx>
            <c:strRef>
              <c:f>"pH=4,I=1M"</c:f>
              <c:strCache>
                <c:ptCount val="1"/>
                <c:pt idx="0">
                  <c:v>pH=4,I=1M</c:v>
                </c:pt>
              </c:strCache>
            </c:strRef>
          </c:tx>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Na2SO4!$I$4:$I$12</c:f>
              <c:numCache>
                <c:formatCode>0.0</c:formatCode>
                <c:ptCount val="9"/>
                <c:pt idx="0">
                  <c:v>242.352941176471</c:v>
                </c:pt>
                <c:pt idx="1">
                  <c:v>371.176470588235</c:v>
                </c:pt>
                <c:pt idx="2">
                  <c:v>488.823529411765</c:v>
                </c:pt>
                <c:pt idx="3">
                  <c:v>609.411764705882</c:v>
                </c:pt>
                <c:pt idx="4">
                  <c:v>733.529411764706</c:v>
                </c:pt>
                <c:pt idx="5">
                  <c:v>850.588235294118</c:v>
                </c:pt>
                <c:pt idx="6">
                  <c:v>970</c:v>
                </c:pt>
                <c:pt idx="7">
                  <c:v>1091.76470588235</c:v>
                </c:pt>
                <c:pt idx="8">
                  <c:v>1218.23529411765</c:v>
                </c:pt>
              </c:numCache>
            </c:numRef>
          </c:xVal>
          <c:yVal>
            <c:numRef>
              <c:f>Na2SO4!$Z$4:$Z$12</c:f>
              <c:numCache>
                <c:formatCode>0.0000</c:formatCode>
                <c:ptCount val="9"/>
                <c:pt idx="0">
                  <c:v>0.890649599268569</c:v>
                </c:pt>
                <c:pt idx="1">
                  <c:v>0.853366949274794</c:v>
                </c:pt>
                <c:pt idx="2">
                  <c:v>0.82789204891043</c:v>
                </c:pt>
                <c:pt idx="3">
                  <c:v>0.81583413454997</c:v>
                </c:pt>
                <c:pt idx="4">
                  <c:v>0.782885474807434</c:v>
                </c:pt>
                <c:pt idx="5">
                  <c:v>0.767037300447437</c:v>
                </c:pt>
                <c:pt idx="6">
                  <c:v>0.750123963362276</c:v>
                </c:pt>
                <c:pt idx="7">
                  <c:v>0.735888812844889</c:v>
                </c:pt>
                <c:pt idx="8">
                  <c:v>0.710800008552733</c:v>
                </c:pt>
              </c:numCache>
            </c:numRef>
          </c:yVal>
          <c:smooth val="0"/>
        </c:ser>
        <c:ser>
          <c:idx val="1"/>
          <c:order val="1"/>
          <c:tx>
            <c:strRef>
              <c:f>"pH=4,I=3M"</c:f>
              <c:strCache>
                <c:ptCount val="1"/>
                <c:pt idx="0">
                  <c:v>pH=4,I=3M</c:v>
                </c:pt>
              </c:strCache>
            </c:strRef>
          </c:tx>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Na2SO4!$I$13:$I$21</c:f>
              <c:numCache>
                <c:formatCode>0.0</c:formatCode>
                <c:ptCount val="9"/>
                <c:pt idx="0">
                  <c:v>258.235294117647</c:v>
                </c:pt>
                <c:pt idx="1">
                  <c:v>394.705882352941</c:v>
                </c:pt>
                <c:pt idx="2">
                  <c:v>522.941176470588</c:v>
                </c:pt>
                <c:pt idx="3">
                  <c:v>653.529411764706</c:v>
                </c:pt>
                <c:pt idx="4">
                  <c:v>782.352941176471</c:v>
                </c:pt>
                <c:pt idx="5">
                  <c:v>914.117647058824</c:v>
                </c:pt>
                <c:pt idx="6">
                  <c:v>1041.17647058824</c:v>
                </c:pt>
                <c:pt idx="7">
                  <c:v>1165.88235294118</c:v>
                </c:pt>
                <c:pt idx="8">
                  <c:v>1294.11764705882</c:v>
                </c:pt>
              </c:numCache>
            </c:numRef>
          </c:xVal>
          <c:yVal>
            <c:numRef>
              <c:f>Na2SO4!$Z$13:$Z$21</c:f>
              <c:numCache>
                <c:formatCode>0.0000</c:formatCode>
                <c:ptCount val="9"/>
                <c:pt idx="0">
                  <c:v>0.796917787641446</c:v>
                </c:pt>
                <c:pt idx="1">
                  <c:v>0.771062187664524</c:v>
                </c:pt>
                <c:pt idx="2">
                  <c:v>0.736456610171795</c:v>
                </c:pt>
                <c:pt idx="3">
                  <c:v>0.713993464713585</c:v>
                </c:pt>
                <c:pt idx="4">
                  <c:v>0.686691825562327</c:v>
                </c:pt>
                <c:pt idx="5">
                  <c:v>0.672609939794697</c:v>
                </c:pt>
                <c:pt idx="6">
                  <c:v>0.646444073348443</c:v>
                </c:pt>
                <c:pt idx="7">
                  <c:v>0.63058615597438</c:v>
                </c:pt>
                <c:pt idx="8">
                  <c:v>0.613009817493147</c:v>
                </c:pt>
              </c:numCache>
            </c:numRef>
          </c:yVal>
          <c:smooth val="0"/>
        </c:ser>
        <c:ser>
          <c:idx val="2"/>
          <c:order val="2"/>
          <c:tx>
            <c:strRef>
              <c:f>"pH=7,I=1M"</c:f>
              <c:strCache>
                <c:ptCount val="1"/>
                <c:pt idx="0">
                  <c:v>pH=7,I=1M</c:v>
                </c:pt>
              </c:strCache>
            </c:strRef>
          </c:tx>
          <c:spPr>
            <a:solidFill>
              <a:srgbClr val="a5a5a5"/>
            </a:solidFill>
            <a:ln cap="rnd" w="19080">
              <a:solidFill>
                <a:srgbClr val="a5a5a5"/>
              </a:solidFill>
              <a:round/>
            </a:ln>
          </c:spPr>
          <c:marker>
            <c:symbol val="circle"/>
            <c:size val="5"/>
            <c:spPr>
              <a:solidFill>
                <a:srgbClr val="a5a5a5"/>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Na2SO4!$I$22:$I$30</c:f>
              <c:numCache>
                <c:formatCode>0.0</c:formatCode>
                <c:ptCount val="9"/>
                <c:pt idx="0">
                  <c:v>238.823529411765</c:v>
                </c:pt>
                <c:pt idx="1">
                  <c:v>364.117647058824</c:v>
                </c:pt>
                <c:pt idx="2">
                  <c:v>481.764705882353</c:v>
                </c:pt>
                <c:pt idx="3">
                  <c:v>602.941176470588</c:v>
                </c:pt>
                <c:pt idx="4">
                  <c:v>723.529411764706</c:v>
                </c:pt>
                <c:pt idx="5">
                  <c:v>844.117647058824</c:v>
                </c:pt>
                <c:pt idx="6">
                  <c:v>965.882352941177</c:v>
                </c:pt>
                <c:pt idx="7">
                  <c:v>1083.52941176471</c:v>
                </c:pt>
                <c:pt idx="8">
                  <c:v>1199.41176470588</c:v>
                </c:pt>
              </c:numCache>
            </c:numRef>
          </c:xVal>
          <c:yVal>
            <c:numRef>
              <c:f>Na2SO4!$Z$22:$Z$30</c:f>
              <c:numCache>
                <c:formatCode>0.0000</c:formatCode>
                <c:ptCount val="9"/>
                <c:pt idx="0">
                  <c:v>0.901036028465776</c:v>
                </c:pt>
                <c:pt idx="1">
                  <c:v>0.873782056199496</c:v>
                </c:pt>
                <c:pt idx="2">
                  <c:v>0.848010938920406</c:v>
                </c:pt>
                <c:pt idx="3">
                  <c:v>0.825975183084982</c:v>
                </c:pt>
                <c:pt idx="4">
                  <c:v>0.805276464235239</c:v>
                </c:pt>
                <c:pt idx="5">
                  <c:v>0.787400324706359</c:v>
                </c:pt>
                <c:pt idx="6">
                  <c:v>0.768363842826025</c:v>
                </c:pt>
                <c:pt idx="7">
                  <c:v>0.751867413069049</c:v>
                </c:pt>
                <c:pt idx="8">
                  <c:v>0.734572425717822</c:v>
                </c:pt>
              </c:numCache>
            </c:numRef>
          </c:yVal>
          <c:smooth val="0"/>
        </c:ser>
        <c:ser>
          <c:idx val="3"/>
          <c:order val="3"/>
          <c:tx>
            <c:strRef>
              <c:f>"pH=7,I=3M"</c:f>
              <c:strCache>
                <c:ptCount val="1"/>
                <c:pt idx="0">
                  <c:v>pH=7,I=3M</c:v>
                </c:pt>
              </c:strCache>
            </c:strRef>
          </c:tx>
          <c:spPr>
            <a:solidFill>
              <a:srgbClr val="ffc000"/>
            </a:solidFill>
            <a:ln cap="rnd" w="19080">
              <a:solidFill>
                <a:srgbClr val="ffc000"/>
              </a:solidFill>
              <a:round/>
            </a:ln>
          </c:spPr>
          <c:marker>
            <c:symbol val="circle"/>
            <c:size val="5"/>
            <c:spPr>
              <a:solidFill>
                <a:srgbClr val="ffc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Na2SO4!$I$31:$I$39</c:f>
              <c:numCache>
                <c:formatCode>0.0</c:formatCode>
                <c:ptCount val="9"/>
                <c:pt idx="0">
                  <c:v>252.941176470588</c:v>
                </c:pt>
                <c:pt idx="1">
                  <c:v>384.117647058824</c:v>
                </c:pt>
                <c:pt idx="2">
                  <c:v>510.588235294118</c:v>
                </c:pt>
                <c:pt idx="3">
                  <c:v>638.235294117647</c:v>
                </c:pt>
                <c:pt idx="4">
                  <c:v>762.941176470588</c:v>
                </c:pt>
                <c:pt idx="5">
                  <c:v>888.235294117647</c:v>
                </c:pt>
                <c:pt idx="6">
                  <c:v>1011.76470588235</c:v>
                </c:pt>
                <c:pt idx="7">
                  <c:v>1136.47058823529</c:v>
                </c:pt>
                <c:pt idx="8">
                  <c:v>1254.70588235294</c:v>
                </c:pt>
              </c:numCache>
            </c:numRef>
          </c:xVal>
          <c:yVal>
            <c:numRef>
              <c:f>Na2SO4!$Z$31:$Z$39</c:f>
              <c:numCache>
                <c:formatCode>0.0000</c:formatCode>
                <c:ptCount val="9"/>
                <c:pt idx="0">
                  <c:v>0.720660332896395</c:v>
                </c:pt>
                <c:pt idx="1">
                  <c:v>0.66185189427858</c:v>
                </c:pt>
                <c:pt idx="2">
                  <c:v>0.610788341598144</c:v>
                </c:pt>
                <c:pt idx="3">
                  <c:v>0.572707218327398</c:v>
                </c:pt>
                <c:pt idx="4">
                  <c:v>0.540248221524745</c:v>
                </c:pt>
                <c:pt idx="5">
                  <c:v>0.516323838713769</c:v>
                </c:pt>
                <c:pt idx="6">
                  <c:v>0.494376007487869</c:v>
                </c:pt>
                <c:pt idx="7">
                  <c:v>0.472930600404679</c:v>
                </c:pt>
                <c:pt idx="8">
                  <c:v>0.458973683214908</c:v>
                </c:pt>
              </c:numCache>
            </c:numRef>
          </c:yVal>
          <c:smooth val="0"/>
        </c:ser>
        <c:ser>
          <c:idx val="4"/>
          <c:order val="4"/>
          <c:tx>
            <c:strRef>
              <c:f>"pH=8,I=1M"</c:f>
              <c:strCache>
                <c:ptCount val="1"/>
                <c:pt idx="0">
                  <c:v>pH=8,I=1M</c:v>
                </c:pt>
              </c:strCache>
            </c:strRef>
          </c:tx>
          <c:spPr>
            <a:solidFill>
              <a:srgbClr val="5b9bd5"/>
            </a:solidFill>
            <a:ln cap="rnd" w="19080">
              <a:solidFill>
                <a:srgbClr val="5b9bd5"/>
              </a:solidFill>
              <a:round/>
            </a:ln>
          </c:spPr>
          <c:marker>
            <c:symbol val="circle"/>
            <c:size val="5"/>
            <c:spPr>
              <a:solidFill>
                <a:srgbClr val="5b9bd5"/>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Na2SO4!$I$40:$I$48</c:f>
              <c:numCache>
                <c:formatCode>0.0</c:formatCode>
                <c:ptCount val="9"/>
                <c:pt idx="0">
                  <c:v>238.823529411765</c:v>
                </c:pt>
                <c:pt idx="1">
                  <c:v>360.588235294118</c:v>
                </c:pt>
                <c:pt idx="2">
                  <c:v>481.176470588235</c:v>
                </c:pt>
                <c:pt idx="3">
                  <c:v>612.941176470588</c:v>
                </c:pt>
                <c:pt idx="4">
                  <c:v>721.176470588235</c:v>
                </c:pt>
                <c:pt idx="5">
                  <c:v>838.823529411765</c:v>
                </c:pt>
                <c:pt idx="6">
                  <c:v>959.411764705882</c:v>
                </c:pt>
                <c:pt idx="7">
                  <c:v>1081.17647058824</c:v>
                </c:pt>
                <c:pt idx="8">
                  <c:v>1202.35294117647</c:v>
                </c:pt>
              </c:numCache>
            </c:numRef>
          </c:xVal>
          <c:yVal>
            <c:numRef>
              <c:f>Na2SO4!$Z$40:$Z$48</c:f>
              <c:numCache>
                <c:formatCode>0.0000</c:formatCode>
                <c:ptCount val="9"/>
                <c:pt idx="0">
                  <c:v>0.880770194871631</c:v>
                </c:pt>
                <c:pt idx="1">
                  <c:v>0.836309027390733</c:v>
                </c:pt>
                <c:pt idx="2">
                  <c:v>0.811041861697335</c:v>
                </c:pt>
                <c:pt idx="3">
                  <c:v>0.771245981317952</c:v>
                </c:pt>
                <c:pt idx="4">
                  <c:v>0.749671604288136</c:v>
                </c:pt>
                <c:pt idx="5">
                  <c:v>0.731168929386602</c:v>
                </c:pt>
                <c:pt idx="6">
                  <c:v>0.702821724644987</c:v>
                </c:pt>
                <c:pt idx="7">
                  <c:v>0.687606159661717</c:v>
                </c:pt>
                <c:pt idx="8">
                  <c:v>0.666782007972182</c:v>
                </c:pt>
              </c:numCache>
            </c:numRef>
          </c:yVal>
          <c:smooth val="0"/>
        </c:ser>
        <c:ser>
          <c:idx val="5"/>
          <c:order val="5"/>
          <c:tx>
            <c:strRef>
              <c:f>"pH=8,I=3M"</c:f>
              <c:strCache>
                <c:ptCount val="1"/>
                <c:pt idx="0">
                  <c:v>pH=8,I=3M</c:v>
                </c:pt>
              </c:strCache>
            </c:strRef>
          </c:tx>
          <c:spPr>
            <a:solidFill>
              <a:srgbClr val="70ad47"/>
            </a:solidFill>
            <a:ln cap="rnd" w="19080">
              <a:solidFill>
                <a:srgbClr val="70ad47"/>
              </a:solidFill>
              <a:round/>
            </a:ln>
          </c:spPr>
          <c:marker>
            <c:symbol val="circle"/>
            <c:size val="5"/>
            <c:spPr>
              <a:solidFill>
                <a:srgbClr val="70ad47"/>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Na2SO4!$I$49:$I$57</c:f>
              <c:numCache>
                <c:formatCode>0.0</c:formatCode>
                <c:ptCount val="9"/>
                <c:pt idx="0">
                  <c:v>254.117647058824</c:v>
                </c:pt>
                <c:pt idx="1">
                  <c:v>384.705882352941</c:v>
                </c:pt>
                <c:pt idx="2">
                  <c:v>522.352941176471</c:v>
                </c:pt>
                <c:pt idx="3">
                  <c:v>646.470588235294</c:v>
                </c:pt>
                <c:pt idx="4">
                  <c:v>771.764705882353</c:v>
                </c:pt>
                <c:pt idx="5">
                  <c:v>898.823529411765</c:v>
                </c:pt>
                <c:pt idx="6">
                  <c:v>1026.47058823529</c:v>
                </c:pt>
                <c:pt idx="7">
                  <c:v>1149.41176470588</c:v>
                </c:pt>
                <c:pt idx="8">
                  <c:v>1268.23529411765</c:v>
                </c:pt>
              </c:numCache>
            </c:numRef>
          </c:xVal>
          <c:yVal>
            <c:numRef>
              <c:f>Na2SO4!$Z$49:$Z$57</c:f>
              <c:numCache>
                <c:formatCode>0.0000</c:formatCode>
                <c:ptCount val="9"/>
                <c:pt idx="0">
                  <c:v>0.69424870982537</c:v>
                </c:pt>
                <c:pt idx="1">
                  <c:v>0.632307307955516</c:v>
                </c:pt>
                <c:pt idx="2">
                  <c:v>0.582374855307358</c:v>
                </c:pt>
                <c:pt idx="3">
                  <c:v>0.554592034423423</c:v>
                </c:pt>
                <c:pt idx="4">
                  <c:v>0.525982564473679</c:v>
                </c:pt>
                <c:pt idx="5">
                  <c:v>0.49354107176602</c:v>
                </c:pt>
                <c:pt idx="6">
                  <c:v>0.465635824236494</c:v>
                </c:pt>
                <c:pt idx="7">
                  <c:v>0.449290834112836</c:v>
                </c:pt>
                <c:pt idx="8">
                  <c:v>0.43060785310424</c:v>
                </c:pt>
              </c:numCache>
            </c:numRef>
          </c:yVal>
          <c:smooth val="0"/>
        </c:ser>
        <c:axId val="50585424"/>
        <c:axId val="20850563"/>
      </c:scatterChart>
      <c:valAx>
        <c:axId val="50585424"/>
        <c:scaling>
          <c:orientation val="minMax"/>
          <c:max val="1300"/>
          <c:min val="200"/>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0850563"/>
        <c:crosses val="autoZero"/>
        <c:crossBetween val="midCat"/>
      </c:valAx>
      <c:valAx>
        <c:axId val="20850563"/>
        <c:scaling>
          <c:orientation val="minMax"/>
          <c:max val="1"/>
          <c:min val="0.4"/>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0585424"/>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Activity Coefficient Agena</a:t>
            </a:r>
          </a:p>
        </c:rich>
      </c:tx>
      <c:overlay val="0"/>
      <c:spPr>
        <a:noFill/>
        <a:ln w="0">
          <a:noFill/>
        </a:ln>
      </c:spPr>
    </c:title>
    <c:autoTitleDeleted val="0"/>
    <c:plotArea>
      <c:scatterChart>
        <c:scatterStyle val="line"/>
        <c:varyColors val="0"/>
        <c:ser>
          <c:idx val="0"/>
          <c:order val="0"/>
          <c:tx>
            <c:strRef>
              <c:f>"pH=4,I=1M"</c:f>
              <c:strCache>
                <c:ptCount val="1"/>
                <c:pt idx="0">
                  <c:v>pH=4,I=1M</c:v>
                </c:pt>
              </c:strCache>
            </c:strRef>
          </c:tx>
          <c:spPr>
            <a:solidFill>
              <a:srgbClr val="4472c4"/>
            </a:solidFill>
            <a:ln cap="rnd" w="19080">
              <a:solidFill>
                <a:srgbClr val="4472c4"/>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Na2SO4!$I$4:$I$12</c:f>
              <c:numCache>
                <c:formatCode>0.0</c:formatCode>
                <c:ptCount val="9"/>
                <c:pt idx="0">
                  <c:v>242.352941176471</c:v>
                </c:pt>
                <c:pt idx="1">
                  <c:v>371.176470588235</c:v>
                </c:pt>
                <c:pt idx="2">
                  <c:v>488.823529411765</c:v>
                </c:pt>
                <c:pt idx="3">
                  <c:v>609.411764705882</c:v>
                </c:pt>
                <c:pt idx="4">
                  <c:v>733.529411764706</c:v>
                </c:pt>
                <c:pt idx="5">
                  <c:v>850.588235294118</c:v>
                </c:pt>
                <c:pt idx="6">
                  <c:v>970</c:v>
                </c:pt>
                <c:pt idx="7">
                  <c:v>1091.76470588235</c:v>
                </c:pt>
                <c:pt idx="8">
                  <c:v>1218.23529411765</c:v>
                </c:pt>
              </c:numCache>
            </c:numRef>
          </c:xVal>
          <c:yVal>
            <c:numRef>
              <c:f>Na2SO4!$AA$4:$AA$12</c:f>
              <c:numCache>
                <c:formatCode>0.0000</c:formatCode>
                <c:ptCount val="9"/>
                <c:pt idx="0">
                  <c:v>0.973360516058676</c:v>
                </c:pt>
                <c:pt idx="1">
                  <c:v>0.959422504477393</c:v>
                </c:pt>
                <c:pt idx="2">
                  <c:v>0.946827332491352</c:v>
                </c:pt>
                <c:pt idx="3">
                  <c:v>0.934048761490754</c:v>
                </c:pt>
                <c:pt idx="4">
                  <c:v>0.921034260493704</c:v>
                </c:pt>
                <c:pt idx="5">
                  <c:v>0.908887407752407</c:v>
                </c:pt>
                <c:pt idx="6">
                  <c:v>0.896623054369214</c:v>
                </c:pt>
                <c:pt idx="7">
                  <c:v>0.884247880256245</c:v>
                </c:pt>
                <c:pt idx="8">
                  <c:v>0.871533348497906</c:v>
                </c:pt>
              </c:numCache>
            </c:numRef>
          </c:yVal>
          <c:smooth val="1"/>
        </c:ser>
        <c:ser>
          <c:idx val="1"/>
          <c:order val="1"/>
          <c:tx>
            <c:strRef>
              <c:f>"pH=4,I=3M"</c:f>
              <c:strCache>
                <c:ptCount val="1"/>
                <c:pt idx="0">
                  <c:v>pH=4,I=3M</c:v>
                </c:pt>
              </c:strCache>
            </c:strRef>
          </c:tx>
          <c:spPr>
            <a:solidFill>
              <a:srgbClr val="ed7d31"/>
            </a:solidFill>
            <a:ln cap="rnd" w="19080">
              <a:solidFill>
                <a:srgbClr val="ed7d31"/>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Na2SO4!$I$13:$I$21</c:f>
              <c:numCache>
                <c:formatCode>0.0</c:formatCode>
                <c:ptCount val="9"/>
                <c:pt idx="0">
                  <c:v>258.235294117647</c:v>
                </c:pt>
                <c:pt idx="1">
                  <c:v>394.705882352941</c:v>
                </c:pt>
                <c:pt idx="2">
                  <c:v>522.941176470588</c:v>
                </c:pt>
                <c:pt idx="3">
                  <c:v>653.529411764706</c:v>
                </c:pt>
                <c:pt idx="4">
                  <c:v>782.352941176471</c:v>
                </c:pt>
                <c:pt idx="5">
                  <c:v>914.117647058824</c:v>
                </c:pt>
                <c:pt idx="6">
                  <c:v>1041.17647058824</c:v>
                </c:pt>
                <c:pt idx="7">
                  <c:v>1165.88235294118</c:v>
                </c:pt>
                <c:pt idx="8">
                  <c:v>1294.11764705882</c:v>
                </c:pt>
              </c:numCache>
            </c:numRef>
          </c:xVal>
          <c:yVal>
            <c:numRef>
              <c:f>Na2SO4!$AA$13:$AA$21</c:f>
              <c:numCache>
                <c:formatCode>0.0000</c:formatCode>
                <c:ptCount val="9"/>
                <c:pt idx="0">
                  <c:v>0.968779329044771</c:v>
                </c:pt>
                <c:pt idx="1">
                  <c:v>0.95258347013194</c:v>
                </c:pt>
                <c:pt idx="2">
                  <c:v>0.9375541650108</c:v>
                </c:pt>
                <c:pt idx="3">
                  <c:v>0.922435993556208</c:v>
                </c:pt>
                <c:pt idx="4">
                  <c:v>0.907705457874419</c:v>
                </c:pt>
                <c:pt idx="5">
                  <c:v>0.892825472397828</c:v>
                </c:pt>
                <c:pt idx="6">
                  <c:v>0.878654455994421</c:v>
                </c:pt>
                <c:pt idx="7">
                  <c:v>0.864914019868458</c:v>
                </c:pt>
                <c:pt idx="8">
                  <c:v>0.850957048940724</c:v>
                </c:pt>
              </c:numCache>
            </c:numRef>
          </c:yVal>
          <c:smooth val="1"/>
        </c:ser>
        <c:ser>
          <c:idx val="2"/>
          <c:order val="2"/>
          <c:tx>
            <c:strRef>
              <c:f>"pH=7,I=1M"</c:f>
              <c:strCache>
                <c:ptCount val="1"/>
                <c:pt idx="0">
                  <c:v>pH=7,I=1M</c:v>
                </c:pt>
              </c:strCache>
            </c:strRef>
          </c:tx>
          <c:spPr>
            <a:solidFill>
              <a:srgbClr val="a5a5a5"/>
            </a:solidFill>
            <a:ln cap="rnd" w="19080">
              <a:solidFill>
                <a:srgbClr val="a5a5a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Na2SO4!$I$22:$I$30</c:f>
              <c:numCache>
                <c:formatCode>0.0</c:formatCode>
                <c:ptCount val="9"/>
                <c:pt idx="0">
                  <c:v>238.823529411765</c:v>
                </c:pt>
                <c:pt idx="1">
                  <c:v>364.117647058824</c:v>
                </c:pt>
                <c:pt idx="2">
                  <c:v>481.764705882353</c:v>
                </c:pt>
                <c:pt idx="3">
                  <c:v>602.941176470588</c:v>
                </c:pt>
                <c:pt idx="4">
                  <c:v>723.529411764706</c:v>
                </c:pt>
                <c:pt idx="5">
                  <c:v>844.117647058824</c:v>
                </c:pt>
                <c:pt idx="6">
                  <c:v>965.882352941177</c:v>
                </c:pt>
                <c:pt idx="7">
                  <c:v>1083.52941176471</c:v>
                </c:pt>
                <c:pt idx="8">
                  <c:v>1199.41176470588</c:v>
                </c:pt>
              </c:numCache>
            </c:numRef>
          </c:xVal>
          <c:yVal>
            <c:numRef>
              <c:f>Na2SO4!$AA$22:$AA$30</c:f>
              <c:numCache>
                <c:formatCode>0.0000</c:formatCode>
                <c:ptCount val="9"/>
                <c:pt idx="0">
                  <c:v>0.965596629368328</c:v>
                </c:pt>
                <c:pt idx="1">
                  <c:v>0.947939472039427</c:v>
                </c:pt>
                <c:pt idx="2">
                  <c:v>0.931601925074432</c:v>
                </c:pt>
                <c:pt idx="3">
                  <c:v>0.915016515867195</c:v>
                </c:pt>
                <c:pt idx="4">
                  <c:v>0.898752995445899</c:v>
                </c:pt>
                <c:pt idx="5">
                  <c:v>0.882727587791625</c:v>
                </c:pt>
                <c:pt idx="6">
                  <c:v>0.866784741506323</c:v>
                </c:pt>
                <c:pt idx="7">
                  <c:v>0.851606511625195</c:v>
                </c:pt>
                <c:pt idx="8">
                  <c:v>0.836870210060619</c:v>
                </c:pt>
              </c:numCache>
            </c:numRef>
          </c:yVal>
          <c:smooth val="1"/>
        </c:ser>
        <c:ser>
          <c:idx val="3"/>
          <c:order val="3"/>
          <c:tx>
            <c:strRef>
              <c:f>"pH=7,I=3M"</c:f>
              <c:strCache>
                <c:ptCount val="1"/>
                <c:pt idx="0">
                  <c:v>pH=7,I=3M</c:v>
                </c:pt>
              </c:strCache>
            </c:strRef>
          </c:tx>
          <c:spPr>
            <a:solidFill>
              <a:srgbClr val="ffc000"/>
            </a:solidFill>
            <a:ln cap="rnd" w="19080">
              <a:solidFill>
                <a:srgbClr val="ffc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Na2SO4!$I$31:$I$39</c:f>
              <c:numCache>
                <c:formatCode>0.0</c:formatCode>
                <c:ptCount val="9"/>
                <c:pt idx="0">
                  <c:v>252.941176470588</c:v>
                </c:pt>
                <c:pt idx="1">
                  <c:v>384.117647058824</c:v>
                </c:pt>
                <c:pt idx="2">
                  <c:v>510.588235294118</c:v>
                </c:pt>
                <c:pt idx="3">
                  <c:v>638.235294117647</c:v>
                </c:pt>
                <c:pt idx="4">
                  <c:v>762.941176470588</c:v>
                </c:pt>
                <c:pt idx="5">
                  <c:v>888.235294117647</c:v>
                </c:pt>
                <c:pt idx="6">
                  <c:v>1011.76470588235</c:v>
                </c:pt>
                <c:pt idx="7">
                  <c:v>1136.47058823529</c:v>
                </c:pt>
                <c:pt idx="8">
                  <c:v>1254.70588235294</c:v>
                </c:pt>
              </c:numCache>
            </c:numRef>
          </c:xVal>
          <c:yVal>
            <c:numRef>
              <c:f>Na2SO4!$AA$31:$AA$39</c:f>
              <c:numCache>
                <c:formatCode>0.0000</c:formatCode>
                <c:ptCount val="9"/>
                <c:pt idx="0">
                  <c:v>0.924097308702544</c:v>
                </c:pt>
                <c:pt idx="1">
                  <c:v>0.886826954750387</c:v>
                </c:pt>
                <c:pt idx="2">
                  <c:v>0.852189921366495</c:v>
                </c:pt>
                <c:pt idx="3">
                  <c:v>0.818479513787159</c:v>
                </c:pt>
                <c:pt idx="4">
                  <c:v>0.786718881486793</c:v>
                </c:pt>
                <c:pt idx="5">
                  <c:v>0.755938832904541</c:v>
                </c:pt>
                <c:pt idx="6">
                  <c:v>0.726666450434929</c:v>
                </c:pt>
                <c:pt idx="7">
                  <c:v>0.69816273522215</c:v>
                </c:pt>
                <c:pt idx="8">
                  <c:v>0.6720794903156</c:v>
                </c:pt>
              </c:numCache>
            </c:numRef>
          </c:yVal>
          <c:smooth val="1"/>
        </c:ser>
        <c:ser>
          <c:idx val="4"/>
          <c:order val="4"/>
          <c:tx>
            <c:strRef>
              <c:f>"pH=8,I=1M"</c:f>
              <c:strCache>
                <c:ptCount val="1"/>
                <c:pt idx="0">
                  <c:v>pH=8,I=1M</c:v>
                </c:pt>
              </c:strCache>
            </c:strRef>
          </c:tx>
          <c:spPr>
            <a:solidFill>
              <a:srgbClr val="5b9bd5"/>
            </a:solidFill>
            <a:ln cap="rnd" w="19080">
              <a:solidFill>
                <a:srgbClr val="5b9bd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Na2SO4!$I$40:$I$48</c:f>
              <c:numCache>
                <c:formatCode>0.0</c:formatCode>
                <c:ptCount val="9"/>
                <c:pt idx="0">
                  <c:v>238.823529411765</c:v>
                </c:pt>
                <c:pt idx="1">
                  <c:v>360.588235294118</c:v>
                </c:pt>
                <c:pt idx="2">
                  <c:v>481.176470588235</c:v>
                </c:pt>
                <c:pt idx="3">
                  <c:v>612.941176470588</c:v>
                </c:pt>
                <c:pt idx="4">
                  <c:v>721.176470588235</c:v>
                </c:pt>
                <c:pt idx="5">
                  <c:v>838.823529411765</c:v>
                </c:pt>
                <c:pt idx="6">
                  <c:v>959.411764705882</c:v>
                </c:pt>
                <c:pt idx="7">
                  <c:v>1081.17647058824</c:v>
                </c:pt>
                <c:pt idx="8">
                  <c:v>1202.35294117647</c:v>
                </c:pt>
              </c:numCache>
            </c:numRef>
          </c:xVal>
          <c:yVal>
            <c:numRef>
              <c:f>Na2SO4!$AA$40:$AA$48</c:f>
              <c:numCache>
                <c:formatCode>0.0000</c:formatCode>
                <c:ptCount val="9"/>
                <c:pt idx="0">
                  <c:v>0.950468086425664</c:v>
                </c:pt>
                <c:pt idx="1">
                  <c:v>0.92605154403005</c:v>
                </c:pt>
                <c:pt idx="2">
                  <c:v>0.902414270424101</c:v>
                </c:pt>
                <c:pt idx="3">
                  <c:v>0.877192272274766</c:v>
                </c:pt>
                <c:pt idx="4">
                  <c:v>0.856938634009265</c:v>
                </c:pt>
                <c:pt idx="5">
                  <c:v>0.835389915670103</c:v>
                </c:pt>
                <c:pt idx="6">
                  <c:v>0.813797068243074</c:v>
                </c:pt>
                <c:pt idx="7">
                  <c:v>0.792491831940042</c:v>
                </c:pt>
                <c:pt idx="8">
                  <c:v>0.771776897656612</c:v>
                </c:pt>
              </c:numCache>
            </c:numRef>
          </c:yVal>
          <c:smooth val="1"/>
        </c:ser>
        <c:ser>
          <c:idx val="5"/>
          <c:order val="5"/>
          <c:tx>
            <c:strRef>
              <c:f>"pH=8,I=3M"</c:f>
              <c:strCache>
                <c:ptCount val="1"/>
                <c:pt idx="0">
                  <c:v>pH=8,I=3M</c:v>
                </c:pt>
              </c:strCache>
            </c:strRef>
          </c:tx>
          <c:spPr>
            <a:solidFill>
              <a:srgbClr val="70ad47"/>
            </a:solidFill>
            <a:ln cap="rnd" w="19080">
              <a:solidFill>
                <a:srgbClr val="70ad47"/>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Na2SO4!$I$49:$I$57</c:f>
              <c:numCache>
                <c:formatCode>0.0</c:formatCode>
                <c:ptCount val="9"/>
                <c:pt idx="0">
                  <c:v>254.117647058824</c:v>
                </c:pt>
                <c:pt idx="1">
                  <c:v>384.705882352941</c:v>
                </c:pt>
                <c:pt idx="2">
                  <c:v>522.352941176471</c:v>
                </c:pt>
                <c:pt idx="3">
                  <c:v>646.470588235294</c:v>
                </c:pt>
                <c:pt idx="4">
                  <c:v>771.764705882353</c:v>
                </c:pt>
                <c:pt idx="5">
                  <c:v>898.823529411765</c:v>
                </c:pt>
                <c:pt idx="6">
                  <c:v>1026.47058823529</c:v>
                </c:pt>
                <c:pt idx="7">
                  <c:v>1149.41176470588</c:v>
                </c:pt>
                <c:pt idx="8">
                  <c:v>1268.23529411765</c:v>
                </c:pt>
              </c:numCache>
            </c:numRef>
          </c:xVal>
          <c:yVal>
            <c:numRef>
              <c:f>Na2SO4!$AA$49:$AA$57</c:f>
              <c:numCache>
                <c:formatCode>0.0000</c:formatCode>
                <c:ptCount val="9"/>
                <c:pt idx="0">
                  <c:v>0.92015305921496</c:v>
                </c:pt>
                <c:pt idx="1">
                  <c:v>0.881421602632944</c:v>
                </c:pt>
                <c:pt idx="2">
                  <c:v>0.842210011937827</c:v>
                </c:pt>
                <c:pt idx="3">
                  <c:v>0.808222950505972</c:v>
                </c:pt>
                <c:pt idx="4">
                  <c:v>0.775186414674723</c:v>
                </c:pt>
                <c:pt idx="5">
                  <c:v>0.742946438261058</c:v>
                </c:pt>
                <c:pt idx="6">
                  <c:v>0.711793079208783</c:v>
                </c:pt>
                <c:pt idx="7">
                  <c:v>0.682919429869492</c:v>
                </c:pt>
                <c:pt idx="8">
                  <c:v>0.656032366227053</c:v>
                </c:pt>
              </c:numCache>
            </c:numRef>
          </c:yVal>
          <c:smooth val="1"/>
        </c:ser>
        <c:axId val="13587820"/>
        <c:axId val="90245447"/>
      </c:scatterChart>
      <c:valAx>
        <c:axId val="13587820"/>
        <c:scaling>
          <c:orientation val="minMax"/>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0245447"/>
        <c:crosses val="autoZero"/>
        <c:crossBetween val="midCat"/>
      </c:valAx>
      <c:valAx>
        <c:axId val="90245447"/>
        <c:scaling>
          <c:orientation val="minMax"/>
          <c:max val="1.1"/>
          <c:min val="0"/>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𝜸m</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3587820"/>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pH=4  I=3M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Na2SO4!$J$13:$J$21</c:f>
              <c:numCache>
                <c:formatCode>0.00E+00</c:formatCode>
                <c:ptCount val="9"/>
                <c:pt idx="0">
                  <c:v>2.99712337731757E-007</c:v>
                </c:pt>
                <c:pt idx="1">
                  <c:v>4.59016790511233E-007</c:v>
                </c:pt>
                <c:pt idx="2">
                  <c:v>6.09288645177923E-007</c:v>
                </c:pt>
                <c:pt idx="3">
                  <c:v>7.62899252393357E-007</c:v>
                </c:pt>
                <c:pt idx="4">
                  <c:v>9.15012235391916E-007</c:v>
                </c:pt>
                <c:pt idx="5">
                  <c:v>1.07119561996975E-006</c:v>
                </c:pt>
                <c:pt idx="6">
                  <c:v>1.2223765631608E-006</c:v>
                </c:pt>
                <c:pt idx="7">
                  <c:v>1.37131044929139E-006</c:v>
                </c:pt>
                <c:pt idx="8">
                  <c:v>1.52503354509468E-006</c:v>
                </c:pt>
              </c:numCache>
            </c:numRef>
          </c:xVal>
          <c:yVal>
            <c:numRef>
              <c:f>Na2SO4!$S$13:$S$21</c:f>
              <c:numCache>
                <c:formatCode>0.0000</c:formatCode>
                <c:ptCount val="9"/>
                <c:pt idx="0">
                  <c:v>-0.163006686351232</c:v>
                </c:pt>
                <c:pt idx="1">
                  <c:v>-0.170957892391937</c:v>
                </c:pt>
                <c:pt idx="2">
                  <c:v>-0.196766239678528</c:v>
                </c:pt>
                <c:pt idx="3">
                  <c:v>-0.209434807795341</c:v>
                </c:pt>
                <c:pt idx="4">
                  <c:v>-0.231630267413404</c:v>
                </c:pt>
                <c:pt idx="5">
                  <c:v>-0.235894626213136</c:v>
                </c:pt>
                <c:pt idx="6">
                  <c:v>-0.260167225005918</c:v>
                </c:pt>
                <c:pt idx="7">
                  <c:v>-0.27042275471379</c:v>
                </c:pt>
                <c:pt idx="8">
                  <c:v>-0.284690157105059</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Na2SO4!$J$13:$J$21</c:f>
              <c:numCache>
                <c:formatCode>0.00E+00</c:formatCode>
                <c:ptCount val="9"/>
                <c:pt idx="0">
                  <c:v>2.99712337731757E-007</c:v>
                </c:pt>
                <c:pt idx="1">
                  <c:v>4.59016790511233E-007</c:v>
                </c:pt>
                <c:pt idx="2">
                  <c:v>6.09288645177923E-007</c:v>
                </c:pt>
                <c:pt idx="3">
                  <c:v>7.62899252393357E-007</c:v>
                </c:pt>
                <c:pt idx="4">
                  <c:v>9.15012235391916E-007</c:v>
                </c:pt>
                <c:pt idx="5">
                  <c:v>1.07119561996975E-006</c:v>
                </c:pt>
                <c:pt idx="6">
                  <c:v>1.2223765631608E-006</c:v>
                </c:pt>
                <c:pt idx="7">
                  <c:v>1.37131044929139E-006</c:v>
                </c:pt>
                <c:pt idx="8">
                  <c:v>1.52503354509468E-006</c:v>
                </c:pt>
              </c:numCache>
            </c:numRef>
          </c:xVal>
          <c:yVal>
            <c:numRef>
              <c:f>Na2SO4!$T$13:$T$21</c:f>
              <c:numCache>
                <c:formatCode>0.0000</c:formatCode>
                <c:ptCount val="9"/>
                <c:pt idx="0">
                  <c:v>-0.152171394202433</c:v>
                </c:pt>
                <c:pt idx="1">
                  <c:v>-0.182997248376502</c:v>
                </c:pt>
                <c:pt idx="2">
                  <c:v>-0.198367807948902</c:v>
                </c:pt>
                <c:pt idx="3">
                  <c:v>-0.209754225723507</c:v>
                </c:pt>
                <c:pt idx="4">
                  <c:v>-0.222481229637056</c:v>
                </c:pt>
                <c:pt idx="5">
                  <c:v>-0.239455968732357</c:v>
                </c:pt>
                <c:pt idx="6">
                  <c:v>-0.258467909211209</c:v>
                </c:pt>
                <c:pt idx="7">
                  <c:v>-0.275227740834483</c:v>
                </c:pt>
                <c:pt idx="8">
                  <c:v>-0.282425529057513</c:v>
                </c:pt>
              </c:numCache>
            </c:numRef>
          </c:yVal>
          <c:smooth val="0"/>
        </c:ser>
        <c:axId val="67912127"/>
        <c:axId val="24350211"/>
      </c:scatterChart>
      <c:valAx>
        <c:axId val="67912127"/>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4350211"/>
        <c:crosses val="autoZero"/>
        <c:crossBetween val="midCat"/>
      </c:valAx>
      <c:valAx>
        <c:axId val="24350211"/>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67912127"/>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pH=7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Na2SO4!$J$22:$J$30</c:f>
              <c:numCache>
                <c:formatCode>0.00E+00</c:formatCode>
                <c:ptCount val="9"/>
                <c:pt idx="0">
                  <c:v>2.51406461186343E-007</c:v>
                </c:pt>
                <c:pt idx="1">
                  <c:v>3.83938823351647E-007</c:v>
                </c:pt>
                <c:pt idx="2">
                  <c:v>5.08783887580504E-007</c:v>
                </c:pt>
                <c:pt idx="3">
                  <c:v>6.37782840915179E-007</c:v>
                </c:pt>
                <c:pt idx="4">
                  <c:v>7.66569117471717E-007</c:v>
                </c:pt>
                <c:pt idx="5">
                  <c:v>8.95769914515362E-007</c:v>
                </c:pt>
                <c:pt idx="6">
                  <c:v>1.02665385411722E-006</c:v>
                </c:pt>
                <c:pt idx="7">
                  <c:v>1.15351710990723E-006</c:v>
                </c:pt>
                <c:pt idx="8">
                  <c:v>1.2788687253914E-006</c:v>
                </c:pt>
              </c:numCache>
            </c:numRef>
          </c:xVal>
          <c:yVal>
            <c:numRef>
              <c:f>Na2SO4!$S$22:$S$30</c:f>
              <c:numCache>
                <c:formatCode>0.0000</c:formatCode>
                <c:ptCount val="9"/>
                <c:pt idx="0">
                  <c:v>-0.0488152347504013</c:v>
                </c:pt>
                <c:pt idx="1">
                  <c:v>-0.0571196188395317</c:v>
                </c:pt>
                <c:pt idx="2">
                  <c:v>-0.0688647319235507</c:v>
                </c:pt>
                <c:pt idx="3">
                  <c:v>-0.0785157154570713</c:v>
                </c:pt>
                <c:pt idx="4">
                  <c:v>-0.0887051402839836</c:v>
                </c:pt>
                <c:pt idx="5">
                  <c:v>-0.0968528720952172</c:v>
                </c:pt>
                <c:pt idx="6">
                  <c:v>-0.107429733331958</c:v>
                </c:pt>
                <c:pt idx="7">
                  <c:v>-0.116048794073539</c:v>
                </c:pt>
                <c:pt idx="8">
                  <c:v>-0.126749693211915</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Na2SO4!$J$22:$J$30</c:f>
              <c:numCache>
                <c:formatCode>0.00E+00</c:formatCode>
                <c:ptCount val="9"/>
                <c:pt idx="0">
                  <c:v>2.51406461186343E-007</c:v>
                </c:pt>
                <c:pt idx="1">
                  <c:v>3.83938823351647E-007</c:v>
                </c:pt>
                <c:pt idx="2">
                  <c:v>5.08783887580504E-007</c:v>
                </c:pt>
                <c:pt idx="3">
                  <c:v>6.37782840915179E-007</c:v>
                </c:pt>
                <c:pt idx="4">
                  <c:v>7.66569117471717E-007</c:v>
                </c:pt>
                <c:pt idx="5">
                  <c:v>8.95769914515362E-007</c:v>
                </c:pt>
                <c:pt idx="6">
                  <c:v>1.02665385411722E-006</c:v>
                </c:pt>
                <c:pt idx="7">
                  <c:v>1.15351710990723E-006</c:v>
                </c:pt>
                <c:pt idx="8">
                  <c:v>1.2788687253914E-006</c:v>
                </c:pt>
              </c:numCache>
            </c:numRef>
          </c:xVal>
          <c:yVal>
            <c:numRef>
              <c:f>Na2SO4!$T$22:$T$30</c:f>
              <c:numCache>
                <c:formatCode>0.0000</c:formatCode>
                <c:ptCount val="9"/>
                <c:pt idx="0">
                  <c:v>-0.046199673474537</c:v>
                </c:pt>
                <c:pt idx="1">
                  <c:v>-0.0598296149215277</c:v>
                </c:pt>
                <c:pt idx="2">
                  <c:v>-0.069529163107045</c:v>
                </c:pt>
                <c:pt idx="3">
                  <c:v>-0.0783318868097435</c:v>
                </c:pt>
                <c:pt idx="4">
                  <c:v>-0.087197741373998</c:v>
                </c:pt>
                <c:pt idx="5">
                  <c:v>-0.0968244104034133</c:v>
                </c:pt>
                <c:pt idx="6">
                  <c:v>-0.10728970826456</c:v>
                </c:pt>
                <c:pt idx="7">
                  <c:v>-0.117413371290193</c:v>
                </c:pt>
                <c:pt idx="8">
                  <c:v>-0.126082698920736</c:v>
                </c:pt>
              </c:numCache>
            </c:numRef>
          </c:yVal>
          <c:smooth val="0"/>
        </c:ser>
        <c:axId val="97629746"/>
        <c:axId val="38060099"/>
      </c:scatterChart>
      <c:valAx>
        <c:axId val="9762974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8060099"/>
        <c:crosses val="autoZero"/>
        <c:crossBetween val="midCat"/>
      </c:valAx>
      <c:valAx>
        <c:axId val="38060099"/>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7629746"/>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653400</xdr:colOff>
      <xdr:row>57</xdr:row>
      <xdr:rowOff>84600</xdr:rowOff>
    </xdr:from>
    <xdr:to>
      <xdr:col>13</xdr:col>
      <xdr:colOff>313920</xdr:colOff>
      <xdr:row>71</xdr:row>
      <xdr:rowOff>61200</xdr:rowOff>
    </xdr:to>
    <xdr:graphicFrame>
      <xdr:nvGraphicFramePr>
        <xdr:cNvPr id="0" name="Chart 1"/>
        <xdr:cNvGraphicFramePr/>
      </xdr:nvGraphicFramePr>
      <xdr:xfrm>
        <a:off x="6266880" y="11486160"/>
        <a:ext cx="4701600" cy="2776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636480</xdr:colOff>
      <xdr:row>71</xdr:row>
      <xdr:rowOff>152280</xdr:rowOff>
    </xdr:from>
    <xdr:to>
      <xdr:col>13</xdr:col>
      <xdr:colOff>184320</xdr:colOff>
      <xdr:row>85</xdr:row>
      <xdr:rowOff>128880</xdr:rowOff>
    </xdr:to>
    <xdr:graphicFrame>
      <xdr:nvGraphicFramePr>
        <xdr:cNvPr id="1" name="Chart 2"/>
        <xdr:cNvGraphicFramePr/>
      </xdr:nvGraphicFramePr>
      <xdr:xfrm>
        <a:off x="6249960" y="14353920"/>
        <a:ext cx="4588920" cy="2777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203040</xdr:colOff>
      <xdr:row>71</xdr:row>
      <xdr:rowOff>148320</xdr:rowOff>
    </xdr:from>
    <xdr:to>
      <xdr:col>19</xdr:col>
      <xdr:colOff>512640</xdr:colOff>
      <xdr:row>85</xdr:row>
      <xdr:rowOff>124920</xdr:rowOff>
    </xdr:to>
    <xdr:graphicFrame>
      <xdr:nvGraphicFramePr>
        <xdr:cNvPr id="2" name="Chart 3"/>
        <xdr:cNvGraphicFramePr/>
      </xdr:nvGraphicFramePr>
      <xdr:xfrm>
        <a:off x="10857600" y="14349960"/>
        <a:ext cx="4687560" cy="2777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507960</xdr:colOff>
      <xdr:row>71</xdr:row>
      <xdr:rowOff>162360</xdr:rowOff>
    </xdr:from>
    <xdr:to>
      <xdr:col>26</xdr:col>
      <xdr:colOff>605880</xdr:colOff>
      <xdr:row>85</xdr:row>
      <xdr:rowOff>138960</xdr:rowOff>
    </xdr:to>
    <xdr:graphicFrame>
      <xdr:nvGraphicFramePr>
        <xdr:cNvPr id="3" name="Chart 4"/>
        <xdr:cNvGraphicFramePr/>
      </xdr:nvGraphicFramePr>
      <xdr:xfrm>
        <a:off x="15540480" y="14364000"/>
        <a:ext cx="4706640" cy="27770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218880</xdr:colOff>
      <xdr:row>16</xdr:row>
      <xdr:rowOff>159480</xdr:rowOff>
    </xdr:from>
    <xdr:to>
      <xdr:col>39</xdr:col>
      <xdr:colOff>246240</xdr:colOff>
      <xdr:row>39</xdr:row>
      <xdr:rowOff>186840</xdr:rowOff>
    </xdr:to>
    <xdr:graphicFrame>
      <xdr:nvGraphicFramePr>
        <xdr:cNvPr id="4" name="Chart 5"/>
        <xdr:cNvGraphicFramePr/>
      </xdr:nvGraphicFramePr>
      <xdr:xfrm>
        <a:off x="23082840" y="3359880"/>
        <a:ext cx="7692840" cy="4627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268200</xdr:colOff>
      <xdr:row>16</xdr:row>
      <xdr:rowOff>155160</xdr:rowOff>
    </xdr:from>
    <xdr:to>
      <xdr:col>48</xdr:col>
      <xdr:colOff>394560</xdr:colOff>
      <xdr:row>39</xdr:row>
      <xdr:rowOff>182520</xdr:rowOff>
    </xdr:to>
    <xdr:graphicFrame>
      <xdr:nvGraphicFramePr>
        <xdr:cNvPr id="5" name="Chart 6"/>
        <xdr:cNvGraphicFramePr/>
      </xdr:nvGraphicFramePr>
      <xdr:xfrm>
        <a:off x="30797640" y="3355560"/>
        <a:ext cx="7470360" cy="4627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352800</xdr:colOff>
      <xdr:row>57</xdr:row>
      <xdr:rowOff>98640</xdr:rowOff>
    </xdr:from>
    <xdr:to>
      <xdr:col>20</xdr:col>
      <xdr:colOff>83880</xdr:colOff>
      <xdr:row>71</xdr:row>
      <xdr:rowOff>75240</xdr:rowOff>
    </xdr:to>
    <xdr:graphicFrame>
      <xdr:nvGraphicFramePr>
        <xdr:cNvPr id="6" name="Chart 7"/>
        <xdr:cNvGraphicFramePr/>
      </xdr:nvGraphicFramePr>
      <xdr:xfrm>
        <a:off x="11007360" y="11500200"/>
        <a:ext cx="4723560" cy="27766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98640</xdr:colOff>
      <xdr:row>57</xdr:row>
      <xdr:rowOff>84600</xdr:rowOff>
    </xdr:from>
    <xdr:to>
      <xdr:col>26</xdr:col>
      <xdr:colOff>803520</xdr:colOff>
      <xdr:row>71</xdr:row>
      <xdr:rowOff>61200</xdr:rowOff>
    </xdr:to>
    <xdr:graphicFrame>
      <xdr:nvGraphicFramePr>
        <xdr:cNvPr id="7" name="Chart 8"/>
        <xdr:cNvGraphicFramePr/>
      </xdr:nvGraphicFramePr>
      <xdr:xfrm>
        <a:off x="15745680" y="11486160"/>
        <a:ext cx="4699080" cy="277668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57"/>
  <sheetViews>
    <sheetView showFormulas="false" showGridLines="true" showRowColHeaders="true" showZeros="true" rightToLeft="false" tabSelected="true" showOutlineSymbols="true" defaultGridColor="true" view="normal" topLeftCell="V1" colorId="64" zoomScale="90" zoomScaleNormal="90" zoomScalePageLayoutView="100" workbookViewId="0">
      <selection pane="topLeft" activeCell="Z49" activeCellId="0" sqref="Z49"/>
    </sheetView>
  </sheetViews>
  <sheetFormatPr defaultColWidth="10.62109375" defaultRowHeight="15.75" zeroHeight="false" outlineLevelRow="0" outlineLevelCol="0"/>
  <cols>
    <col collapsed="false" customWidth="true" hidden="false" outlineLevel="0" max="1" min="1" style="1" width="12.33"/>
    <col collapsed="false" customWidth="true" hidden="false" outlineLevel="0" max="4" min="4" style="1" width="5.66"/>
    <col collapsed="false" customWidth="true" hidden="false" outlineLevel="0" max="6" min="5" style="1" width="7.82"/>
    <col collapsed="false" customWidth="true" hidden="false" outlineLevel="0" max="7" min="7" style="1" width="8"/>
    <col collapsed="false" customWidth="true" hidden="false" outlineLevel="0" max="9" min="8" style="1" width="10.17"/>
    <col collapsed="false" customWidth="true" hidden="false" outlineLevel="0" max="11" min="11" style="1" width="14.16"/>
    <col collapsed="false" customWidth="true" hidden="false" outlineLevel="0" max="13" min="12" style="1" width="15.33"/>
    <col collapsed="false" customWidth="true" hidden="false" outlineLevel="0" max="14" min="14" style="1" width="14.82"/>
    <col collapsed="false" customWidth="true" hidden="false" outlineLevel="0" max="15" min="15" style="1" width="9.83"/>
    <col collapsed="false" customWidth="true" hidden="false" outlineLevel="0" max="16" min="16" style="1" width="9.66"/>
    <col collapsed="false" customWidth="true" hidden="false" outlineLevel="0" max="18" min="17" style="1" width="7.33"/>
    <col collapsed="false" customWidth="true" hidden="false" outlineLevel="0" max="20" min="19" style="1" width="8"/>
    <col collapsed="false" customWidth="true" hidden="false" outlineLevel="0" max="21" min="21" style="1" width="10.83"/>
    <col collapsed="false" customWidth="true" hidden="false" outlineLevel="0" max="22" min="22" style="1" width="5.66"/>
    <col collapsed="false" customWidth="true" hidden="false" outlineLevel="0" max="23" min="23" style="1" width="5.16"/>
    <col collapsed="false" customWidth="true" hidden="false" outlineLevel="0" max="24" min="24" style="1" width="7.33"/>
    <col collapsed="false" customWidth="true" hidden="false" outlineLevel="0" max="27" min="25" style="1" width="11.5"/>
    <col collapsed="false" customWidth="true" hidden="false" outlineLevel="0" max="29" min="29" style="1" width="5.16"/>
    <col collapsed="false" customWidth="true" hidden="false" outlineLevel="0" max="30" min="30" style="1" width="14.66"/>
    <col collapsed="false" customWidth="true" hidden="false" outlineLevel="0" max="31" min="31" style="1" width="11.5"/>
    <col collapsed="false" customWidth="true" hidden="false" outlineLevel="0" max="32" min="32" style="1" width="11.66"/>
    <col collapsed="false" customWidth="true" hidden="false" outlineLevel="0" max="33" min="33" style="1" width="11.84"/>
    <col collapsed="false" customWidth="true" hidden="false" outlineLevel="0" max="34" min="34" style="1" width="11.66"/>
  </cols>
  <sheetData>
    <row r="1" customFormat="false" ht="15.75" hidden="false" customHeight="true" outlineLevel="0" collapsed="false">
      <c r="A1" s="1" t="s">
        <v>0</v>
      </c>
      <c r="B1" s="1" t="n">
        <v>8.31446261815324</v>
      </c>
    </row>
    <row r="2" customFormat="false" ht="15.75" hidden="false" customHeight="true" outlineLevel="0" collapsed="false">
      <c r="A2" s="1" t="s">
        <v>1</v>
      </c>
      <c r="B2" s="1" t="n">
        <f aca="false">25+273.15</f>
        <v>298.15</v>
      </c>
      <c r="G2" s="2"/>
      <c r="H2" s="2"/>
      <c r="I2" s="2"/>
      <c r="J2" s="2"/>
      <c r="K2" s="2"/>
      <c r="L2" s="2"/>
      <c r="M2" s="2"/>
      <c r="N2" s="2"/>
      <c r="O2" s="2"/>
      <c r="P2" s="2"/>
      <c r="Q2" s="2"/>
      <c r="R2" s="2"/>
      <c r="S2" s="2"/>
      <c r="T2" s="2"/>
      <c r="U2" s="2"/>
      <c r="V2" s="2"/>
      <c r="W2" s="2"/>
      <c r="X2" s="2"/>
      <c r="Y2" s="2"/>
      <c r="Z2" s="2"/>
      <c r="AA2" s="2"/>
      <c r="AC2" s="1" t="s">
        <v>2</v>
      </c>
      <c r="AD2" s="1" t="s">
        <v>3</v>
      </c>
      <c r="AE2" s="1" t="s">
        <v>4</v>
      </c>
    </row>
    <row r="3" customFormat="false" ht="15.75" hidden="false" customHeight="true" outlineLevel="0" collapsed="false">
      <c r="D3" s="3" t="s">
        <v>2</v>
      </c>
      <c r="E3" s="4" t="s">
        <v>5</v>
      </c>
      <c r="F3" s="4" t="s">
        <v>6</v>
      </c>
      <c r="G3" s="4" t="s">
        <v>7</v>
      </c>
      <c r="H3" s="3" t="s">
        <v>8</v>
      </c>
      <c r="I3" s="3" t="s">
        <v>9</v>
      </c>
      <c r="J3" s="4" t="s">
        <v>10</v>
      </c>
      <c r="K3" s="4" t="s">
        <v>11</v>
      </c>
      <c r="L3" s="4" t="s">
        <v>12</v>
      </c>
      <c r="M3" s="4" t="s">
        <v>13</v>
      </c>
      <c r="N3" s="4" t="s">
        <v>14</v>
      </c>
      <c r="O3" s="4" t="s">
        <v>15</v>
      </c>
      <c r="P3" s="4" t="s">
        <v>16</v>
      </c>
      <c r="Q3" s="4" t="s">
        <v>17</v>
      </c>
      <c r="R3" s="4" t="s">
        <v>18</v>
      </c>
      <c r="S3" s="4" t="s">
        <v>19</v>
      </c>
      <c r="T3" s="4" t="s">
        <v>20</v>
      </c>
      <c r="U3" s="4" t="s">
        <v>21</v>
      </c>
      <c r="V3" s="4" t="s">
        <v>22</v>
      </c>
      <c r="W3" s="4" t="s">
        <v>23</v>
      </c>
      <c r="X3" s="3" t="s">
        <v>24</v>
      </c>
      <c r="Y3" s="5" t="s">
        <v>25</v>
      </c>
      <c r="Z3" s="3" t="s">
        <v>26</v>
      </c>
      <c r="AA3" s="3" t="s">
        <v>27</v>
      </c>
      <c r="AC3" s="1" t="n">
        <v>4</v>
      </c>
      <c r="AD3" s="1" t="n">
        <v>17</v>
      </c>
      <c r="AE3" s="1" t="n">
        <f aca="false">AD3*1000</f>
        <v>17000</v>
      </c>
    </row>
    <row r="4" customFormat="false" ht="15.75" hidden="false" customHeight="true" outlineLevel="0" collapsed="false">
      <c r="D4" s="6" t="n">
        <v>4</v>
      </c>
      <c r="E4" s="7" t="n">
        <f aca="false">10^-D4</f>
        <v>0.0001</v>
      </c>
      <c r="F4" s="7" t="n">
        <f aca="false">0.00000000000001/E4</f>
        <v>1E-010</v>
      </c>
      <c r="G4" s="8" t="n">
        <v>4.12</v>
      </c>
      <c r="H4" s="9" t="n">
        <f aca="false">G4/$AE$3</f>
        <v>0.000242352941176471</v>
      </c>
      <c r="I4" s="10" t="n">
        <f aca="false">1000000*H4</f>
        <v>242.352941176471</v>
      </c>
      <c r="J4" s="11" t="n">
        <f aca="false">H4/($B$9*(1-H4*$AE$5*$B$5/1000) - L4*($B$11+$B$12) - M4*(2*$B$11+$B$13) - E4*$B$15 - F4*$B$16)</f>
        <v>2.55134258716346E-007</v>
      </c>
      <c r="K4" s="8" t="n">
        <v>0.333333333333333</v>
      </c>
      <c r="L4" s="12" t="n">
        <f aca="false">M4*E4/(10^-$B$19)</f>
        <v>3.33333333333333E-105</v>
      </c>
      <c r="M4" s="12" t="n">
        <f aca="false">(10^-$B$19)*K4/(E4+(10^-$B$19))</f>
        <v>0.333333333333333</v>
      </c>
      <c r="N4" s="11" t="n">
        <f aca="false">(L4+3*M4)/($B$9*(1-H4*$AE$5*$B$5/1000) - L4*($B$11+$B$12) - M4*(2*$B$11+$B$13) - E4*$B$15 - F4*$B$16)</f>
        <v>0.00105273844615968</v>
      </c>
      <c r="O4" s="8" t="n">
        <v>4.5</v>
      </c>
      <c r="P4" s="8" t="n">
        <f aca="false">O4*133.322</f>
        <v>599.949</v>
      </c>
      <c r="Q4" s="13" t="n">
        <f aca="false">$B$1*$B$2*$B$9*1000*(J4+0.25*$AD$19*$AD$19*J4*J4/N4)</f>
        <v>638.057661386071</v>
      </c>
      <c r="R4" s="14" t="n">
        <f aca="false">P4/Q4</f>
        <v>0.940273953762602</v>
      </c>
      <c r="S4" s="14" t="n">
        <f aca="false">R4-1</f>
        <v>-0.0597260462373982</v>
      </c>
      <c r="T4" s="14" t="n">
        <f aca="false">$U$4+$U$5*J4+$U$6*J4*J4+$U$7*J4*J4*J4+$U$8*J4*J4*J4*J4</f>
        <v>-0.0594206926327567</v>
      </c>
      <c r="U4" s="15" t="n">
        <v>0</v>
      </c>
      <c r="V4" s="8" t="n">
        <f aca="false">S4-T4</f>
        <v>-0.000305353604641491</v>
      </c>
      <c r="W4" s="8" t="n">
        <f aca="false">V4*V4</f>
        <v>9.32408238675519E-008</v>
      </c>
      <c r="X4" s="16" t="n">
        <f aca="false">EXP(S4+$U$23*J4+$U$24*J4*J4/2+$U$25*J4*J4*J4/3+$U$26*J4*J4*J4*J4/4)</f>
        <v>0.890649599268569</v>
      </c>
      <c r="Y4" s="17" t="n">
        <f aca="false">EXP(2*$AG$11*J4)</f>
        <v>0.973360516058676</v>
      </c>
      <c r="Z4" s="17" t="n">
        <f aca="false">X4</f>
        <v>0.890649599268569</v>
      </c>
      <c r="AA4" s="18" t="n">
        <f aca="false">Y4</f>
        <v>0.973360516058676</v>
      </c>
      <c r="AC4" s="1" t="n">
        <v>4</v>
      </c>
      <c r="AD4" s="1" t="n">
        <v>17</v>
      </c>
      <c r="AE4" s="1" t="n">
        <f aca="false">AD4*1000</f>
        <v>17000</v>
      </c>
    </row>
    <row r="5" customFormat="false" ht="15.75" hidden="false" customHeight="true" outlineLevel="0" collapsed="false">
      <c r="A5" s="1" t="s">
        <v>28</v>
      </c>
      <c r="B5" s="1" t="n">
        <v>0.742</v>
      </c>
      <c r="C5" s="1" t="s">
        <v>29</v>
      </c>
      <c r="D5" s="6"/>
      <c r="E5" s="7" t="n">
        <f aca="false">E4</f>
        <v>0.0001</v>
      </c>
      <c r="F5" s="7" t="n">
        <f aca="false">0.00000000000001/E5</f>
        <v>1E-010</v>
      </c>
      <c r="G5" s="8" t="n">
        <v>6.31</v>
      </c>
      <c r="H5" s="9" t="n">
        <f aca="false">G5/$AE$3</f>
        <v>0.000371176470588235</v>
      </c>
      <c r="I5" s="10" t="n">
        <f aca="false">1000000*H5</f>
        <v>371.176470588235</v>
      </c>
      <c r="J5" s="11" t="n">
        <f aca="false">H5/($B$9*(1-H5*$AE$5*$B$5/1000) - L5*($B$11+$B$12) - M5*(2*$B$11+$B$13) - E5*$B$15 - F5*$B$16)</f>
        <v>3.91419324907823E-007</v>
      </c>
      <c r="K5" s="8" t="n">
        <f aca="false">K4</f>
        <v>0.333333333333333</v>
      </c>
      <c r="L5" s="12" t="n">
        <f aca="false">M5*E5/(10^-$B$19)</f>
        <v>3.33333333333333E-105</v>
      </c>
      <c r="M5" s="12" t="n">
        <f aca="false">(10^-$B$19)*K5/(E5+(10^-$B$19))</f>
        <v>0.333333333333333</v>
      </c>
      <c r="N5" s="11" t="n">
        <f aca="false">(L5+3*M5)/($B$9*(1-H5*$AE$5*$B$5/1000) - L5*($B$11+$B$12) - M5*(2*$B$11+$B$13) - E5*$B$15 - F5*$B$16)</f>
        <v>0.00105453700846799</v>
      </c>
      <c r="O5" s="8" t="n">
        <v>6.8</v>
      </c>
      <c r="P5" s="8" t="n">
        <f aca="false">O5*133.322</f>
        <v>906.5896</v>
      </c>
      <c r="Q5" s="13" t="n">
        <f aca="false">$B$1*$B$2*$B$9*1000*(J5+0.25*$AD$19*$AD$19*J5*J5/N5)</f>
        <v>984.995495382214</v>
      </c>
      <c r="R5" s="14" t="n">
        <f aca="false">P5/Q5</f>
        <v>0.920399742181776</v>
      </c>
      <c r="S5" s="14" t="n">
        <f aca="false">R5-1</f>
        <v>-0.0796002578182244</v>
      </c>
      <c r="T5" s="14" t="n">
        <f aca="false">$U$4+$U$5*J5+$U$6*J5*J5+$U$7*J5*J5*J5+$U$8*J5*J5*J5*J5</f>
        <v>-0.0778314344903299</v>
      </c>
      <c r="U5" s="19" t="n">
        <v>-321525.109155828</v>
      </c>
      <c r="V5" s="8" t="n">
        <f aca="false">S5-T5</f>
        <v>-0.00176882332789451</v>
      </c>
      <c r="W5" s="8" t="n">
        <f aca="false">V5*V5</f>
        <v>3.1287359653038E-006</v>
      </c>
      <c r="X5" s="16" t="n">
        <f aca="false">EXP(S5+$U$23*J5+$U$24*J5*J5/2+$U$25*J5*J5*J5/3+$U$26*J5*J5*J5*J5/4)</f>
        <v>0.853366949274794</v>
      </c>
      <c r="Y5" s="16" t="n">
        <f aca="false">EXP(2*$AG$11*J5)</f>
        <v>0.959422504477393</v>
      </c>
      <c r="Z5" s="16" t="n">
        <f aca="false">X5</f>
        <v>0.853366949274794</v>
      </c>
      <c r="AA5" s="18" t="n">
        <f aca="false">Y5</f>
        <v>0.959422504477393</v>
      </c>
      <c r="AC5" s="1" t="n">
        <v>7</v>
      </c>
      <c r="AD5" s="1" t="n">
        <v>17</v>
      </c>
      <c r="AE5" s="1" t="n">
        <f aca="false">AD5*1000</f>
        <v>17000</v>
      </c>
    </row>
    <row r="6" customFormat="false" ht="15.75" hidden="false" customHeight="true" outlineLevel="0" collapsed="false">
      <c r="A6" s="1" t="s">
        <v>30</v>
      </c>
      <c r="B6" s="1" t="s">
        <v>31</v>
      </c>
      <c r="D6" s="6"/>
      <c r="E6" s="7" t="n">
        <f aca="false">E5</f>
        <v>0.0001</v>
      </c>
      <c r="F6" s="7" t="n">
        <f aca="false">0.00000000000001/E6</f>
        <v>1E-010</v>
      </c>
      <c r="G6" s="8" t="n">
        <v>8.31</v>
      </c>
      <c r="H6" s="9" t="n">
        <f aca="false">G6/$AE$3</f>
        <v>0.000488823529411765</v>
      </c>
      <c r="I6" s="10" t="n">
        <f aca="false">1000000*H6</f>
        <v>488.823529411765</v>
      </c>
      <c r="J6" s="11" t="n">
        <f aca="false">H6/($B$9*(1-H6*$AE$5*$B$5/1000) - L6*($B$11+$B$12) - M6*(2*$B$11+$B$13) - E6*$B$15 - F6*$B$16)</f>
        <v>5.16288034648135E-007</v>
      </c>
      <c r="K6" s="8" t="n">
        <f aca="false">K5</f>
        <v>0.333333333333333</v>
      </c>
      <c r="L6" s="12" t="n">
        <f aca="false">M6*E6/(10^-$B$19)</f>
        <v>3.33333333333333E-105</v>
      </c>
      <c r="M6" s="12" t="n">
        <f aca="false">(10^-$B$19)*K6/(E6+(10^-$B$19))</f>
        <v>0.333333333333333</v>
      </c>
      <c r="N6" s="11" t="n">
        <f aca="false">(L6+3*M6)/($B$9*(1-H6*$AE$5*$B$5/1000) - L6*($B$11+$B$12) - M6*(2*$B$11+$B$13) - E6*$B$15 - F6*$B$16)</f>
        <v>0.00105618490842579</v>
      </c>
      <c r="O6" s="8" t="n">
        <v>8.9</v>
      </c>
      <c r="P6" s="8" t="n">
        <f aca="false">O6*133.322</f>
        <v>1186.5658</v>
      </c>
      <c r="Q6" s="13" t="n">
        <f aca="false">$B$1*$B$2*$B$9*1000*(J6+0.25*$AD$19*$AD$19*J6*J6/N6)</f>
        <v>1306.5798776548</v>
      </c>
      <c r="R6" s="14" t="n">
        <f aca="false">P6/Q6</f>
        <v>0.908146390659092</v>
      </c>
      <c r="S6" s="14" t="n">
        <f aca="false">R6-1</f>
        <v>-0.0918536093409079</v>
      </c>
      <c r="T6" s="14" t="n">
        <f aca="false">$U$4+$U$5*J6+$U$6*J6*J6+$U$7*J6*J6*J6+$U$8*J6*J6*J6*J6</f>
        <v>-0.0901209846863201</v>
      </c>
      <c r="U6" s="19" t="n">
        <v>418069388900.315</v>
      </c>
      <c r="V6" s="8" t="n">
        <f aca="false">S6-T6</f>
        <v>-0.0017326246545878</v>
      </c>
      <c r="W6" s="8" t="n">
        <f aca="false">V6*V6</f>
        <v>3.0019881936855E-006</v>
      </c>
      <c r="X6" s="16" t="n">
        <f aca="false">EXP(S6+$U$23*J6+$U$24*J6*J6/2+$U$25*J6*J6*J6/3+$U$26*J6*J6*J6*J6/4)</f>
        <v>0.82789204891043</v>
      </c>
      <c r="Y6" s="16" t="n">
        <f aca="false">EXP(2*$AG$11*J6)</f>
        <v>0.946827332491352</v>
      </c>
      <c r="Z6" s="16" t="n">
        <f aca="false">X6</f>
        <v>0.82789204891043</v>
      </c>
      <c r="AA6" s="18" t="n">
        <f aca="false">Y6</f>
        <v>0.946827332491352</v>
      </c>
      <c r="AC6" s="1" t="n">
        <v>7</v>
      </c>
      <c r="AD6" s="1" t="n">
        <v>17</v>
      </c>
      <c r="AE6" s="1" t="n">
        <f aca="false">AD6*1000</f>
        <v>17000</v>
      </c>
    </row>
    <row r="7" customFormat="false" ht="15.75" hidden="false" customHeight="true" outlineLevel="0" collapsed="false">
      <c r="A7" s="1" t="s">
        <v>32</v>
      </c>
      <c r="D7" s="6"/>
      <c r="E7" s="7" t="n">
        <f aca="false">E6</f>
        <v>0.0001</v>
      </c>
      <c r="F7" s="7" t="n">
        <f aca="false">0.00000000000001/E7</f>
        <v>1E-010</v>
      </c>
      <c r="G7" s="8" t="n">
        <v>10.36</v>
      </c>
      <c r="H7" s="9" t="n">
        <f aca="false">G7/$AE$3</f>
        <v>0.000609411764705882</v>
      </c>
      <c r="I7" s="10" t="n">
        <f aca="false">1000000*H7</f>
        <v>609.411764705882</v>
      </c>
      <c r="J7" s="11" t="n">
        <f aca="false">H7/($B$9*(1-H7*$AE$5*$B$5/1000) - L7*($B$11+$B$12) - M7*(2*$B$11+$B$13) - E7*$B$15 - F7*$B$16)</f>
        <v>6.44684127300811E-007</v>
      </c>
      <c r="K7" s="8" t="n">
        <f aca="false">K6</f>
        <v>0.333333333333333</v>
      </c>
      <c r="L7" s="12" t="n">
        <f aca="false">M7*E7/(10^-$B$19)</f>
        <v>3.33333333333333E-105</v>
      </c>
      <c r="M7" s="12" t="n">
        <f aca="false">(10^-$B$19)*K7/(E7+(10^-$B$19))</f>
        <v>0.333333333333333</v>
      </c>
      <c r="N7" s="11" t="n">
        <f aca="false">(L7+3*M7)/($B$9*(1-H7*$AE$5*$B$5/1000) - L7*($B$11+$B$12) - M7*(2*$B$11+$B$13) - E7*$B$15 - F7*$B$16)</f>
        <v>0.00105787935947044</v>
      </c>
      <c r="O7" s="8" t="n">
        <v>11.2</v>
      </c>
      <c r="P7" s="8" t="n">
        <f aca="false">O7*133.322</f>
        <v>1493.2064</v>
      </c>
      <c r="Q7" s="13" t="n">
        <f aca="false">$B$1*$B$2*$B$9*1000*(J7+0.25*$AD$19*$AD$19*J7*J7/N7)</f>
        <v>1640.92911654751</v>
      </c>
      <c r="R7" s="14" t="n">
        <f aca="false">P7/Q7</f>
        <v>0.909976174438106</v>
      </c>
      <c r="S7" s="14" t="n">
        <f aca="false">R7-1</f>
        <v>-0.0900238255618941</v>
      </c>
      <c r="T7" s="14" t="n">
        <f aca="false">$U$4+$U$5*J7+$U$6*J7*J7+$U$7*J7*J7*J7+$U$8*J7*J7*J7*J7</f>
        <v>-0.100291951702357</v>
      </c>
      <c r="U7" s="19" t="n">
        <v>-2.95409291116804E+017</v>
      </c>
      <c r="V7" s="8" t="n">
        <f aca="false">S7-T7</f>
        <v>0.0102681261404625</v>
      </c>
      <c r="W7" s="8" t="n">
        <f aca="false">V7*V7</f>
        <v>0.00010543441443645</v>
      </c>
      <c r="X7" s="16" t="n">
        <f aca="false">EXP(S7+$U$23*J7+$U$24*J7*J7/2+$U$25*J7*J7*J7/3+$U$26*J7*J7*J7*J7/4)</f>
        <v>0.81583413454997</v>
      </c>
      <c r="Y7" s="16" t="n">
        <f aca="false">EXP(2*$AG$11*J7)</f>
        <v>0.934048761490754</v>
      </c>
      <c r="Z7" s="16" t="n">
        <f aca="false">X7</f>
        <v>0.81583413454997</v>
      </c>
      <c r="AA7" s="18" t="n">
        <f aca="false">Y7</f>
        <v>0.934048761490754</v>
      </c>
      <c r="AC7" s="1" t="n">
        <v>8</v>
      </c>
      <c r="AD7" s="1" t="n">
        <v>17</v>
      </c>
      <c r="AE7" s="1" t="n">
        <f aca="false">AD7*1000</f>
        <v>17000</v>
      </c>
    </row>
    <row r="8" customFormat="false" ht="15.75" hidden="false" customHeight="true" outlineLevel="0" collapsed="false">
      <c r="D8" s="6"/>
      <c r="E8" s="7" t="n">
        <f aca="false">E7</f>
        <v>0.0001</v>
      </c>
      <c r="F8" s="7" t="n">
        <f aca="false">0.00000000000001/E8</f>
        <v>1E-010</v>
      </c>
      <c r="G8" s="8" t="n">
        <v>12.47</v>
      </c>
      <c r="H8" s="9" t="n">
        <f aca="false">G8/$AE$3</f>
        <v>0.000733529411764706</v>
      </c>
      <c r="I8" s="10" t="n">
        <f aca="false">1000000*H8</f>
        <v>733.529411764706</v>
      </c>
      <c r="J8" s="11" t="n">
        <f aca="false">H8/($B$9*(1-H8*$AE$5*$B$5/1000) - L8*($B$11+$B$12) - M8*(2*$B$11+$B$13) - E8*$B$15 - F8*$B$16)</f>
        <v>7.77269104158238E-007</v>
      </c>
      <c r="K8" s="8" t="n">
        <f aca="false">K7</f>
        <v>0.333333333333333</v>
      </c>
      <c r="L8" s="12" t="n">
        <f aca="false">M8*E8/(10^-$B$19)</f>
        <v>3.33333333333333E-105</v>
      </c>
      <c r="M8" s="12" t="n">
        <f aca="false">(10^-$B$19)*K8/(E8+(10^-$B$19))</f>
        <v>0.333333333333333</v>
      </c>
      <c r="N8" s="11" t="n">
        <f aca="false">(L8+3*M8)/($B$9*(1-H8*$AE$5*$B$5/1000) - L8*($B$11+$B$12) - M8*(2*$B$11+$B$13) - E8*$B$15 - F8*$B$16)</f>
        <v>0.00105962909147474</v>
      </c>
      <c r="O8" s="8" t="n">
        <v>13.2</v>
      </c>
      <c r="P8" s="8" t="n">
        <f aca="false">O8*133.322</f>
        <v>1759.8504</v>
      </c>
      <c r="Q8" s="13" t="n">
        <f aca="false">$B$1*$B$2*$B$9*1000*(J8+0.25*$AD$19*$AD$19*J8*J8/N8)</f>
        <v>1990.08395279056</v>
      </c>
      <c r="R8" s="14" t="n">
        <f aca="false">P8/Q8</f>
        <v>0.884309628009553</v>
      </c>
      <c r="S8" s="14" t="n">
        <f aca="false">R8-1</f>
        <v>-0.115690371990447</v>
      </c>
      <c r="T8" s="14" t="n">
        <f aca="false">$U$4+$U$5*J8+$U$6*J8*J8+$U$7*J8*J8*J8+$U$8*J8*J8*J8*J8</f>
        <v>-0.109884830416942</v>
      </c>
      <c r="U8" s="19" t="n">
        <v>7.17025634283082E+022</v>
      </c>
      <c r="V8" s="8" t="n">
        <f aca="false">S8-T8</f>
        <v>-0.00580554157350521</v>
      </c>
      <c r="W8" s="8" t="n">
        <f aca="false">V8*V8</f>
        <v>3.37043129616974E-005</v>
      </c>
      <c r="X8" s="16" t="n">
        <f aca="false">EXP(S8+$U$23*J8+$U$24*J8*J8/2+$U$25*J8*J8*J8/3+$U$26*J8*J8*J8*J8/4)</f>
        <v>0.782885474807434</v>
      </c>
      <c r="Y8" s="16" t="n">
        <f aca="false">EXP(2*$AG$11*J8)</f>
        <v>0.921034260493704</v>
      </c>
      <c r="Z8" s="16" t="n">
        <f aca="false">X8</f>
        <v>0.782885474807434</v>
      </c>
      <c r="AA8" s="18" t="n">
        <f aca="false">Y8</f>
        <v>0.921034260493704</v>
      </c>
      <c r="AC8" s="1" t="n">
        <v>8</v>
      </c>
      <c r="AD8" s="1" t="n">
        <v>17</v>
      </c>
      <c r="AE8" s="1" t="n">
        <f aca="false">AD8*1000</f>
        <v>17000</v>
      </c>
    </row>
    <row r="9" customFormat="false" ht="15.75" hidden="false" customHeight="true" outlineLevel="0" collapsed="false">
      <c r="A9" s="1" t="s">
        <v>33</v>
      </c>
      <c r="B9" s="1" t="n">
        <v>997</v>
      </c>
      <c r="C9" s="1" t="s">
        <v>34</v>
      </c>
      <c r="D9" s="6"/>
      <c r="E9" s="7" t="n">
        <f aca="false">E8</f>
        <v>0.0001</v>
      </c>
      <c r="F9" s="7" t="n">
        <f aca="false">0.00000000000001/E9</f>
        <v>1E-010</v>
      </c>
      <c r="G9" s="8" t="n">
        <v>14.46</v>
      </c>
      <c r="H9" s="9" t="n">
        <f aca="false">G9/$AE$3</f>
        <v>0.000850588235294118</v>
      </c>
      <c r="I9" s="10" t="n">
        <f aca="false">1000000*H9</f>
        <v>850.588235294118</v>
      </c>
      <c r="J9" s="11" t="n">
        <f aca="false">H9/($B$9*(1-H9*$AE$5*$B$5/1000) - L9*($B$11+$B$12) - M9*(2*$B$11+$B$13) - E9*$B$15 - F9*$B$16)</f>
        <v>9.02716216017737E-007</v>
      </c>
      <c r="K9" s="8" t="n">
        <f aca="false">K8</f>
        <v>0.333333333333333</v>
      </c>
      <c r="L9" s="12" t="n">
        <f aca="false">M9*E9/(10^-$B$19)</f>
        <v>3.33333333333333E-105</v>
      </c>
      <c r="M9" s="12" t="n">
        <f aca="false">(10^-$B$19)*K9/(E9+(10^-$B$19))</f>
        <v>0.333333333333333</v>
      </c>
      <c r="N9" s="11" t="n">
        <f aca="false">(L9+3*M9)/($B$9*(1-H9*$AE$5*$B$5/1000) - L9*($B$11+$B$12) - M9*(2*$B$11+$B$13) - E9*$B$15 - F9*$B$16)</f>
        <v>0.00106128462464049</v>
      </c>
      <c r="O9" s="8" t="n">
        <v>15.3</v>
      </c>
      <c r="P9" s="8" t="n">
        <f aca="false">O9*133.322</f>
        <v>2039.8266</v>
      </c>
      <c r="Q9" s="13" t="n">
        <f aca="false">$B$1*$B$2*$B$9*1000*(J9+0.25*$AD$19*$AD$19*J9*J9/N9)</f>
        <v>2324.07017014209</v>
      </c>
      <c r="R9" s="14" t="n">
        <f aca="false">P9/Q9</f>
        <v>0.877695788279616</v>
      </c>
      <c r="S9" s="14" t="n">
        <f aca="false">R9-1</f>
        <v>-0.122304211720385</v>
      </c>
      <c r="T9" s="14" t="n">
        <f aca="false">$U$4+$U$5*J9+$U$6*J9*J9+$U$7*J9*J9*J9+$U$8*J9*J9*J9*J9</f>
        <v>-0.11925715775818</v>
      </c>
      <c r="U9" s="19"/>
      <c r="V9" s="8" t="n">
        <f aca="false">S9-T9</f>
        <v>-0.00304705396220475</v>
      </c>
      <c r="W9" s="8" t="n">
        <f aca="false">V9*V9</f>
        <v>9.28453784858769E-006</v>
      </c>
      <c r="X9" s="16" t="n">
        <f aca="false">EXP(S9+$U$23*J9+$U$24*J9*J9/2+$U$25*J9*J9*J9/3+$U$26*J9*J9*J9*J9/4)</f>
        <v>0.767037300447437</v>
      </c>
      <c r="Y9" s="16" t="n">
        <f aca="false">EXP(2*$AG$11*J9)</f>
        <v>0.908887407752407</v>
      </c>
      <c r="Z9" s="16" t="n">
        <f aca="false">X9</f>
        <v>0.767037300447437</v>
      </c>
      <c r="AA9" s="18" t="n">
        <f aca="false">Y9</f>
        <v>0.908887407752407</v>
      </c>
    </row>
    <row r="10" customFormat="false" ht="15.75" hidden="false" customHeight="true" outlineLevel="0" collapsed="false">
      <c r="D10" s="6"/>
      <c r="E10" s="20" t="n">
        <f aca="false">E9</f>
        <v>0.0001</v>
      </c>
      <c r="F10" s="20" t="n">
        <f aca="false">0.00000000000001/E10</f>
        <v>1E-010</v>
      </c>
      <c r="G10" s="8" t="n">
        <v>16.49</v>
      </c>
      <c r="H10" s="9" t="n">
        <f aca="false">G10/$AE$3</f>
        <v>0.00097</v>
      </c>
      <c r="I10" s="21" t="n">
        <f aca="false">1000000*H10</f>
        <v>970</v>
      </c>
      <c r="J10" s="22" t="n">
        <f aca="false">H10/($B$9*(1-H10*$AE$5*$B$5/1000) - L10*($B$11+$B$12) - M10*(2*$B$11+$B$13) - E10*$B$15 - F10*$B$16)</f>
        <v>1.031089410289E-006</v>
      </c>
      <c r="K10" s="8" t="n">
        <f aca="false">K9</f>
        <v>0.333333333333333</v>
      </c>
      <c r="L10" s="12" t="n">
        <f aca="false">M10*E10/(10^-$B$19)</f>
        <v>3.33333333333333E-105</v>
      </c>
      <c r="M10" s="12" t="n">
        <f aca="false">(10^-$B$19)*K10/(E10+(10^-$B$19))</f>
        <v>0.333333333333333</v>
      </c>
      <c r="N10" s="11" t="n">
        <f aca="false">(L10+3*M10)/($B$9*(1-H10*$AE$5*$B$5/1000) - L10*($B$11+$B$12) - M10*(2*$B$11+$B$13) - E10*$B$15 - F10*$B$16)</f>
        <v>0.00106297877349381</v>
      </c>
      <c r="O10" s="8" t="n">
        <v>17.4</v>
      </c>
      <c r="P10" s="8" t="n">
        <f aca="false">O10*133.322</f>
        <v>2319.8028</v>
      </c>
      <c r="Q10" s="13" t="n">
        <f aca="false">$B$1*$B$2*$B$9*1000*(J10+0.25*$AD$19*$AD$19*J10*J10/N10)</f>
        <v>2669.48173098809</v>
      </c>
      <c r="R10" s="23" t="n">
        <f aca="false">P10/Q10</f>
        <v>0.869008681749376</v>
      </c>
      <c r="S10" s="14" t="n">
        <f aca="false">R10-1</f>
        <v>-0.130991318250624</v>
      </c>
      <c r="T10" s="14" t="n">
        <f aca="false">$U$4+$U$5*J10+$U$6*J10*J10+$U$7*J10*J10*J10+$U$8*J10*J10*J10*J10</f>
        <v>-0.129835818142741</v>
      </c>
      <c r="U10" s="19"/>
      <c r="V10" s="1" t="n">
        <f aca="false">S10-T10</f>
        <v>-0.00115550010788323</v>
      </c>
      <c r="W10" s="1" t="n">
        <f aca="false">V10*V10</f>
        <v>1.33518049931817E-006</v>
      </c>
      <c r="X10" s="16" t="n">
        <f aca="false">EXP(S10+$U$23*J10+$U$24*J10*J10/2+$U$25*J10*J10*J10/3+$U$26*J10*J10*J10*J10/4)</f>
        <v>0.750123963362276</v>
      </c>
      <c r="Y10" s="16" t="n">
        <f aca="false">EXP(2*$AG$11*J10)</f>
        <v>0.896623054369214</v>
      </c>
      <c r="Z10" s="16" t="n">
        <f aca="false">X10</f>
        <v>0.750123963362276</v>
      </c>
      <c r="AA10" s="18" t="n">
        <f aca="false">Y10</f>
        <v>0.896623054369214</v>
      </c>
      <c r="AC10" s="1" t="s">
        <v>2</v>
      </c>
      <c r="AD10" s="1" t="s">
        <v>35</v>
      </c>
      <c r="AE10" s="1" t="s">
        <v>36</v>
      </c>
      <c r="AF10" s="1" t="s">
        <v>37</v>
      </c>
      <c r="AG10" s="1" t="s">
        <v>38</v>
      </c>
    </row>
    <row r="11" customFormat="false" ht="15.75" hidden="false" customHeight="true" outlineLevel="0" collapsed="false">
      <c r="A11" s="1" t="s">
        <v>39</v>
      </c>
      <c r="B11" s="1" t="n">
        <v>18.04</v>
      </c>
      <c r="D11" s="6"/>
      <c r="E11" s="20" t="n">
        <f aca="false">E10</f>
        <v>0.0001</v>
      </c>
      <c r="F11" s="20" t="n">
        <f aca="false">0.00000000000001/E11</f>
        <v>1E-010</v>
      </c>
      <c r="G11" s="8" t="n">
        <v>18.56</v>
      </c>
      <c r="H11" s="9" t="n">
        <f aca="false">G11/$AE$3</f>
        <v>0.00109176470588235</v>
      </c>
      <c r="I11" s="21" t="n">
        <f aca="false">1000000*H11</f>
        <v>1091.76470588235</v>
      </c>
      <c r="J11" s="22" t="n">
        <f aca="false">H11/($B$9*(1-H11*$AE$5*$B$5/1000) - L11*($B$11+$B$12) - M11*(2*$B$11+$B$13) - E11*$B$15 - F11*$B$16)</f>
        <v>1.16241485622078E-006</v>
      </c>
      <c r="K11" s="8" t="n">
        <f aca="false">K10</f>
        <v>0.333333333333333</v>
      </c>
      <c r="L11" s="12" t="n">
        <f aca="false">M11*E11/(10^-$B$19)</f>
        <v>3.33333333333333E-105</v>
      </c>
      <c r="M11" s="12" t="n">
        <f aca="false">(10^-$B$19)*K11/(E11+(10^-$B$19))</f>
        <v>0.333333333333333</v>
      </c>
      <c r="N11" s="11" t="n">
        <f aca="false">(L11+3*M11)/($B$9*(1-H11*$AE$5*$B$5/1000) - L11*($B$11+$B$12) - M11*(2*$B$11+$B$13) - E11*$B$15 - F11*$B$16)</f>
        <v>0.00106471188339188</v>
      </c>
      <c r="O11" s="8" t="n">
        <v>19.6</v>
      </c>
      <c r="P11" s="8" t="n">
        <f aca="false">O11*133.322</f>
        <v>2613.1112</v>
      </c>
      <c r="Q11" s="13" t="n">
        <f aca="false">$B$1*$B$2*$B$9*1000*(J11+0.25*$AD$19*$AD$19*J11*J11/N11)</f>
        <v>3026.62345855544</v>
      </c>
      <c r="R11" s="23" t="n">
        <f aca="false">P11/Q11</f>
        <v>0.863375056653793</v>
      </c>
      <c r="S11" s="14" t="n">
        <f aca="false">R11-1</f>
        <v>-0.136624943346207</v>
      </c>
      <c r="T11" s="14" t="n">
        <f aca="false">$U$4+$U$5*J11+$U$6*J11*J11+$U$7*J11*J11*J11+$U$8*J11*J11*J11*J11</f>
        <v>-0.141923702717399</v>
      </c>
      <c r="U11" s="19"/>
      <c r="V11" s="1" t="n">
        <f aca="false">S11-T11</f>
        <v>0.00529875937119245</v>
      </c>
      <c r="W11" s="1" t="n">
        <f aca="false">V11*V11</f>
        <v>2.80768508737998E-005</v>
      </c>
      <c r="X11" s="16" t="n">
        <f aca="false">EXP(S11+$U$23*J11+$U$24*J11*J11/2+$U$25*J11*J11*J11/3+$U$26*J11*J11*J11*J11/4)</f>
        <v>0.735888812844889</v>
      </c>
      <c r="Y11" s="16" t="n">
        <f aca="false">EXP(2*$AG$11*J11)</f>
        <v>0.884247880256245</v>
      </c>
      <c r="Z11" s="16" t="n">
        <f aca="false">X11</f>
        <v>0.735888812844889</v>
      </c>
      <c r="AA11" s="18" t="n">
        <f aca="false">Y11</f>
        <v>0.884247880256245</v>
      </c>
      <c r="AC11" s="1" t="n">
        <v>4</v>
      </c>
      <c r="AD11" s="24" t="n">
        <v>-0.00014</v>
      </c>
      <c r="AE11" s="24" t="n">
        <f aca="false">AD11*AE3</f>
        <v>-2.38</v>
      </c>
      <c r="AF11" s="24" t="n">
        <f aca="false">AE11*AE3</f>
        <v>-40460</v>
      </c>
      <c r="AG11" s="24" t="n">
        <f aca="false">(AF11-$B$5*AE3)*$B$9/1000</f>
        <v>-52914.778</v>
      </c>
    </row>
    <row r="12" customFormat="false" ht="15.75" hidden="false" customHeight="true" outlineLevel="0" collapsed="false">
      <c r="A12" s="1" t="s">
        <v>40</v>
      </c>
      <c r="D12" s="6"/>
      <c r="E12" s="25" t="n">
        <f aca="false">E11</f>
        <v>0.0001</v>
      </c>
      <c r="F12" s="25" t="n">
        <f aca="false">0.00000000000001/E12</f>
        <v>1E-010</v>
      </c>
      <c r="G12" s="26" t="n">
        <v>20.71</v>
      </c>
      <c r="H12" s="27" t="n">
        <f aca="false">G12/$AE$3</f>
        <v>0.00121823529411765</v>
      </c>
      <c r="I12" s="28" t="n">
        <f aca="false">1000000*H12</f>
        <v>1218.23529411765</v>
      </c>
      <c r="J12" s="29" t="n">
        <f aca="false">H12/($B$9*(1-H12*$AE$5*$B$5/1000) - L12*($B$11+$B$12) - M12*(2*$B$11+$B$13) - E12*$B$15 - F12*$B$16)</f>
        <v>1.29926982895601E-006</v>
      </c>
      <c r="K12" s="26" t="n">
        <f aca="false">K11</f>
        <v>0.333333333333333</v>
      </c>
      <c r="L12" s="30" t="n">
        <f aca="false">M12*E12/(10^-$B$19)</f>
        <v>3.33333333333333E-105</v>
      </c>
      <c r="M12" s="30" t="n">
        <f aca="false">(10^-$B$19)*K12/(E12+(10^-$B$19))</f>
        <v>0.333333333333333</v>
      </c>
      <c r="N12" s="29" t="n">
        <f aca="false">(L12+3*M12)/($B$9*(1-H12*$AE$5*$B$5/1000) - L12*($B$11+$B$12) - M12*(2*$B$11+$B$13) - E12*$B$15 - F12*$B$16)</f>
        <v>0.00106651796679151</v>
      </c>
      <c r="O12" s="31" t="n">
        <v>21.5</v>
      </c>
      <c r="P12" s="26" t="n">
        <f aca="false">O12*133.322</f>
        <v>2866.423</v>
      </c>
      <c r="Q12" s="32" t="n">
        <f aca="false">$B$1*$B$2*$B$9*1000*(J12+0.25*$AD$19*$AD$19*J12*J12/N12)</f>
        <v>3402.85773838897</v>
      </c>
      <c r="R12" s="33" t="n">
        <f aca="false">P12/Q12</f>
        <v>0.842357577180721</v>
      </c>
      <c r="S12" s="34" t="n">
        <f aca="false">R12-1</f>
        <v>-0.157642422819279</v>
      </c>
      <c r="T12" s="34" t="n">
        <f aca="false">$U$4+$U$5*J12+$U$6*J12*J12+$U$7*J12*J12*J12+$U$8*J12*J12*J12*J12</f>
        <v>-0.155595314303803</v>
      </c>
      <c r="U12" s="35" t="n">
        <f aca="false">SUM(W4:W12)</f>
        <v>0.000188249914876846</v>
      </c>
      <c r="V12" s="36" t="n">
        <f aca="false">S12-T12</f>
        <v>-0.00204710851547643</v>
      </c>
      <c r="W12" s="36" t="n">
        <f aca="false">V12*V12</f>
        <v>4.19065327413612E-006</v>
      </c>
      <c r="X12" s="37" t="n">
        <f aca="false">EXP(S12+$U$23*J12+$U$24*J12*J12/2+$U$25*J12*J12*J12/3+$U$26*J12*J12*J12*J12/4)</f>
        <v>0.710800008552733</v>
      </c>
      <c r="Y12" s="37" t="n">
        <f aca="false">EXP(2*$AG$11*J12)</f>
        <v>0.871533348497906</v>
      </c>
      <c r="Z12" s="37" t="n">
        <f aca="false">X12</f>
        <v>0.710800008552733</v>
      </c>
      <c r="AA12" s="38" t="n">
        <f aca="false">Y12</f>
        <v>0.871533348497906</v>
      </c>
      <c r="AC12" s="1" t="n">
        <v>4</v>
      </c>
      <c r="AD12" s="24" t="n">
        <v>-0.000396</v>
      </c>
      <c r="AE12" s="24" t="n">
        <f aca="false">AD12*AE4</f>
        <v>-6.732</v>
      </c>
      <c r="AF12" s="24" t="n">
        <f aca="false">AE12*AE4</f>
        <v>-114444</v>
      </c>
      <c r="AG12" s="24" t="n">
        <f aca="false">(AF12-$B$5*AE4)*$B$9/1000</f>
        <v>-126676.826</v>
      </c>
    </row>
    <row r="13" customFormat="false" ht="15.75" hidden="false" customHeight="true" outlineLevel="0" collapsed="false">
      <c r="A13" s="1" t="s">
        <v>41</v>
      </c>
      <c r="B13" s="1" t="n">
        <v>96.06</v>
      </c>
      <c r="D13" s="6" t="n">
        <v>4</v>
      </c>
      <c r="E13" s="39" t="n">
        <f aca="false">10^-D13</f>
        <v>0.0001</v>
      </c>
      <c r="F13" s="39" t="n">
        <f aca="false">0.00000000000001/E13</f>
        <v>1E-010</v>
      </c>
      <c r="G13" s="40" t="n">
        <v>4.39</v>
      </c>
      <c r="H13" s="41" t="n">
        <f aca="false">G13/$AE$3</f>
        <v>0.000258235294117647</v>
      </c>
      <c r="I13" s="42" t="n">
        <f aca="false">1000000*H13</f>
        <v>258.235294117647</v>
      </c>
      <c r="J13" s="43" t="n">
        <f aca="false">H13/($B$9*(1-H13*$AE$5*$B$5/1000) - L13*($B$11+$B$12) - M13*(2*$B$11+$B$13) - E13*$B$15 - F13*$B$16)</f>
        <v>2.99712337731757E-007</v>
      </c>
      <c r="K13" s="40" t="n">
        <f aca="false">3/3</f>
        <v>1</v>
      </c>
      <c r="L13" s="44" t="n">
        <f aca="false">M13*E13/(10^-$B$19)</f>
        <v>1E-104</v>
      </c>
      <c r="M13" s="44" t="n">
        <f aca="false">(10^-$B$19)*K13/(E13+(10^-$B$19))</f>
        <v>1</v>
      </c>
      <c r="N13" s="43" t="n">
        <f aca="false">(L13+3*M13)/($B$9*(1-H13*$AE$5*$B$5/1000) - L13*($B$11+$B$12) - M13*(2*$B$11+$B$13) - E13*$B$15 - F13*$B$16)</f>
        <v>0.00348185175952611</v>
      </c>
      <c r="O13" s="40" t="n">
        <v>4.67</v>
      </c>
      <c r="P13" s="40" t="n">
        <f aca="false">O13*133.322</f>
        <v>622.61374</v>
      </c>
      <c r="Q13" s="45" t="n">
        <f aca="false">$B$1*$B$2*$B$9*1000*(J13+0.25*$AD$20*$AD$20*J13*J13/N13)</f>
        <v>743.869431030211</v>
      </c>
      <c r="R13" s="46" t="n">
        <f aca="false">P13/Q13</f>
        <v>0.836993313648768</v>
      </c>
      <c r="S13" s="46" t="n">
        <f aca="false">R13-1</f>
        <v>-0.163006686351232</v>
      </c>
      <c r="T13" s="46" t="n">
        <f aca="false">$U$13+$U$14*J13+$U$15*J13*J13+$U$16*J13*J13*J13+$U$17*J13*J13*J13*J13</f>
        <v>-0.152171394202433</v>
      </c>
      <c r="U13" s="15" t="n">
        <v>0</v>
      </c>
      <c r="V13" s="40" t="n">
        <f aca="false">S13-T13</f>
        <v>-0.0108352921487989</v>
      </c>
      <c r="W13" s="40" t="n">
        <f aca="false">V13*V13</f>
        <v>0.000117403555949824</v>
      </c>
      <c r="X13" s="17" t="n">
        <f aca="false">EXP(S13+$U$23*J13+$U$24*J13*J13/2+$U$25*J13*J13*J13/3+$U$26*J13*J13*J13*J13/4)</f>
        <v>0.796917787641446</v>
      </c>
      <c r="Y13" s="17" t="n">
        <f aca="false">EXP(2*$AG$11*J13)</f>
        <v>0.968779329044771</v>
      </c>
      <c r="Z13" s="17" t="n">
        <f aca="false">X13</f>
        <v>0.796917787641446</v>
      </c>
      <c r="AA13" s="47" t="n">
        <f aca="false">Y13</f>
        <v>0.968779329044771</v>
      </c>
      <c r="AC13" s="1" t="n">
        <v>7</v>
      </c>
      <c r="AD13" s="24" t="n">
        <v>-0.000198</v>
      </c>
      <c r="AE13" s="24" t="n">
        <f aca="false">AD13*AE5</f>
        <v>-3.366</v>
      </c>
      <c r="AF13" s="24" t="n">
        <f aca="false">AE13*AE5</f>
        <v>-57222</v>
      </c>
      <c r="AG13" s="24" t="n">
        <f aca="false">(AF13-$B$5*AE5)*$B$9/1000</f>
        <v>-69626.492</v>
      </c>
    </row>
    <row r="14" customFormat="false" ht="15.75" hidden="false" customHeight="true" outlineLevel="0" collapsed="false">
      <c r="D14" s="6"/>
      <c r="E14" s="7" t="n">
        <f aca="false">E13</f>
        <v>0.0001</v>
      </c>
      <c r="F14" s="7" t="n">
        <f aca="false">0.00000000000001/E14</f>
        <v>1E-010</v>
      </c>
      <c r="G14" s="8" t="n">
        <v>6.71</v>
      </c>
      <c r="H14" s="9" t="n">
        <f aca="false">G14/$AE$3</f>
        <v>0.000394705882352941</v>
      </c>
      <c r="I14" s="10" t="n">
        <f aca="false">1000000*H14</f>
        <v>394.705882352941</v>
      </c>
      <c r="J14" s="11" t="n">
        <f aca="false">H14/($B$9*(1-H14*$AE$5*$B$5/1000) - L14*($B$11+$B$12) - M14*(2*$B$11+$B$13) - E14*$B$15 - F14*$B$16)</f>
        <v>4.59016790511233E-007</v>
      </c>
      <c r="K14" s="8" t="n">
        <f aca="false">3/3</f>
        <v>1</v>
      </c>
      <c r="L14" s="12" t="n">
        <f aca="false">M14*E14/(10^-$B$19)</f>
        <v>1E-104</v>
      </c>
      <c r="M14" s="12" t="n">
        <f aca="false">(10^-$B$19)*K14/(E14+(10^-$B$19))</f>
        <v>1</v>
      </c>
      <c r="N14" s="11" t="n">
        <f aca="false">(L14+3*M14)/($B$9*(1-H14*$AE$5*$B$5/1000) - L14*($B$11+$B$12) - M14*(2*$B$11+$B$13) - E14*$B$15 - F14*$B$16)</f>
        <v>0.00348880123935513</v>
      </c>
      <c r="O14" s="8" t="n">
        <v>7.1</v>
      </c>
      <c r="P14" s="8" t="n">
        <f aca="false">O14*133.322</f>
        <v>946.5862</v>
      </c>
      <c r="Q14" s="13" t="n">
        <f aca="false">$B$1*$B$2*$B$9*1000*(J14+0.25*$AD$20*$AD$20*J14*J14/N14)</f>
        <v>1141.78301839345</v>
      </c>
      <c r="R14" s="14" t="n">
        <f aca="false">P14/Q14</f>
        <v>0.829042107608063</v>
      </c>
      <c r="S14" s="14" t="n">
        <f aca="false">R14-1</f>
        <v>-0.170957892391937</v>
      </c>
      <c r="T14" s="14" t="n">
        <f aca="false">$U$13+$U$14*J14+$U$15*J14*J14+$U$16*J14*J14*J14+$U$17*J14*J14*J14*J14</f>
        <v>-0.182997248376502</v>
      </c>
      <c r="U14" s="19" t="n">
        <v>-823328.402308386</v>
      </c>
      <c r="V14" s="8" t="n">
        <f aca="false">S14-T14</f>
        <v>0.0120393559845652</v>
      </c>
      <c r="W14" s="8" t="n">
        <f aca="false">V14*V14</f>
        <v>0.000144946092523085</v>
      </c>
      <c r="X14" s="16" t="n">
        <f aca="false">EXP(S14+$U$23*J14+$U$24*J14*J14/2+$U$25*J14*J14*J14/3+$U$26*J14*J14*J14*J14/4)</f>
        <v>0.771062187664524</v>
      </c>
      <c r="Y14" s="16" t="n">
        <f aca="false">EXP(2*$AG$11*J14)</f>
        <v>0.95258347013194</v>
      </c>
      <c r="Z14" s="16" t="n">
        <f aca="false">X14</f>
        <v>0.771062187664524</v>
      </c>
      <c r="AA14" s="18" t="n">
        <f aca="false">Y14</f>
        <v>0.95258347013194</v>
      </c>
      <c r="AC14" s="1" t="n">
        <v>7</v>
      </c>
      <c r="AD14" s="24" t="n">
        <v>-0.000423</v>
      </c>
      <c r="AE14" s="24" t="n">
        <f aca="false">AD14*AE6</f>
        <v>-7.191</v>
      </c>
      <c r="AF14" s="24" t="n">
        <f aca="false">AE14*AE6</f>
        <v>-122247</v>
      </c>
      <c r="AG14" s="24" t="n">
        <f aca="false">(AF14-$B$5*AE6)*$B$9/1000</f>
        <v>-134456.417</v>
      </c>
    </row>
    <row r="15" customFormat="false" ht="15.75" hidden="false" customHeight="true" outlineLevel="0" collapsed="false">
      <c r="A15" s="1" t="s">
        <v>42</v>
      </c>
      <c r="B15" s="1" t="n">
        <v>19.0232</v>
      </c>
      <c r="D15" s="6"/>
      <c r="E15" s="7" t="n">
        <f aca="false">E14</f>
        <v>0.0001</v>
      </c>
      <c r="F15" s="7" t="n">
        <f aca="false">0.00000000000001/E15</f>
        <v>1E-010</v>
      </c>
      <c r="G15" s="8" t="n">
        <v>8.89</v>
      </c>
      <c r="H15" s="9" t="n">
        <f aca="false">G15/$AE$3</f>
        <v>0.000522941176470588</v>
      </c>
      <c r="I15" s="10" t="n">
        <f aca="false">1000000*H15</f>
        <v>522.941176470588</v>
      </c>
      <c r="J15" s="11" t="n">
        <f aca="false">H15/($B$9*(1-H15*$AE$5*$B$5/1000) - L15*($B$11+$B$12) - M15*(2*$B$11+$B$13) - E15*$B$15 - F15*$B$16)</f>
        <v>6.09288645177923E-007</v>
      </c>
      <c r="K15" s="8" t="n">
        <f aca="false">3/3</f>
        <v>1</v>
      </c>
      <c r="L15" s="12" t="n">
        <f aca="false">M15*E15/(10^-$B$19)</f>
        <v>1E-104</v>
      </c>
      <c r="M15" s="12" t="n">
        <f aca="false">(10^-$B$19)*K15/(E15+(10^-$B$19))</f>
        <v>1</v>
      </c>
      <c r="N15" s="11" t="n">
        <f aca="false">(L15+3*M15)/($B$9*(1-H15*$AE$5*$B$5/1000) - L15*($B$11+$B$12) - M15*(2*$B$11+$B$13) - E15*$B$15 - F15*$B$16)</f>
        <v>0.00349535668212307</v>
      </c>
      <c r="O15" s="8" t="n">
        <v>9.15</v>
      </c>
      <c r="P15" s="8" t="n">
        <f aca="false">O15*133.322</f>
        <v>1219.8963</v>
      </c>
      <c r="Q15" s="13" t="n">
        <f aca="false">$B$1*$B$2*$B$9*1000*(J15+0.25*$AD$20*$AD$20*J15*J15/N15)</f>
        <v>1518.73135849241</v>
      </c>
      <c r="R15" s="14" t="n">
        <f aca="false">P15/Q15</f>
        <v>0.803233760321472</v>
      </c>
      <c r="S15" s="14" t="n">
        <f aca="false">R15-1</f>
        <v>-0.196766239678528</v>
      </c>
      <c r="T15" s="14" t="n">
        <f aca="false">$U$13+$U$14*J15+$U$15*J15*J15+$U$16*J15*J15*J15+$U$17*J15*J15*J15*J15</f>
        <v>-0.198367807948902</v>
      </c>
      <c r="U15" s="19" t="n">
        <v>1330369769029.03</v>
      </c>
      <c r="V15" s="8" t="n">
        <f aca="false">S15-T15</f>
        <v>0.00160156827037455</v>
      </c>
      <c r="W15" s="8" t="n">
        <f aca="false">V15*V15</f>
        <v>2.56502092467054E-006</v>
      </c>
      <c r="X15" s="16" t="n">
        <f aca="false">EXP(S15+$U$23*J15+$U$24*J15*J15/2+$U$25*J15*J15*J15/3+$U$26*J15*J15*J15*J15/4)</f>
        <v>0.736456610171795</v>
      </c>
      <c r="Y15" s="16" t="n">
        <f aca="false">EXP(2*$AG$11*J15)</f>
        <v>0.9375541650108</v>
      </c>
      <c r="Z15" s="16" t="n">
        <f aca="false">X15</f>
        <v>0.736456610171795</v>
      </c>
      <c r="AA15" s="18" t="n">
        <f aca="false">Y15</f>
        <v>0.9375541650108</v>
      </c>
      <c r="AC15" s="1" t="n">
        <v>8</v>
      </c>
      <c r="AD15" s="24" t="n">
        <v>-0.000307</v>
      </c>
      <c r="AE15" s="24" t="n">
        <f aca="false">AD15*AE7</f>
        <v>-5.219</v>
      </c>
      <c r="AF15" s="24" t="n">
        <f aca="false">AE15*AE7</f>
        <v>-88723</v>
      </c>
      <c r="AG15" s="24" t="n">
        <f aca="false">(AF15-$B$5*AE7)*$B$9/1000</f>
        <v>-101032.989</v>
      </c>
    </row>
    <row r="16" customFormat="false" ht="15.75" hidden="false" customHeight="true" outlineLevel="0" collapsed="false">
      <c r="A16" s="1" t="s">
        <v>43</v>
      </c>
      <c r="B16" s="1" t="n">
        <v>17.007</v>
      </c>
      <c r="D16" s="6"/>
      <c r="E16" s="7" t="n">
        <f aca="false">E15</f>
        <v>0.0001</v>
      </c>
      <c r="F16" s="7" t="n">
        <f aca="false">0.00000000000001/E16</f>
        <v>1E-010</v>
      </c>
      <c r="G16" s="8" t="n">
        <v>11.11</v>
      </c>
      <c r="H16" s="9" t="n">
        <f aca="false">G16/$AE$3</f>
        <v>0.000653529411764706</v>
      </c>
      <c r="I16" s="10" t="n">
        <f aca="false">1000000*H16</f>
        <v>653.529411764706</v>
      </c>
      <c r="J16" s="11" t="n">
        <f aca="false">H16/($B$9*(1-H16*$AE$5*$B$5/1000) - L16*($B$11+$B$12) - M16*(2*$B$11+$B$13) - E16*$B$15 - F16*$B$16)</f>
        <v>7.62899252393357E-007</v>
      </c>
      <c r="K16" s="8" t="n">
        <f aca="false">3/3</f>
        <v>1</v>
      </c>
      <c r="L16" s="12" t="n">
        <f aca="false">M16*E16/(10^-$B$19)</f>
        <v>1E-104</v>
      </c>
      <c r="M16" s="12" t="n">
        <f aca="false">(10^-$B$19)*K16/(E16+(10^-$B$19))</f>
        <v>1</v>
      </c>
      <c r="N16" s="11" t="n">
        <f aca="false">(L16+3*M16)/($B$9*(1-H16*$AE$5*$B$5/1000) - L16*($B$11+$B$12) - M16*(2*$B$11+$B$13) - E16*$B$15 - F16*$B$16)</f>
        <v>0.00350205777426294</v>
      </c>
      <c r="O16" s="8" t="n">
        <v>11.3</v>
      </c>
      <c r="P16" s="8" t="n">
        <f aca="false">O16*133.322</f>
        <v>1506.5386</v>
      </c>
      <c r="Q16" s="13" t="n">
        <f aca="false">$B$1*$B$2*$B$9*1000*(J16+0.25*$AD$20*$AD$20*J16*J16/N16)</f>
        <v>1905.64752262707</v>
      </c>
      <c r="R16" s="14" t="n">
        <f aca="false">P16/Q16</f>
        <v>0.790565192204659</v>
      </c>
      <c r="S16" s="14" t="n">
        <f aca="false">R16-1</f>
        <v>-0.209434807795341</v>
      </c>
      <c r="T16" s="14" t="n">
        <f aca="false">$U$13+$U$14*J16+$U$15*J16*J16+$U$16*J16*J16*J16+$U$17*J16*J16*J16*J16</f>
        <v>-0.209754225723507</v>
      </c>
      <c r="U16" s="19" t="n">
        <v>-1.00546467455938E+018</v>
      </c>
      <c r="V16" s="8" t="n">
        <f aca="false">S16-T16</f>
        <v>0.000319417928165366</v>
      </c>
      <c r="W16" s="8" t="n">
        <f aca="false">V16*V16</f>
        <v>1.02027812833455E-007</v>
      </c>
      <c r="X16" s="16" t="n">
        <f aca="false">EXP(S16+$U$23*J16+$U$24*J16*J16/2+$U$25*J16*J16*J16/3+$U$26*J16*J16*J16*J16/4)</f>
        <v>0.713993464713585</v>
      </c>
      <c r="Y16" s="16" t="n">
        <f aca="false">EXP(2*$AG$11*J16)</f>
        <v>0.922435993556208</v>
      </c>
      <c r="Z16" s="16" t="n">
        <f aca="false">X16</f>
        <v>0.713993464713585</v>
      </c>
      <c r="AA16" s="18" t="n">
        <f aca="false">Y16</f>
        <v>0.922435993556208</v>
      </c>
      <c r="AC16" s="1" t="n">
        <v>8</v>
      </c>
      <c r="AD16" s="24" t="n">
        <v>-0.000446</v>
      </c>
      <c r="AE16" s="24" t="n">
        <f aca="false">AD16*AE8</f>
        <v>-7.582</v>
      </c>
      <c r="AF16" s="24" t="n">
        <f aca="false">AE16*AE8</f>
        <v>-128894</v>
      </c>
      <c r="AG16" s="24" t="n">
        <f aca="false">(AF16-$B$5*AE8)*$B$9/1000</f>
        <v>-141083.476</v>
      </c>
    </row>
    <row r="17" customFormat="false" ht="15.75" hidden="false" customHeight="true" outlineLevel="0" collapsed="false">
      <c r="D17" s="6"/>
      <c r="E17" s="7" t="n">
        <f aca="false">E16</f>
        <v>0.0001</v>
      </c>
      <c r="F17" s="7" t="n">
        <f aca="false">0.00000000000001/E17</f>
        <v>1E-010</v>
      </c>
      <c r="G17" s="8" t="n">
        <v>13.3</v>
      </c>
      <c r="H17" s="9" t="n">
        <f aca="false">G17/$AE$3</f>
        <v>0.000782352941176471</v>
      </c>
      <c r="I17" s="10" t="n">
        <f aca="false">1000000*H17</f>
        <v>782.352941176471</v>
      </c>
      <c r="J17" s="11" t="n">
        <f aca="false">H17/($B$9*(1-H17*$AE$5*$B$5/1000) - L17*($B$11+$B$12) - M17*(2*$B$11+$B$13) - E17*$B$15 - F17*$B$16)</f>
        <v>9.15012235391916E-007</v>
      </c>
      <c r="K17" s="8" t="n">
        <f aca="false">3/3</f>
        <v>1</v>
      </c>
      <c r="L17" s="12" t="n">
        <f aca="false">M17*E17/(10^-$B$19)</f>
        <v>1E-104</v>
      </c>
      <c r="M17" s="12" t="n">
        <f aca="false">(10^-$B$19)*K17/(E17+(10^-$B$19))</f>
        <v>1</v>
      </c>
      <c r="N17" s="11" t="n">
        <f aca="false">(L17+3*M17)/($B$9*(1-H17*$AE$5*$B$5/1000) - L17*($B$11+$B$12) - M17*(2*$B$11+$B$13) - E17*$B$15 - F17*$B$16)</f>
        <v>0.0035086935342096</v>
      </c>
      <c r="O17" s="8" t="n">
        <v>13.2</v>
      </c>
      <c r="P17" s="8" t="n">
        <f aca="false">O17*133.322</f>
        <v>1759.8504</v>
      </c>
      <c r="Q17" s="13" t="n">
        <f aca="false">$B$1*$B$2*$B$9*1000*(J17+0.25*$AD$20*$AD$20*J17*J17/N17)</f>
        <v>2290.36923939695</v>
      </c>
      <c r="R17" s="14" t="n">
        <f aca="false">P17/Q17</f>
        <v>0.768369732586596</v>
      </c>
      <c r="S17" s="14" t="n">
        <f aca="false">R17-1</f>
        <v>-0.231630267413404</v>
      </c>
      <c r="T17" s="14" t="n">
        <f aca="false">$U$13+$U$14*J17+$U$15*J17*J17+$U$16*J17*J17*J17+$U$17*J17*J17*J17*J17</f>
        <v>-0.222481229637056</v>
      </c>
      <c r="U17" s="19" t="n">
        <v>2.67201501990041E+023</v>
      </c>
      <c r="V17" s="8" t="n">
        <f aca="false">S17-T17</f>
        <v>-0.00914903777634799</v>
      </c>
      <c r="W17" s="8" t="n">
        <f aca="false">V17*V17</f>
        <v>8.37048922330425E-005</v>
      </c>
      <c r="X17" s="16" t="n">
        <f aca="false">EXP(S17+$U$23*J17+$U$24*J17*J17/2+$U$25*J17*J17*J17/3+$U$26*J17*J17*J17*J17/4)</f>
        <v>0.686691825562327</v>
      </c>
      <c r="Y17" s="16" t="n">
        <f aca="false">EXP(2*$AG$11*J17)</f>
        <v>0.907705457874419</v>
      </c>
      <c r="Z17" s="16" t="n">
        <f aca="false">X17</f>
        <v>0.686691825562327</v>
      </c>
      <c r="AA17" s="18" t="n">
        <f aca="false">Y17</f>
        <v>0.907705457874419</v>
      </c>
    </row>
    <row r="18" customFormat="false" ht="15.75" hidden="false" customHeight="true" outlineLevel="0" collapsed="false">
      <c r="D18" s="6"/>
      <c r="E18" s="7" t="n">
        <f aca="false">E17</f>
        <v>0.0001</v>
      </c>
      <c r="F18" s="7" t="n">
        <f aca="false">0.00000000000001/E18</f>
        <v>1E-010</v>
      </c>
      <c r="G18" s="8" t="n">
        <v>15.54</v>
      </c>
      <c r="H18" s="9" t="n">
        <f aca="false">G18/$AE$3</f>
        <v>0.000914117647058824</v>
      </c>
      <c r="I18" s="10" t="n">
        <f aca="false">1000000*H18</f>
        <v>914.117647058824</v>
      </c>
      <c r="J18" s="11" t="n">
        <f aca="false">H18/($B$9*(1-H18*$AE$5*$B$5/1000) - L18*($B$11+$B$12) - M18*(2*$B$11+$B$13) - E18*$B$15 - F18*$B$16)</f>
        <v>1.07119561996975E-006</v>
      </c>
      <c r="K18" s="8" t="n">
        <f aca="false">3/3</f>
        <v>1</v>
      </c>
      <c r="L18" s="12" t="n">
        <f aca="false">M18*E18/(10^-$B$19)</f>
        <v>1E-104</v>
      </c>
      <c r="M18" s="12" t="n">
        <f aca="false">(10^-$B$19)*K18/(E18+(10^-$B$19))</f>
        <v>1</v>
      </c>
      <c r="N18" s="11" t="n">
        <f aca="false">(L18+3*M18)/($B$9*(1-H18*$AE$5*$B$5/1000) - L18*($B$11+$B$12) - M18*(2*$B$11+$B$13) - E18*$B$15 - F18*$B$16)</f>
        <v>0.00351550686090458</v>
      </c>
      <c r="O18" s="8" t="n">
        <v>15.4</v>
      </c>
      <c r="P18" s="8" t="n">
        <f aca="false">O18*133.322</f>
        <v>2053.1588</v>
      </c>
      <c r="Q18" s="13" t="n">
        <f aca="false">$B$1*$B$2*$B$9*1000*(J18+0.25*$AD$20*$AD$20*J18*J18/N18)</f>
        <v>2687.01002562599</v>
      </c>
      <c r="R18" s="14" t="n">
        <f aca="false">P18/Q18</f>
        <v>0.764105373786864</v>
      </c>
      <c r="S18" s="14" t="n">
        <f aca="false">R18-1</f>
        <v>-0.235894626213136</v>
      </c>
      <c r="T18" s="14" t="n">
        <f aca="false">$U$13+$U$14*J18+$U$15*J18*J18+$U$16*J18*J18*J18+$U$17*J18*J18*J18*J18</f>
        <v>-0.239455968732357</v>
      </c>
      <c r="U18" s="19"/>
      <c r="V18" s="8" t="n">
        <f aca="false">S18-T18</f>
        <v>0.00356134251922136</v>
      </c>
      <c r="W18" s="8" t="n">
        <f aca="false">V18*V18</f>
        <v>1.26831605392139E-005</v>
      </c>
      <c r="X18" s="16" t="n">
        <f aca="false">EXP(S18+$U$23*J18+$U$24*J18*J18/2+$U$25*J18*J18*J18/3+$U$26*J18*J18*J18*J18/4)</f>
        <v>0.672609939794697</v>
      </c>
      <c r="Y18" s="16" t="n">
        <f aca="false">EXP(2*$AG$11*J18)</f>
        <v>0.892825472397828</v>
      </c>
      <c r="Z18" s="16" t="n">
        <f aca="false">X18</f>
        <v>0.672609939794697</v>
      </c>
      <c r="AA18" s="18" t="n">
        <f aca="false">Y18</f>
        <v>0.892825472397828</v>
      </c>
      <c r="AC18" s="1" t="s">
        <v>2</v>
      </c>
      <c r="AD18" s="1" t="s">
        <v>44</v>
      </c>
    </row>
    <row r="19" customFormat="false" ht="15.75" hidden="false" customHeight="true" outlineLevel="0" collapsed="false">
      <c r="A19" s="1" t="s">
        <v>45</v>
      </c>
      <c r="B19" s="1" t="n">
        <v>-100</v>
      </c>
      <c r="D19" s="6"/>
      <c r="E19" s="20" t="n">
        <f aca="false">E18</f>
        <v>0.0001</v>
      </c>
      <c r="F19" s="20" t="n">
        <f aca="false">0.00000000000001/E19</f>
        <v>1E-010</v>
      </c>
      <c r="G19" s="48" t="n">
        <v>17.7</v>
      </c>
      <c r="H19" s="9" t="n">
        <f aca="false">G19/$AE$3</f>
        <v>0.00104117647058824</v>
      </c>
      <c r="I19" s="21" t="n">
        <f aca="false">1000000*H19</f>
        <v>1041.17647058824</v>
      </c>
      <c r="J19" s="22" t="n">
        <f aca="false">H19/($B$9*(1-H19*$AE$5*$B$5/1000) - L19*($B$11+$B$12) - M19*(2*$B$11+$B$13) - E19*$B$15 - F19*$B$16)</f>
        <v>1.2223765631608E-006</v>
      </c>
      <c r="K19" s="8" t="n">
        <f aca="false">3/3</f>
        <v>1</v>
      </c>
      <c r="L19" s="12" t="n">
        <f aca="false">M19*E19/(10^-$B$19)</f>
        <v>1E-104</v>
      </c>
      <c r="M19" s="12" t="n">
        <f aca="false">(10^-$B$19)*K19/(E19+(10^-$B$19))</f>
        <v>1</v>
      </c>
      <c r="N19" s="11" t="n">
        <f aca="false">(L19+3*M19)/($B$9*(1-H19*$AE$5*$B$5/1000) - L19*($B$11+$B$12) - M19*(2*$B$11+$B$13) - E19*$B$15 - F19*$B$16)</f>
        <v>0.00352210196164976</v>
      </c>
      <c r="O19" s="8" t="n">
        <v>17.05</v>
      </c>
      <c r="P19" s="8" t="n">
        <f aca="false">O19*133.322</f>
        <v>2273.1401</v>
      </c>
      <c r="Q19" s="13" t="n">
        <f aca="false">$B$1*$B$2*$B$9*1000*(J19+0.25*$AD$20*$AD$20*J19*J19/N19)</f>
        <v>3072.505269881</v>
      </c>
      <c r="R19" s="23" t="n">
        <f aca="false">P19/Q19</f>
        <v>0.739832774994082</v>
      </c>
      <c r="S19" s="14" t="n">
        <f aca="false">R19-1</f>
        <v>-0.260167225005918</v>
      </c>
      <c r="T19" s="14" t="n">
        <f aca="false">$U$13+$U$14*J19+$U$15*J19*J19+$U$16*J19*J19*J19+$U$17*J19*J19*J19*J19</f>
        <v>-0.258467909211209</v>
      </c>
      <c r="U19" s="19"/>
      <c r="V19" s="1" t="n">
        <f aca="false">S19-T19</f>
        <v>-0.00169931579470939</v>
      </c>
      <c r="W19" s="1" t="n">
        <f aca="false">V19*V19</f>
        <v>2.8876741701488E-006</v>
      </c>
      <c r="X19" s="16" t="n">
        <f aca="false">EXP(S19+$U$23*J19+$U$24*J19*J19/2+$U$25*J19*J19*J19/3+$U$26*J19*J19*J19*J19/4)</f>
        <v>0.646444073348443</v>
      </c>
      <c r="Y19" s="16" t="n">
        <f aca="false">EXP(2*$AG$11*J19)</f>
        <v>0.878654455994421</v>
      </c>
      <c r="Z19" s="16" t="n">
        <f aca="false">X19</f>
        <v>0.646444073348443</v>
      </c>
      <c r="AA19" s="18" t="n">
        <f aca="false">Y19</f>
        <v>0.878654455994421</v>
      </c>
      <c r="AC19" s="1" t="n">
        <v>4</v>
      </c>
      <c r="AD19" s="49" t="n">
        <v>14</v>
      </c>
    </row>
    <row r="20" customFormat="false" ht="15.75" hidden="false" customHeight="true" outlineLevel="0" collapsed="false">
      <c r="D20" s="6"/>
      <c r="E20" s="20" t="n">
        <f aca="false">E19</f>
        <v>0.0001</v>
      </c>
      <c r="F20" s="20" t="n">
        <f aca="false">0.00000000000001/E20</f>
        <v>1E-010</v>
      </c>
      <c r="G20" s="48" t="n">
        <v>19.82</v>
      </c>
      <c r="H20" s="9" t="n">
        <f aca="false">G20/$AE$3</f>
        <v>0.00116588235294118</v>
      </c>
      <c r="I20" s="21" t="n">
        <f aca="false">1000000*H20</f>
        <v>1165.88235294118</v>
      </c>
      <c r="J20" s="11" t="n">
        <f aca="false">H20/($B$9*(1-H20*$AE$5*$B$5/1000) - L20*($B$11+$B$12) - M20*(2*$B$11+$B$13) - E20*$B$15 - F20*$B$16)</f>
        <v>1.37131044929139E-006</v>
      </c>
      <c r="K20" s="8" t="n">
        <f aca="false">3/3</f>
        <v>1</v>
      </c>
      <c r="L20" s="12" t="n">
        <f aca="false">M20*E20/(10^-$B$19)</f>
        <v>1E-104</v>
      </c>
      <c r="M20" s="12" t="n">
        <f aca="false">(10^-$B$19)*K20/(E20+(10^-$B$19))</f>
        <v>1</v>
      </c>
      <c r="N20" s="11" t="n">
        <f aca="false">(L20+3*M20)/($B$9*(1-H20*$AE$5*$B$5/1000) - L20*($B$11+$B$12) - M20*(2*$B$11+$B$13) - E20*$B$15 - F20*$B$16)</f>
        <v>0.00352859903702627</v>
      </c>
      <c r="O20" s="8" t="n">
        <v>18.9</v>
      </c>
      <c r="P20" s="8" t="n">
        <f aca="false">O20*133.322</f>
        <v>2519.7858</v>
      </c>
      <c r="Q20" s="13" t="n">
        <f aca="false">$B$1*$B$2*$B$9*1000*(J20+0.25*$AD$20*$AD$20*J20*J20/N20)</f>
        <v>3453.76149856688</v>
      </c>
      <c r="R20" s="23" t="n">
        <f aca="false">P20/Q20</f>
        <v>0.72957724528621</v>
      </c>
      <c r="S20" s="14" t="n">
        <f aca="false">R20-1</f>
        <v>-0.27042275471379</v>
      </c>
      <c r="T20" s="14" t="n">
        <f aca="false">$U$13+$U$14*J20+$U$15*J20*J20+$U$16*J20*J20*J20+$U$17*J20*J20*J20*J20</f>
        <v>-0.275227740834483</v>
      </c>
      <c r="U20" s="19"/>
      <c r="V20" s="1" t="n">
        <f aca="false">S20-T20</f>
        <v>0.00480498612069347</v>
      </c>
      <c r="W20" s="1" t="n">
        <f aca="false">V20*V20</f>
        <v>2.30878916200568E-005</v>
      </c>
      <c r="X20" s="16" t="n">
        <f aca="false">EXP(S20+$U$23*J20+$U$24*J20*J20/2+$U$25*J20*J20*J20/3+$U$26*J20*J20*J20*J20/4)</f>
        <v>0.63058615597438</v>
      </c>
      <c r="Y20" s="16" t="n">
        <f aca="false">EXP(2*$AG$11*J20)</f>
        <v>0.864914019868458</v>
      </c>
      <c r="Z20" s="16" t="n">
        <f aca="false">X20</f>
        <v>0.63058615597438</v>
      </c>
      <c r="AA20" s="18" t="n">
        <f aca="false">Y20</f>
        <v>0.864914019868458</v>
      </c>
      <c r="AC20" s="1" t="n">
        <v>4</v>
      </c>
      <c r="AD20" s="49" t="n">
        <v>14</v>
      </c>
    </row>
    <row r="21" customFormat="false" ht="15.75" hidden="false" customHeight="true" outlineLevel="0" collapsed="false">
      <c r="D21" s="6"/>
      <c r="E21" s="25" t="n">
        <f aca="false">E20</f>
        <v>0.0001</v>
      </c>
      <c r="F21" s="25" t="n">
        <f aca="false">0.00000000000001/E21</f>
        <v>1E-010</v>
      </c>
      <c r="G21" s="50" t="n">
        <v>22</v>
      </c>
      <c r="H21" s="27" t="n">
        <f aca="false">G21/$AE$3</f>
        <v>0.00129411764705882</v>
      </c>
      <c r="I21" s="28" t="n">
        <f aca="false">1000000*H21</f>
        <v>1294.11764705882</v>
      </c>
      <c r="J21" s="31" t="n">
        <f aca="false">H21/($B$9*(1-H21*$AE$5*$B$5/1000) - L21*($B$11+$B$12) - M21*(2*$B$11+$B$13) - E21*$B$15 - F21*$B$16)</f>
        <v>1.52503354509468E-006</v>
      </c>
      <c r="K21" s="26" t="n">
        <f aca="false">3/3</f>
        <v>1</v>
      </c>
      <c r="L21" s="30" t="n">
        <f aca="false">M21*E21/(10^-$B$19)</f>
        <v>1E-104</v>
      </c>
      <c r="M21" s="30" t="n">
        <f aca="false">(10^-$B$19)*K21/(E21+(10^-$B$19))</f>
        <v>1</v>
      </c>
      <c r="N21" s="29" t="n">
        <f aca="false">(L21+3*M21)/($B$9*(1-H21*$AE$5*$B$5/1000) - L21*($B$11+$B$12) - M21*(2*$B$11+$B$13) - E21*$B$15 - F21*$B$16)</f>
        <v>0.00353530503635585</v>
      </c>
      <c r="O21" s="31" t="n">
        <v>20.65</v>
      </c>
      <c r="P21" s="26" t="n">
        <f aca="false">O21*133.322</f>
        <v>2753.0993</v>
      </c>
      <c r="Q21" s="32" t="n">
        <f aca="false">$B$1*$B$2*$B$9*1000*(J21+0.25*$AD$20*$AD$20*J21*J21/N21)</f>
        <v>3848.82065771371</v>
      </c>
      <c r="R21" s="33" t="n">
        <f aca="false">P21/Q21</f>
        <v>0.715309842894941</v>
      </c>
      <c r="S21" s="34" t="n">
        <f aca="false">R21-1</f>
        <v>-0.284690157105059</v>
      </c>
      <c r="T21" s="34" t="n">
        <f aca="false">$U$13+$U$14*J21+$U$15*J21*J21+$U$16*J21*J21*J21+$U$17*J21*J21*J21*J21</f>
        <v>-0.282425529057513</v>
      </c>
      <c r="U21" s="35" t="n">
        <f aca="false">SUM(W13:W21)</f>
        <v>0.000392508855966604</v>
      </c>
      <c r="V21" s="36" t="n">
        <f aca="false">S21-T21</f>
        <v>-0.00226462804754535</v>
      </c>
      <c r="W21" s="36" t="n">
        <f aca="false">V21*V21</f>
        <v>5.12854019372905E-006</v>
      </c>
      <c r="X21" s="37" t="n">
        <f aca="false">EXP(S21+$U$23*J21+$U$24*J21*J21/2+$U$25*J21*J21*J21/3+$U$26*J21*J21*J21*J21/4)</f>
        <v>0.613009817493147</v>
      </c>
      <c r="Y21" s="37" t="n">
        <f aca="false">EXP(2*$AG$11*J21)</f>
        <v>0.850957048940724</v>
      </c>
      <c r="Z21" s="37" t="n">
        <f aca="false">X21</f>
        <v>0.613009817493147</v>
      </c>
      <c r="AA21" s="38" t="n">
        <f aca="false">Y21</f>
        <v>0.850957048940724</v>
      </c>
      <c r="AC21" s="1" t="n">
        <v>7</v>
      </c>
      <c r="AD21" s="49" t="n">
        <v>8</v>
      </c>
    </row>
    <row r="22" customFormat="false" ht="15.75" hidden="false" customHeight="true" outlineLevel="0" collapsed="false">
      <c r="D22" s="51" t="n">
        <v>7</v>
      </c>
      <c r="E22" s="7" t="n">
        <f aca="false">10^-D22</f>
        <v>1E-007</v>
      </c>
      <c r="F22" s="7" t="n">
        <f aca="false">0.00000000000001/E22</f>
        <v>1E-007</v>
      </c>
      <c r="G22" s="8" t="n">
        <v>4.06</v>
      </c>
      <c r="H22" s="9" t="n">
        <f aca="false">G22/$AE$3</f>
        <v>0.000238823529411765</v>
      </c>
      <c r="I22" s="10" t="n">
        <f aca="false">1000000*H22</f>
        <v>238.823529411765</v>
      </c>
      <c r="J22" s="11" t="n">
        <f aca="false">H22/($B$9*(1-H22*$AE$5*$B$5/1000) - L22*($B$11+$B$12) - M22*(2*$B$11+$B$13) - E22*$B$15 - F22*$B$16)</f>
        <v>2.51406461186343E-007</v>
      </c>
      <c r="K22" s="8" t="n">
        <v>0.333333333333333</v>
      </c>
      <c r="L22" s="12" t="n">
        <f aca="false">M22*E22/(10^-$B$19)</f>
        <v>3.33333333333333E-108</v>
      </c>
      <c r="M22" s="12" t="n">
        <f aca="false">(10^-$B$19)*K22/(E22+(10^-$B$19))</f>
        <v>0.333333333333333</v>
      </c>
      <c r="N22" s="11" t="n">
        <f aca="false">(L22+3*M22)/($B$9*(1-H22*$AE$5*$B$5/1000) - L22*($B$11+$B$12) - M22*(2*$B$11+$B$13) - E22*$B$15 - F22*$B$16)</f>
        <v>0.0010526871527507</v>
      </c>
      <c r="O22" s="8" t="n">
        <v>4.45</v>
      </c>
      <c r="P22" s="8" t="n">
        <f aca="false">O22*133.322</f>
        <v>593.2829</v>
      </c>
      <c r="Q22" s="13" t="n">
        <f aca="false">$B$1*$B$2*$B$9*1000*(J22+0.25*$AD$21*$AD$21*J22*J22/N22)</f>
        <v>623.730448252415</v>
      </c>
      <c r="R22" s="14" t="n">
        <f aca="false">P22/Q22</f>
        <v>0.951184765249599</v>
      </c>
      <c r="S22" s="14" t="n">
        <f aca="false">R22-1</f>
        <v>-0.0488152347504013</v>
      </c>
      <c r="T22" s="14" t="n">
        <f aca="false">$U$22+$U$23*J22+$U$24*J22*J22+$U$25*J22*J22*J22+$U$26*J22*J22*J22*J22</f>
        <v>-0.046199673474537</v>
      </c>
      <c r="U22" s="15" t="n">
        <v>0</v>
      </c>
      <c r="V22" s="8" t="n">
        <f aca="false">S22-T22</f>
        <v>-0.00261556127586429</v>
      </c>
      <c r="W22" s="8" t="n">
        <f aca="false">V22*V22</f>
        <v>6.84116078780081E-006</v>
      </c>
      <c r="X22" s="16" t="n">
        <f aca="false">EXP(S22+$U$23*J22+$U$24*J22*J22/2+$U$25*J22*J22*J22/3+$U$26*J22*J22*J22*J22/4)</f>
        <v>0.901036028465776</v>
      </c>
      <c r="Y22" s="16" t="n">
        <f aca="false">EXP(2*$AG$13*J22)</f>
        <v>0.965596629368328</v>
      </c>
      <c r="Z22" s="16" t="n">
        <f aca="false">X22</f>
        <v>0.901036028465776</v>
      </c>
      <c r="AA22" s="16" t="n">
        <f aca="false">Y22</f>
        <v>0.965596629368328</v>
      </c>
      <c r="AC22" s="1" t="n">
        <v>7</v>
      </c>
      <c r="AD22" s="49" t="n">
        <v>8</v>
      </c>
    </row>
    <row r="23" customFormat="false" ht="15.75" hidden="false" customHeight="true" outlineLevel="0" collapsed="false">
      <c r="D23" s="51"/>
      <c r="E23" s="7" t="n">
        <f aca="false">E22</f>
        <v>1E-007</v>
      </c>
      <c r="F23" s="7" t="n">
        <f aca="false">0.00000000000001/E23</f>
        <v>1E-007</v>
      </c>
      <c r="G23" s="8" t="n">
        <v>6.19</v>
      </c>
      <c r="H23" s="9" t="n">
        <f aca="false">G23/$AE$3</f>
        <v>0.000364117647058824</v>
      </c>
      <c r="I23" s="10" t="n">
        <f aca="false">1000000*H23</f>
        <v>364.117647058824</v>
      </c>
      <c r="J23" s="11" t="n">
        <f aca="false">H23/($B$9*(1-H23*$AE$5*$B$5/1000) - L23*($B$11+$B$12) - M23*(2*$B$11+$B$13) - E23*$B$15 - F23*$B$16)</f>
        <v>3.83938823351647E-007</v>
      </c>
      <c r="K23" s="8" t="n">
        <f aca="false">K22</f>
        <v>0.333333333333333</v>
      </c>
      <c r="L23" s="12" t="n">
        <f aca="false">M23*E23/(10^-$B$19)</f>
        <v>3.33333333333333E-108</v>
      </c>
      <c r="M23" s="12" t="n">
        <f aca="false">(10^-$B$19)*K23/(E23+(10^-$B$19))</f>
        <v>0.333333333333333</v>
      </c>
      <c r="N23" s="11" t="n">
        <f aca="false">(L23+3*M23)/($B$9*(1-H23*$AE$5*$B$5/1000) - L23*($B$11+$B$12) - M23*(2*$B$11+$B$13) - E23*$B$15 - F23*$B$16)</f>
        <v>0.00105443618691082</v>
      </c>
      <c r="O23" s="8" t="n">
        <v>6.75</v>
      </c>
      <c r="P23" s="8" t="n">
        <f aca="false">O23*133.322</f>
        <v>899.9235</v>
      </c>
      <c r="Q23" s="13" t="n">
        <f aca="false">$B$1*$B$2*$B$9*1000*(J23+0.25*$AD$21*$AD$21*J23*J23/N23)</f>
        <v>954.440794379878</v>
      </c>
      <c r="R23" s="14" t="n">
        <f aca="false">P23/Q23</f>
        <v>0.942880381160468</v>
      </c>
      <c r="S23" s="14" t="n">
        <f aca="false">R23-1</f>
        <v>-0.0571196188395317</v>
      </c>
      <c r="T23" s="14" t="n">
        <f aca="false">$U$22+$U$23*J23+$U$24*J23*J23+$U$25*J23*J23*J23+$U$26*J23*J23*J23*J23</f>
        <v>-0.0598296149215277</v>
      </c>
      <c r="U23" s="19" t="n">
        <v>-263260.368306562</v>
      </c>
      <c r="V23" s="8" t="n">
        <f aca="false">S23-T23</f>
        <v>0.00270999608199609</v>
      </c>
      <c r="W23" s="8" t="n">
        <f aca="false">V23*V23</f>
        <v>7.34407876443416E-006</v>
      </c>
      <c r="X23" s="16" t="n">
        <f aca="false">EXP(S23+$U$23*J23+$U$24*J23*J23/2+$U$25*J23*J23*J23/3+$U$26*J23*J23*J23*J23/4)</f>
        <v>0.873782056199496</v>
      </c>
      <c r="Y23" s="16" t="n">
        <f aca="false">EXP(2*$AG$13*J23)</f>
        <v>0.947939472039427</v>
      </c>
      <c r="Z23" s="16" t="n">
        <f aca="false">X23</f>
        <v>0.873782056199496</v>
      </c>
      <c r="AA23" s="16" t="n">
        <f aca="false">Y23</f>
        <v>0.947939472039427</v>
      </c>
      <c r="AC23" s="1" t="n">
        <v>8</v>
      </c>
      <c r="AD23" s="49" t="n">
        <v>7.5</v>
      </c>
    </row>
    <row r="24" customFormat="false" ht="15.75" hidden="false" customHeight="true" outlineLevel="0" collapsed="false">
      <c r="D24" s="51"/>
      <c r="E24" s="7" t="n">
        <f aca="false">E23</f>
        <v>1E-007</v>
      </c>
      <c r="F24" s="7" t="n">
        <f aca="false">0.00000000000001/E24</f>
        <v>1E-007</v>
      </c>
      <c r="G24" s="8" t="n">
        <v>8.19</v>
      </c>
      <c r="H24" s="9" t="n">
        <f aca="false">G24/$AE$3</f>
        <v>0.000481764705882353</v>
      </c>
      <c r="I24" s="10" t="n">
        <f aca="false">1000000*H24</f>
        <v>481.764705882353</v>
      </c>
      <c r="J24" s="11" t="n">
        <f aca="false">H24/($B$9*(1-H24*$AE$5*$B$5/1000) - L24*($B$11+$B$12) - M24*(2*$B$11+$B$13) - E24*$B$15 - F24*$B$16)</f>
        <v>5.08783887580504E-007</v>
      </c>
      <c r="K24" s="8" t="n">
        <f aca="false">K23</f>
        <v>0.333333333333333</v>
      </c>
      <c r="L24" s="12" t="n">
        <f aca="false">M24*E24/(10^-$B$19)</f>
        <v>3.33333333333333E-108</v>
      </c>
      <c r="M24" s="12" t="n">
        <f aca="false">(10^-$B$19)*K24/(E24+(10^-$B$19))</f>
        <v>0.333333333333333</v>
      </c>
      <c r="N24" s="11" t="n">
        <f aca="false">(L24+3*M24)/($B$9*(1-H24*$AE$5*$B$5/1000) - L24*($B$11+$B$12) - M24*(2*$B$11+$B$13) - E24*$B$15 - F24*$B$16)</f>
        <v>0.00105608377153462</v>
      </c>
      <c r="O24" s="8" t="n">
        <v>8.85</v>
      </c>
      <c r="P24" s="8" t="n">
        <f aca="false">O24*133.322</f>
        <v>1179.8997</v>
      </c>
      <c r="Q24" s="13" t="n">
        <f aca="false">$B$1*$B$2*$B$9*1000*(J24+0.25*$AD$21*$AD$21*J24*J24/N24)</f>
        <v>1267.16250629992</v>
      </c>
      <c r="R24" s="14" t="n">
        <f aca="false">P24/Q24</f>
        <v>0.931135268076449</v>
      </c>
      <c r="S24" s="14" t="n">
        <f aca="false">R24-1</f>
        <v>-0.0688647319235507</v>
      </c>
      <c r="T24" s="14" t="n">
        <f aca="false">$U$22+$U$23*J24+$U$24*J24*J24+$U$25*J24*J24*J24+$U$26*J24*J24*J24*J24</f>
        <v>-0.069529163107045</v>
      </c>
      <c r="U24" s="19" t="n">
        <v>395184526182.821</v>
      </c>
      <c r="V24" s="8" t="n">
        <f aca="false">S24-T24</f>
        <v>0.000664431183494268</v>
      </c>
      <c r="W24" s="8" t="n">
        <f aca="false">V24*V24</f>
        <v>4.41468797599594E-007</v>
      </c>
      <c r="X24" s="16" t="n">
        <f aca="false">EXP(S24+$U$23*J24+$U$24*J24*J24/2+$U$25*J24*J24*J24/3+$U$26*J24*J24*J24*J24/4)</f>
        <v>0.848010938920406</v>
      </c>
      <c r="Y24" s="16" t="n">
        <f aca="false">EXP(2*$AG$13*J24)</f>
        <v>0.931601925074432</v>
      </c>
      <c r="Z24" s="16" t="n">
        <f aca="false">X24</f>
        <v>0.848010938920406</v>
      </c>
      <c r="AA24" s="16" t="n">
        <f aca="false">Y24</f>
        <v>0.931601925074432</v>
      </c>
      <c r="AC24" s="1" t="n">
        <v>8</v>
      </c>
      <c r="AD24" s="49" t="n">
        <v>7.5</v>
      </c>
    </row>
    <row r="25" customFormat="false" ht="15.75" hidden="false" customHeight="true" outlineLevel="0" collapsed="false">
      <c r="D25" s="51"/>
      <c r="E25" s="7" t="n">
        <f aca="false">E24</f>
        <v>1E-007</v>
      </c>
      <c r="F25" s="7" t="n">
        <f aca="false">0.00000000000001/E25</f>
        <v>1E-007</v>
      </c>
      <c r="G25" s="8" t="n">
        <v>10.25</v>
      </c>
      <c r="H25" s="9" t="n">
        <f aca="false">G25/$AE$3</f>
        <v>0.000602941176470588</v>
      </c>
      <c r="I25" s="10" t="n">
        <f aca="false">1000000*H25</f>
        <v>602.941176470588</v>
      </c>
      <c r="J25" s="11" t="n">
        <f aca="false">H25/($B$9*(1-H25*$AE$5*$B$5/1000) - L25*($B$11+$B$12) - M25*(2*$B$11+$B$13) - E25*$B$15 - F25*$B$16)</f>
        <v>6.37782840915179E-007</v>
      </c>
      <c r="K25" s="8" t="n">
        <f aca="false">K24</f>
        <v>0.333333333333333</v>
      </c>
      <c r="L25" s="12" t="n">
        <f aca="false">M25*E25/(10^-$B$19)</f>
        <v>3.33333333333333E-108</v>
      </c>
      <c r="M25" s="12" t="n">
        <f aca="false">(10^-$B$19)*K25/(E25+(10^-$B$19))</f>
        <v>0.333333333333333</v>
      </c>
      <c r="N25" s="11" t="n">
        <f aca="false">(L25+3*M25)/($B$9*(1-H25*$AE$5*$B$5/1000) - L25*($B$11+$B$12) - M25*(2*$B$11+$B$13) - E25*$B$15 - F25*$B$16)</f>
        <v>0.00105778617517639</v>
      </c>
      <c r="O25" s="8" t="n">
        <v>11</v>
      </c>
      <c r="P25" s="8" t="n">
        <f aca="false">O25*133.322</f>
        <v>1466.542</v>
      </c>
      <c r="Q25" s="13" t="n">
        <f aca="false">$B$1*$B$2*$B$9*1000*(J25+0.25*$AD$21*$AD$21*J25*J25/N25)</f>
        <v>1591.49974079854</v>
      </c>
      <c r="R25" s="14" t="n">
        <f aca="false">P25/Q25</f>
        <v>0.921484284542929</v>
      </c>
      <c r="S25" s="14" t="n">
        <f aca="false">R25-1</f>
        <v>-0.0785157154570713</v>
      </c>
      <c r="T25" s="14" t="n">
        <f aca="false">$U$22+$U$23*J25+$U$24*J25*J25+$U$25*J25*J25*J25+$U$26*J25*J25*J25*J25</f>
        <v>-0.0783318868097435</v>
      </c>
      <c r="U25" s="19" t="n">
        <v>-3.4005401370378E+017</v>
      </c>
      <c r="V25" s="8" t="n">
        <f aca="false">S25-T25</f>
        <v>-0.00018382864732773</v>
      </c>
      <c r="W25" s="8" t="n">
        <f aca="false">V25*V25</f>
        <v>3.3792971578343E-008</v>
      </c>
      <c r="X25" s="16" t="n">
        <f aca="false">EXP(S25+$U$23*J25+$U$24*J25*J25/2+$U$25*J25*J25*J25/3+$U$26*J25*J25*J25*J25/4)</f>
        <v>0.825975183084982</v>
      </c>
      <c r="Y25" s="16" t="n">
        <f aca="false">EXP(2*$AG$13*J25)</f>
        <v>0.915016515867195</v>
      </c>
      <c r="Z25" s="16" t="n">
        <f aca="false">X25</f>
        <v>0.825975183084982</v>
      </c>
      <c r="AA25" s="16" t="n">
        <f aca="false">Y25</f>
        <v>0.915016515867195</v>
      </c>
      <c r="AD25" s="49"/>
    </row>
    <row r="26" customFormat="false" ht="15.75" hidden="false" customHeight="true" outlineLevel="0" collapsed="false">
      <c r="D26" s="51"/>
      <c r="E26" s="7" t="n">
        <f aca="false">E25</f>
        <v>1E-007</v>
      </c>
      <c r="F26" s="7" t="n">
        <f aca="false">0.00000000000001/E26</f>
        <v>1E-007</v>
      </c>
      <c r="G26" s="8" t="n">
        <v>12.3</v>
      </c>
      <c r="H26" s="9" t="n">
        <f aca="false">G26/$AE$3</f>
        <v>0.000723529411764706</v>
      </c>
      <c r="I26" s="10" t="n">
        <f aca="false">1000000*H26</f>
        <v>723.529411764706</v>
      </c>
      <c r="J26" s="11" t="n">
        <f aca="false">H26/($B$9*(1-H26*$AE$5*$B$5/1000) - L26*($B$11+$B$12) - M26*(2*$B$11+$B$13) - E26*$B$15 - F26*$B$16)</f>
        <v>7.66569117471717E-007</v>
      </c>
      <c r="K26" s="8" t="n">
        <f aca="false">K25</f>
        <v>0.333333333333333</v>
      </c>
      <c r="L26" s="12" t="n">
        <f aca="false">M26*E26/(10^-$B$19)</f>
        <v>3.33333333333333E-108</v>
      </c>
      <c r="M26" s="12" t="n">
        <f aca="false">(10^-$B$19)*K26/(E26+(10^-$B$19))</f>
        <v>0.333333333333333</v>
      </c>
      <c r="N26" s="11" t="n">
        <f aca="false">(L26+3*M26)/($B$9*(1-H26*$AE$5*$B$5/1000) - L26*($B$11+$B$12) - M26*(2*$B$11+$B$13) - E26*$B$15 - F26*$B$16)</f>
        <v>0.00105948577211538</v>
      </c>
      <c r="O26" s="8" t="n">
        <v>13.1</v>
      </c>
      <c r="P26" s="8" t="n">
        <f aca="false">O26*133.322</f>
        <v>1746.5182</v>
      </c>
      <c r="Q26" s="13" t="n">
        <f aca="false">$B$1*$B$2*$B$9*1000*(J26+0.25*$AD$21*$AD$21*J26*J26/N26)</f>
        <v>1916.52370402293</v>
      </c>
      <c r="R26" s="14" t="n">
        <f aca="false">P26/Q26</f>
        <v>0.911294859716016</v>
      </c>
      <c r="S26" s="14" t="n">
        <f aca="false">R26-1</f>
        <v>-0.0887051402839836</v>
      </c>
      <c r="T26" s="14" t="n">
        <f aca="false">$U$22+$U$23*J26+$U$24*J26*J26+$U$25*J26*J26*J26+$U$26*J26*J26*J26*J26</f>
        <v>-0.087197741373998</v>
      </c>
      <c r="U26" s="19" t="n">
        <v>1.03003667667473E+023</v>
      </c>
      <c r="V26" s="8" t="n">
        <f aca="false">S26-T26</f>
        <v>-0.00150739890998561</v>
      </c>
      <c r="W26" s="8" t="n">
        <f aca="false">V26*V26</f>
        <v>2.2722514738258E-006</v>
      </c>
      <c r="X26" s="16" t="n">
        <f aca="false">EXP(S26+$U$23*J26+$U$24*J26*J26/2+$U$25*J26*J26*J26/3+$U$26*J26*J26*J26*J26/4)</f>
        <v>0.805276464235239</v>
      </c>
      <c r="Y26" s="16" t="n">
        <f aca="false">EXP(2*$AG$13*J26)</f>
        <v>0.898752995445899</v>
      </c>
      <c r="Z26" s="16" t="n">
        <f aca="false">X26</f>
        <v>0.805276464235239</v>
      </c>
      <c r="AA26" s="16" t="n">
        <f aca="false">Y26</f>
        <v>0.898752995445899</v>
      </c>
      <c r="AD26" s="49"/>
    </row>
    <row r="27" customFormat="false" ht="15.75" hidden="false" customHeight="true" outlineLevel="0" collapsed="false">
      <c r="D27" s="51"/>
      <c r="E27" s="7" t="n">
        <f aca="false">E26</f>
        <v>1E-007</v>
      </c>
      <c r="F27" s="7" t="n">
        <f aca="false">0.00000000000001/E27</f>
        <v>1E-007</v>
      </c>
      <c r="G27" s="8" t="n">
        <v>14.35</v>
      </c>
      <c r="H27" s="9" t="n">
        <f aca="false">G27/$AE$3</f>
        <v>0.000844117647058824</v>
      </c>
      <c r="I27" s="10" t="n">
        <f aca="false">1000000*H27</f>
        <v>844.117647058824</v>
      </c>
      <c r="J27" s="11" t="n">
        <f aca="false">H27/($B$9*(1-H27*$AE$5*$B$5/1000) - L27*($B$11+$B$12) - M27*(2*$B$11+$B$13) - E27*$B$15 - F27*$B$16)</f>
        <v>8.95769914515362E-007</v>
      </c>
      <c r="K27" s="8" t="n">
        <f aca="false">K26</f>
        <v>0.333333333333333</v>
      </c>
      <c r="L27" s="12" t="n">
        <f aca="false">M27*E27/(10^-$B$19)</f>
        <v>3.33333333333333E-108</v>
      </c>
      <c r="M27" s="12" t="n">
        <f aca="false">(10^-$B$19)*K27/(E27+(10^-$B$19))</f>
        <v>0.333333333333333</v>
      </c>
      <c r="N27" s="11" t="n">
        <f aca="false">(L27+3*M27)/($B$9*(1-H27*$AE$5*$B$5/1000) - L27*($B$11+$B$12) - M27*(2*$B$11+$B$13) - E27*$B$15 - F27*$B$16)</f>
        <v>0.00106119083949555</v>
      </c>
      <c r="O27" s="8" t="n">
        <v>15.2</v>
      </c>
      <c r="P27" s="8" t="n">
        <f aca="false">O27*133.322</f>
        <v>2026.4944</v>
      </c>
      <c r="Q27" s="13" t="n">
        <f aca="false">$B$1*$B$2*$B$9*1000*(J27+0.25*$AD$21*$AD$21*J27*J27/N27)</f>
        <v>2243.81425504976</v>
      </c>
      <c r="R27" s="14" t="n">
        <f aca="false">P27/Q27</f>
        <v>0.903147127904783</v>
      </c>
      <c r="S27" s="14" t="n">
        <f aca="false">R27-1</f>
        <v>-0.0968528720952172</v>
      </c>
      <c r="T27" s="14" t="n">
        <f aca="false">$U$22+$U$23*J27+$U$24*J27*J27+$U$25*J27*J27*J27+$U$26*J27*J27*J27*J27</f>
        <v>-0.0968244104034133</v>
      </c>
      <c r="U27" s="19"/>
      <c r="V27" s="8" t="n">
        <f aca="false">S27-T27</f>
        <v>-2.84616918039132E-005</v>
      </c>
      <c r="W27" s="8" t="n">
        <f aca="false">V27*V27</f>
        <v>8.10067900340941E-010</v>
      </c>
      <c r="X27" s="16" t="n">
        <f aca="false">EXP(S27+$U$23*J27+$U$24*J27*J27/2+$U$25*J27*J27*J27/3+$U$26*J27*J27*J27*J27/4)</f>
        <v>0.787400324706359</v>
      </c>
      <c r="Y27" s="16" t="n">
        <f aca="false">EXP(2*$AG$13*J27)</f>
        <v>0.882727587791625</v>
      </c>
      <c r="Z27" s="16" t="n">
        <f aca="false">X27</f>
        <v>0.787400324706359</v>
      </c>
      <c r="AA27" s="16" t="n">
        <f aca="false">Y27</f>
        <v>0.882727587791625</v>
      </c>
      <c r="AD27" s="49"/>
    </row>
    <row r="28" customFormat="false" ht="15.75" hidden="false" customHeight="true" outlineLevel="0" collapsed="false">
      <c r="D28" s="51"/>
      <c r="E28" s="7" t="n">
        <f aca="false">E27</f>
        <v>1E-007</v>
      </c>
      <c r="F28" s="7" t="n">
        <f aca="false">0.00000000000001/E28</f>
        <v>1E-007</v>
      </c>
      <c r="G28" s="8" t="n">
        <v>16.42</v>
      </c>
      <c r="H28" s="9" t="n">
        <f aca="false">G28/$AE$3</f>
        <v>0.000965882352941177</v>
      </c>
      <c r="I28" s="10" t="n">
        <f aca="false">1000000*H28</f>
        <v>965.882352941177</v>
      </c>
      <c r="J28" s="11" t="n">
        <f aca="false">H28/($B$9*(1-H28*$AE$5*$B$5/1000) - L28*($B$11+$B$12) - M28*(2*$B$11+$B$13) - E28*$B$15 - F28*$B$16)</f>
        <v>1.02665385411722E-006</v>
      </c>
      <c r="K28" s="8" t="n">
        <f aca="false">K27</f>
        <v>0.333333333333333</v>
      </c>
      <c r="L28" s="12" t="n">
        <f aca="false">M28*E28/(10^-$B$19)</f>
        <v>3.33333333333333E-108</v>
      </c>
      <c r="M28" s="12" t="n">
        <f aca="false">(10^-$B$19)*K28/(E28+(10^-$B$19))</f>
        <v>0.333333333333333</v>
      </c>
      <c r="N28" s="11" t="n">
        <f aca="false">(L28+3*M28)/($B$9*(1-H28*$AE$5*$B$5/1000) - L28*($B$11+$B$12) - M28*(2*$B$11+$B$13) - E28*$B$15 - F28*$B$16)</f>
        <v>0.00106291811936618</v>
      </c>
      <c r="O28" s="8" t="n">
        <v>17.25</v>
      </c>
      <c r="P28" s="8" t="n">
        <f aca="false">O28*133.322</f>
        <v>2299.8045</v>
      </c>
      <c r="Q28" s="13" t="n">
        <f aca="false">$B$1*$B$2*$B$9*1000*(J28+0.25*$AD$21*$AD$21*J28*J28/N28)</f>
        <v>2576.60890787361</v>
      </c>
      <c r="R28" s="14" t="n">
        <f aca="false">P28/Q28</f>
        <v>0.892570266668042</v>
      </c>
      <c r="S28" s="14" t="n">
        <f aca="false">R28-1</f>
        <v>-0.107429733331958</v>
      </c>
      <c r="T28" s="14" t="n">
        <f aca="false">$U$22+$U$23*J28+$U$24*J28*J28+$U$25*J28*J28*J28+$U$26*J28*J28*J28*J28</f>
        <v>-0.10728970826456</v>
      </c>
      <c r="U28" s="19"/>
      <c r="V28" s="8" t="n">
        <f aca="false">S28-T28</f>
        <v>-0.000140025067398603</v>
      </c>
      <c r="W28" s="8" t="n">
        <f aca="false">V28*V28</f>
        <v>1.96070194999832E-008</v>
      </c>
      <c r="X28" s="16" t="n">
        <f aca="false">EXP(S28+$U$23*J28+$U$24*J28*J28/2+$U$25*J28*J28*J28/3+$U$26*J28*J28*J28*J28/4)</f>
        <v>0.768363842826025</v>
      </c>
      <c r="Y28" s="16" t="n">
        <f aca="false">EXP(2*$AG$13*J28)</f>
        <v>0.866784741506323</v>
      </c>
      <c r="Z28" s="16" t="n">
        <f aca="false">X28</f>
        <v>0.768363842826025</v>
      </c>
      <c r="AA28" s="16" t="n">
        <f aca="false">Y28</f>
        <v>0.866784741506323</v>
      </c>
      <c r="AD28" s="49"/>
    </row>
    <row r="29" customFormat="false" ht="15.75" hidden="false" customHeight="true" outlineLevel="0" collapsed="false">
      <c r="D29" s="51"/>
      <c r="E29" s="7" t="n">
        <f aca="false">E28</f>
        <v>1E-007</v>
      </c>
      <c r="F29" s="7" t="n">
        <f aca="false">0.00000000000001/E29</f>
        <v>1E-007</v>
      </c>
      <c r="G29" s="8" t="n">
        <v>18.42</v>
      </c>
      <c r="H29" s="9" t="n">
        <f aca="false">G29/$AE$3</f>
        <v>0.00108352941176471</v>
      </c>
      <c r="I29" s="10" t="n">
        <f aca="false">1000000*H29</f>
        <v>1083.52941176471</v>
      </c>
      <c r="J29" s="11" t="n">
        <f aca="false">H29/($B$9*(1-H29*$AE$5*$B$5/1000) - L29*($B$11+$B$12) - M29*(2*$B$11+$B$13) - E29*$B$15 - F29*$B$16)</f>
        <v>1.15351710990723E-006</v>
      </c>
      <c r="K29" s="8" t="n">
        <f aca="false">K28</f>
        <v>0.333333333333333</v>
      </c>
      <c r="L29" s="12" t="n">
        <f aca="false">M29*E29/(10^-$B$19)</f>
        <v>3.33333333333333E-108</v>
      </c>
      <c r="M29" s="12" t="n">
        <f aca="false">(10^-$B$19)*K29/(E29+(10^-$B$19))</f>
        <v>0.333333333333333</v>
      </c>
      <c r="N29" s="11" t="n">
        <f aca="false">(L29+3*M29)/($B$9*(1-H29*$AE$5*$B$5/1000) - L29*($B$11+$B$12) - M29*(2*$B$11+$B$13) - E29*$B$15 - F29*$B$16)</f>
        <v>0.00106459233813371</v>
      </c>
      <c r="O29" s="8" t="n">
        <v>19.23</v>
      </c>
      <c r="P29" s="8" t="n">
        <f aca="false">O29*133.322</f>
        <v>2563.78206</v>
      </c>
      <c r="Q29" s="13" t="n">
        <f aca="false">$B$1*$B$2*$B$9*1000*(J29+0.25*$AD$21*$AD$21*J29*J29/N29)</f>
        <v>2900.36604148633</v>
      </c>
      <c r="R29" s="14" t="n">
        <f aca="false">P29/Q29</f>
        <v>0.883951205926461</v>
      </c>
      <c r="S29" s="14" t="n">
        <f aca="false">R29-1</f>
        <v>-0.116048794073539</v>
      </c>
      <c r="T29" s="14" t="n">
        <f aca="false">$U$22+$U$23*J29+$U$24*J29*J29+$U$25*J29*J29*J29+$U$26*J29*J29*J29*J29</f>
        <v>-0.117413371290193</v>
      </c>
      <c r="U29" s="19"/>
      <c r="V29" s="8" t="n">
        <f aca="false">S29-T29</f>
        <v>0.00136457721665401</v>
      </c>
      <c r="W29" s="8" t="n">
        <f aca="false">V29*V29</f>
        <v>1.86207098021119E-006</v>
      </c>
      <c r="X29" s="16" t="n">
        <f aca="false">EXP(S29+$U$23*J29+$U$24*J29*J29/2+$U$25*J29*J29*J29/3+$U$26*J29*J29*J29*J29/4)</f>
        <v>0.751867413069049</v>
      </c>
      <c r="Y29" s="16" t="n">
        <f aca="false">EXP(2*$AG$13*J29)</f>
        <v>0.851606511625195</v>
      </c>
      <c r="Z29" s="16" t="n">
        <f aca="false">X29</f>
        <v>0.751867413069049</v>
      </c>
      <c r="AA29" s="16" t="n">
        <f aca="false">Y29</f>
        <v>0.851606511625195</v>
      </c>
      <c r="AD29" s="49"/>
    </row>
    <row r="30" customFormat="false" ht="15.75" hidden="false" customHeight="true" outlineLevel="0" collapsed="false">
      <c r="D30" s="51"/>
      <c r="E30" s="52" t="n">
        <f aca="false">E29</f>
        <v>1E-007</v>
      </c>
      <c r="F30" s="52" t="n">
        <f aca="false">0.00000000000001/E30</f>
        <v>1E-007</v>
      </c>
      <c r="G30" s="26" t="n">
        <v>20.39</v>
      </c>
      <c r="H30" s="27" t="n">
        <f aca="false">G30/$AE$3</f>
        <v>0.00119941176470588</v>
      </c>
      <c r="I30" s="53" t="n">
        <f aca="false">1000000*H30</f>
        <v>1199.41176470588</v>
      </c>
      <c r="J30" s="29" t="n">
        <f aca="false">H30/($B$9*(1-H30*$AE$5*$B$5/1000) - L30*($B$11+$B$12) - M30*(2*$B$11+$B$13) - E30*$B$15 - F30*$B$16)</f>
        <v>1.2788687253914E-006</v>
      </c>
      <c r="K30" s="26" t="n">
        <f aca="false">K29</f>
        <v>0.333333333333333</v>
      </c>
      <c r="L30" s="30" t="n">
        <f aca="false">M30*E30/(10^-$B$19)</f>
        <v>3.33333333333333E-108</v>
      </c>
      <c r="M30" s="30" t="n">
        <f aca="false">(10^-$B$19)*K30/(E30+(10^-$B$19))</f>
        <v>0.333333333333333</v>
      </c>
      <c r="N30" s="29" t="n">
        <f aca="false">(L30+3*M30)/($B$9*(1-H30*$AE$5*$B$5/1000) - L30*($B$11+$B$12) - M30*(2*$B$11+$B$13) - E30*$B$15 - F30*$B$16)</f>
        <v>0.00106624660773192</v>
      </c>
      <c r="O30" s="26" t="n">
        <v>21.1</v>
      </c>
      <c r="P30" s="26" t="n">
        <f aca="false">O30*133.322</f>
        <v>2813.0942</v>
      </c>
      <c r="Q30" s="32" t="n">
        <f aca="false">$B$1*$B$2*$B$9*1000*(J30+0.25*$AD$21*$AD$21*J30*J30/N30)</f>
        <v>3221.4064834937</v>
      </c>
      <c r="R30" s="34" t="n">
        <f aca="false">P30/Q30</f>
        <v>0.873250306788085</v>
      </c>
      <c r="S30" s="34" t="n">
        <f aca="false">R30-1</f>
        <v>-0.126749693211915</v>
      </c>
      <c r="T30" s="34" t="n">
        <f aca="false">$U$22+$U$23*J30+$U$24*J30*J30+$U$25*J30*J30*J30+$U$26*J30*J30*J30*J30</f>
        <v>-0.126082698920736</v>
      </c>
      <c r="U30" s="35" t="n">
        <f aca="false">SUM(W22:W30)</f>
        <v>1.9260122247316E-005</v>
      </c>
      <c r="V30" s="26" t="n">
        <f aca="false">S30-T30</f>
        <v>-0.000666994291179335</v>
      </c>
      <c r="W30" s="26" t="n">
        <f aca="false">V30*V30</f>
        <v>4.44881384465823E-007</v>
      </c>
      <c r="X30" s="37" t="n">
        <f aca="false">EXP(S30+$U$23*J30+$U$24*J30*J30/2+$U$25*J30*J30*J30/3+$U$26*J30*J30*J30*J30/4)</f>
        <v>0.734572425717822</v>
      </c>
      <c r="Y30" s="37" t="n">
        <f aca="false">EXP(2*$AG$13*J30)</f>
        <v>0.836870210060619</v>
      </c>
      <c r="Z30" s="37" t="n">
        <f aca="false">X30</f>
        <v>0.734572425717822</v>
      </c>
      <c r="AA30" s="37" t="n">
        <f aca="false">Y30</f>
        <v>0.836870210060619</v>
      </c>
    </row>
    <row r="31" customFormat="false" ht="15.75" hidden="false" customHeight="true" outlineLevel="0" collapsed="false">
      <c r="D31" s="51" t="n">
        <v>7</v>
      </c>
      <c r="E31" s="7" t="n">
        <f aca="false">10^-D31</f>
        <v>1E-007</v>
      </c>
      <c r="F31" s="7" t="n">
        <f aca="false">0.00000000000001/E31</f>
        <v>1E-007</v>
      </c>
      <c r="G31" s="8" t="n">
        <v>4.3</v>
      </c>
      <c r="H31" s="9" t="n">
        <f aca="false">G31/$AE$3</f>
        <v>0.000252941176470588</v>
      </c>
      <c r="I31" s="10" t="n">
        <f aca="false">1000000*H31</f>
        <v>252.941176470588</v>
      </c>
      <c r="J31" s="11" t="n">
        <f aca="false">H31/($B$9*(1-H31*$AE$6*$B$5/1000) - L31*($B$11+$B$12) - M31*(2*$B$11+$B$13) - E31*$B$15 - F31*$B$16)</f>
        <v>2.93544563353861E-007</v>
      </c>
      <c r="K31" s="8" t="n">
        <f aca="false">3/3</f>
        <v>1</v>
      </c>
      <c r="L31" s="12" t="n">
        <f aca="false">M31*E31/(10^-$B$19)</f>
        <v>1E-107</v>
      </c>
      <c r="M31" s="12" t="n">
        <f aca="false">(10^-$B$19)*K31/(E31+(10^-$B$19))</f>
        <v>1</v>
      </c>
      <c r="N31" s="11" t="n">
        <f aca="false">(L31+3*M31)/($B$9*(1-H31*$AE$5*$B$5/1000) - L31*($B$11+$B$12) - M31*(2*$B$11+$B$13) - E31*$B$15 - F31*$B$16)</f>
        <v>0.00348157505373184</v>
      </c>
      <c r="O31" s="8" t="n">
        <v>4.63</v>
      </c>
      <c r="P31" s="8" t="n">
        <f aca="false">O31*133.322</f>
        <v>617.28086</v>
      </c>
      <c r="Q31" s="13" t="n">
        <f aca="false">$B$1*$B$2*$B$9*1000*(J31+0.25*$AD$22*$AD$22*J31*J31/N31)</f>
        <v>726.480021238109</v>
      </c>
      <c r="R31" s="14" t="n">
        <f aca="false">P31/Q31</f>
        <v>0.849687316862471</v>
      </c>
      <c r="S31" s="14" t="n">
        <f aca="false">R31-1</f>
        <v>-0.150312683137529</v>
      </c>
      <c r="T31" s="14" t="n">
        <f aca="false">$U$31+$U$32*J31+$U$33*J31*J31+$U$34*J31*J31*J31+$U$35*J31*J31*J31*J31</f>
        <v>-0.142513045235176</v>
      </c>
      <c r="U31" s="15" t="n">
        <v>0</v>
      </c>
      <c r="V31" s="8" t="n">
        <f aca="false">S31-T31</f>
        <v>-0.00779963790235316</v>
      </c>
      <c r="W31" s="8" t="n">
        <f aca="false">V31*V31</f>
        <v>6.0834351407824E-005</v>
      </c>
      <c r="X31" s="16" t="n">
        <f aca="false">EXP(S31+$U$32*J31+$U$33*J31*J31/2+$U$34*J31*J31*J31/3+$U$35*J31*J31*J31*J31/4)</f>
        <v>0.720660332896395</v>
      </c>
      <c r="Y31" s="16" t="n">
        <f aca="false">EXP(2*$AG$14*J31)</f>
        <v>0.924097308702544</v>
      </c>
      <c r="Z31" s="16" t="n">
        <f aca="false">X31</f>
        <v>0.720660332896395</v>
      </c>
      <c r="AA31" s="16" t="n">
        <f aca="false">Y31</f>
        <v>0.924097308702544</v>
      </c>
    </row>
    <row r="32" customFormat="false" ht="15.75" hidden="false" customHeight="true" outlineLevel="0" collapsed="false">
      <c r="D32" s="51"/>
      <c r="E32" s="7" t="n">
        <f aca="false">E31</f>
        <v>1E-007</v>
      </c>
      <c r="F32" s="7" t="n">
        <f aca="false">0.00000000000001/E32</f>
        <v>1E-007</v>
      </c>
      <c r="G32" s="8" t="n">
        <v>6.53</v>
      </c>
      <c r="H32" s="9" t="n">
        <f aca="false">G32/$AE$3</f>
        <v>0.000384117647058824</v>
      </c>
      <c r="I32" s="10" t="n">
        <f aca="false">1000000*H32</f>
        <v>384.117647058824</v>
      </c>
      <c r="J32" s="11" t="n">
        <f aca="false">H32/($B$9*(1-H32*$AE$6*$B$5/1000) - L32*($B$11+$B$12) - M32*(2*$B$11+$B$13) - E32*$B$15 - F32*$B$16)</f>
        <v>4.46633224572126E-007</v>
      </c>
      <c r="K32" s="8" t="n">
        <f aca="false">3/3</f>
        <v>1</v>
      </c>
      <c r="L32" s="12" t="n">
        <f aca="false">M32*E32/(10^-$B$19)</f>
        <v>1E-107</v>
      </c>
      <c r="M32" s="12" t="n">
        <f aca="false">(10^-$B$19)*K32/(E32+(10^-$B$19))</f>
        <v>1</v>
      </c>
      <c r="N32" s="11" t="n">
        <f aca="false">(L32+3*M32)/($B$9*(1-H32*$AE$5*$B$5/1000) - L32*($B$11+$B$12) - M32*(2*$B$11+$B$13) - E32*$B$15 - F32*$B$16)</f>
        <v>0.00348825336189563</v>
      </c>
      <c r="O32" s="8" t="n">
        <v>6.9</v>
      </c>
      <c r="P32" s="8" t="n">
        <f aca="false">O32*133.322</f>
        <v>919.9218</v>
      </c>
      <c r="Q32" s="13" t="n">
        <f aca="false">$B$1*$B$2*$B$9*1000*(J32+0.25*$AD$22*$AD$22*J32*J32/N32)</f>
        <v>1106.12442207271</v>
      </c>
      <c r="R32" s="14" t="n">
        <f aca="false">P32/Q32</f>
        <v>0.831662136413373</v>
      </c>
      <c r="S32" s="14" t="n">
        <f aca="false">R32-1</f>
        <v>-0.168337863586628</v>
      </c>
      <c r="T32" s="14" t="n">
        <f aca="false">$U$31+$U$32*J32+$U$33*J32*J32+$U$34*J32*J32*J32+$U$35*J32*J32*J32*J32</f>
        <v>-0.17666887482499</v>
      </c>
      <c r="U32" s="19" t="n">
        <v>-742837.931375678</v>
      </c>
      <c r="V32" s="8" t="n">
        <f aca="false">S32-T32</f>
        <v>0.00833101123836255</v>
      </c>
      <c r="W32" s="8" t="n">
        <f aca="false">V32*V32</f>
        <v>6.94057482537231E-005</v>
      </c>
      <c r="X32" s="16" t="n">
        <f aca="false">EXP(S32+$U$32*J32+$U$33*J32*J32/2+$U$34*J32*J32*J32/3+$U$35*J32*J32*J32*J32/4)</f>
        <v>0.66185189427858</v>
      </c>
      <c r="Y32" s="16" t="n">
        <f aca="false">EXP(2*$AG$14*J32)</f>
        <v>0.886826954750387</v>
      </c>
      <c r="Z32" s="16" t="n">
        <f aca="false">X32</f>
        <v>0.66185189427858</v>
      </c>
      <c r="AA32" s="16" t="n">
        <f aca="false">Y32</f>
        <v>0.886826954750387</v>
      </c>
    </row>
    <row r="33" customFormat="false" ht="15.75" hidden="false" customHeight="true" outlineLevel="0" collapsed="false">
      <c r="D33" s="51"/>
      <c r="E33" s="7" t="n">
        <f aca="false">E32</f>
        <v>1E-007</v>
      </c>
      <c r="F33" s="7" t="n">
        <f aca="false">0.00000000000001/E33</f>
        <v>1E-007</v>
      </c>
      <c r="G33" s="8" t="n">
        <v>8.68</v>
      </c>
      <c r="H33" s="9" t="n">
        <f aca="false">G33/$AE$3</f>
        <v>0.000510588235294118</v>
      </c>
      <c r="I33" s="10" t="n">
        <f aca="false">1000000*H33</f>
        <v>510.588235294118</v>
      </c>
      <c r="J33" s="11" t="n">
        <f aca="false">H33/($B$9*(1-H33*$AE$6*$B$5/1000) - L33*($B$11+$B$12) - M33*(2*$B$11+$B$13) - E33*$B$15 - F33*$B$16)</f>
        <v>5.94787025271209E-007</v>
      </c>
      <c r="K33" s="8" t="n">
        <f aca="false">3/3</f>
        <v>1</v>
      </c>
      <c r="L33" s="12" t="n">
        <f aca="false">M33*E33/(10^-$B$19)</f>
        <v>1E-107</v>
      </c>
      <c r="M33" s="12" t="n">
        <f aca="false">(10^-$B$19)*K33/(E33+(10^-$B$19))</f>
        <v>1</v>
      </c>
      <c r="N33" s="11" t="n">
        <f aca="false">(L33+3*M33)/($B$9*(1-H33*$AE$5*$B$5/1000) - L33*($B$11+$B$12) - M33*(2*$B$11+$B$13) - E33*$B$15 - F33*$B$16)</f>
        <v>0.00349471639272254</v>
      </c>
      <c r="O33" s="8" t="n">
        <v>8.9</v>
      </c>
      <c r="P33" s="8" t="n">
        <f aca="false">O33*133.322</f>
        <v>1186.5658</v>
      </c>
      <c r="Q33" s="13" t="n">
        <f aca="false">$B$1*$B$2*$B$9*1000*(J33+0.25*$AD$22*$AD$22*J33*J33/N33)</f>
        <v>1474.03121132756</v>
      </c>
      <c r="R33" s="14" t="n">
        <f aca="false">P33/Q33</f>
        <v>0.804980105496777</v>
      </c>
      <c r="S33" s="14" t="n">
        <f aca="false">R33-1</f>
        <v>-0.195019894503223</v>
      </c>
      <c r="T33" s="14" t="n">
        <f aca="false">$U$31+$U$32*J33+$U$33*J33*J33+$U$34*J33*J33*J33+$U$35*J33*J33*J33*J33</f>
        <v>-0.197200160294923</v>
      </c>
      <c r="U33" s="19" t="n">
        <v>1095808394321.01</v>
      </c>
      <c r="V33" s="8" t="n">
        <f aca="false">S33-T33</f>
        <v>0.00218026579169983</v>
      </c>
      <c r="W33" s="8" t="n">
        <f aca="false">V33*V33</f>
        <v>4.75355892245649E-006</v>
      </c>
      <c r="X33" s="16" t="n">
        <f aca="false">EXP(S33+$U$32*J33+$U$33*J33*J33/2+$U$34*J33*J33*J33/3+$U$35*J33*J33*J33*J33/4)</f>
        <v>0.610788341598144</v>
      </c>
      <c r="Y33" s="16" t="n">
        <f aca="false">EXP(2*$AG$14*J33)</f>
        <v>0.852189921366495</v>
      </c>
      <c r="Z33" s="16" t="n">
        <f aca="false">X33</f>
        <v>0.610788341598144</v>
      </c>
      <c r="AA33" s="16" t="n">
        <f aca="false">Y33</f>
        <v>0.852189921366495</v>
      </c>
    </row>
    <row r="34" customFormat="false" ht="15.75" hidden="false" customHeight="true" outlineLevel="0" collapsed="false">
      <c r="D34" s="51"/>
      <c r="E34" s="7" t="n">
        <f aca="false">E33</f>
        <v>1E-007</v>
      </c>
      <c r="F34" s="7" t="n">
        <f aca="false">0.00000000000001/E34</f>
        <v>1E-007</v>
      </c>
      <c r="G34" s="8" t="n">
        <v>10.85</v>
      </c>
      <c r="H34" s="9" t="n">
        <f aca="false">G34/$AE$3</f>
        <v>0.000638235294117647</v>
      </c>
      <c r="I34" s="10" t="n">
        <f aca="false">1000000*H34</f>
        <v>638.235294117647</v>
      </c>
      <c r="J34" s="11" t="n">
        <f aca="false">H34/($B$9*(1-H34*$AE$6*$B$5/1000) - L34*($B$11+$B$12) - M34*(2*$B$11+$B$13) - E34*$B$15 - F34*$B$16)</f>
        <v>7.44876726319697E-007</v>
      </c>
      <c r="K34" s="8" t="n">
        <f aca="false">3/3</f>
        <v>1</v>
      </c>
      <c r="L34" s="12" t="n">
        <f aca="false">M34*E34/(10^-$B$19)</f>
        <v>1E-107</v>
      </c>
      <c r="M34" s="12" t="n">
        <f aca="false">(10^-$B$19)*K34/(E34+(10^-$B$19))</f>
        <v>1</v>
      </c>
      <c r="N34" s="11" t="n">
        <f aca="false">(L34+3*M34)/($B$9*(1-H34*$AE$5*$B$5/1000) - L34*($B$11+$B$12) - M34*(2*$B$11+$B$13) - E34*$B$15 - F34*$B$16)</f>
        <v>0.00350126387486678</v>
      </c>
      <c r="O34" s="8" t="n">
        <v>10.9</v>
      </c>
      <c r="P34" s="8" t="n">
        <f aca="false">O34*133.322</f>
        <v>1453.2098</v>
      </c>
      <c r="Q34" s="13" t="n">
        <f aca="false">$B$1*$B$2*$B$9*1000*(J34+0.25*$AD$22*$AD$22*J34*J34/N34)</f>
        <v>1847.2443888997</v>
      </c>
      <c r="R34" s="14" t="n">
        <f aca="false">P34/Q34</f>
        <v>0.786690601813439</v>
      </c>
      <c r="S34" s="14" t="n">
        <f aca="false">R34-1</f>
        <v>-0.213309398186561</v>
      </c>
      <c r="T34" s="14" t="n">
        <f aca="false">$U$31+$U$32*J34+$U$33*J34*J34+$U$34*J34*J34*J34+$U$35*J34*J34*J34*J34</f>
        <v>-0.212530182346887</v>
      </c>
      <c r="U34" s="19" t="n">
        <v>-8.11442444720135E+017</v>
      </c>
      <c r="V34" s="8" t="n">
        <f aca="false">S34-T34</f>
        <v>-0.000779215839673997</v>
      </c>
      <c r="W34" s="8" t="n">
        <f aca="false">V34*V34</f>
        <v>6.07177324798852E-007</v>
      </c>
      <c r="X34" s="16" t="n">
        <f aca="false">EXP(S34+$U$32*J34+$U$33*J34*J34/2+$U$34*J34*J34*J34/3+$U$35*J34*J34*J34*J34/4)</f>
        <v>0.572707218327398</v>
      </c>
      <c r="Y34" s="16" t="n">
        <f aca="false">EXP(2*$AG$14*J34)</f>
        <v>0.818479513787159</v>
      </c>
      <c r="Z34" s="16" t="n">
        <f aca="false">X34</f>
        <v>0.572707218327398</v>
      </c>
      <c r="AA34" s="16" t="n">
        <f aca="false">Y34</f>
        <v>0.818479513787159</v>
      </c>
    </row>
    <row r="35" customFormat="false" ht="15.75" hidden="false" customHeight="true" outlineLevel="0" collapsed="false">
      <c r="D35" s="51"/>
      <c r="E35" s="7" t="n">
        <f aca="false">E34</f>
        <v>1E-007</v>
      </c>
      <c r="F35" s="7" t="n">
        <f aca="false">0.00000000000001/E35</f>
        <v>1E-007</v>
      </c>
      <c r="G35" s="8" t="n">
        <v>12.97</v>
      </c>
      <c r="H35" s="9" t="n">
        <f aca="false">G35/$AE$3</f>
        <v>0.000762941176470588</v>
      </c>
      <c r="I35" s="10" t="n">
        <f aca="false">1000000*H35</f>
        <v>762.941176470588</v>
      </c>
      <c r="J35" s="11" t="n">
        <f aca="false">H35/($B$9*(1-H35*$AE$6*$B$5/1000) - L35*($B$11+$B$12) - M35*(2*$B$11+$B$13) - E35*$B$15 - F35*$B$16)</f>
        <v>8.92052244192823E-007</v>
      </c>
      <c r="K35" s="8" t="n">
        <f aca="false">3/3</f>
        <v>1</v>
      </c>
      <c r="L35" s="12" t="n">
        <f aca="false">M35*E35/(10^-$B$19)</f>
        <v>1E-107</v>
      </c>
      <c r="M35" s="12" t="n">
        <f aca="false">(10^-$B$19)*K35/(E35+(10^-$B$19))</f>
        <v>1</v>
      </c>
      <c r="N35" s="11" t="n">
        <f aca="false">(L35+3*M35)/($B$9*(1-H35*$AE$5*$B$5/1000) - L35*($B$11+$B$12) - M35*(2*$B$11+$B$13) - E35*$B$15 - F35*$B$16)</f>
        <v>0.00350768422928558</v>
      </c>
      <c r="O35" s="8" t="n">
        <v>12.75</v>
      </c>
      <c r="P35" s="8" t="n">
        <f aca="false">O35*133.322</f>
        <v>1699.8555</v>
      </c>
      <c r="Q35" s="13" t="n">
        <f aca="false">$B$1*$B$2*$B$9*1000*(J35+0.25*$AD$22*$AD$22*J35*J35/N35)</f>
        <v>2213.6961736478</v>
      </c>
      <c r="R35" s="14" t="n">
        <f aca="false">P35/Q35</f>
        <v>0.767881121282748</v>
      </c>
      <c r="S35" s="14" t="n">
        <f aca="false">R35-1</f>
        <v>-0.232118878717252</v>
      </c>
      <c r="T35" s="14" t="n">
        <f aca="false">$U$31+$U$32*J35+$U$33*J35*J35+$U$34*J35*J35*J35+$U$35*J35*J35*J35*J35</f>
        <v>-0.22647478233601</v>
      </c>
      <c r="U35" s="19" t="n">
        <v>2.21382814269744E+023</v>
      </c>
      <c r="V35" s="8" t="n">
        <f aca="false">S35-T35</f>
        <v>-0.00564409638124258</v>
      </c>
      <c r="W35" s="8" t="n">
        <f aca="false">V35*V35</f>
        <v>3.18558239607556E-005</v>
      </c>
      <c r="X35" s="16" t="n">
        <f aca="false">EXP(S35+$U$32*J35+$U$33*J35*J35/2+$U$34*J35*J35*J35/3+$U$35*J35*J35*J35*J35/4)</f>
        <v>0.540248221524745</v>
      </c>
      <c r="Y35" s="16" t="n">
        <f aca="false">EXP(2*$AG$14*J35)</f>
        <v>0.786718881486793</v>
      </c>
      <c r="Z35" s="16" t="n">
        <f aca="false">X35</f>
        <v>0.540248221524745</v>
      </c>
      <c r="AA35" s="16" t="n">
        <f aca="false">Y35</f>
        <v>0.786718881486793</v>
      </c>
    </row>
    <row r="36" customFormat="false" ht="15.75" hidden="false" customHeight="true" outlineLevel="0" collapsed="false">
      <c r="D36" s="51"/>
      <c r="E36" s="7" t="n">
        <f aca="false">E35</f>
        <v>1E-007</v>
      </c>
      <c r="F36" s="7" t="n">
        <f aca="false">0.00000000000001/E36</f>
        <v>1E-007</v>
      </c>
      <c r="G36" s="8" t="n">
        <v>15.1</v>
      </c>
      <c r="H36" s="9" t="n">
        <f aca="false">G36/$AE$3</f>
        <v>0.000888235294117647</v>
      </c>
      <c r="I36" s="10" t="n">
        <f aca="false">1000000*H36</f>
        <v>888.235294117647</v>
      </c>
      <c r="J36" s="11" t="n">
        <f aca="false">H36/($B$9*(1-H36*$AE$6*$B$5/1000) - L36*($B$11+$B$12) - M36*(2*$B$11+$B$13) - E36*$B$15 - F36*$B$16)</f>
        <v>1.04046657338909E-006</v>
      </c>
      <c r="K36" s="8" t="n">
        <f aca="false">3/3</f>
        <v>1</v>
      </c>
      <c r="L36" s="12" t="n">
        <f aca="false">M36*E36/(10^-$B$19)</f>
        <v>1E-107</v>
      </c>
      <c r="M36" s="12" t="n">
        <f aca="false">(10^-$B$19)*K36/(E36+(10^-$B$19))</f>
        <v>1</v>
      </c>
      <c r="N36" s="11" t="n">
        <f aca="false">(L36+3*M36)/($B$9*(1-H36*$AE$5*$B$5/1000) - L36*($B$11+$B$12) - M36*(2*$B$11+$B$13) - E36*$B$15 - F36*$B$16)</f>
        <v>0.00351415862535389</v>
      </c>
      <c r="O36" s="8" t="n">
        <v>14.7</v>
      </c>
      <c r="P36" s="8" t="n">
        <f aca="false">O36*133.322</f>
        <v>1959.8334</v>
      </c>
      <c r="Q36" s="13" t="n">
        <f aca="false">$B$1*$B$2*$B$9*1000*(J36+0.25*$AD$22*$AD$22*J36*J36/N36)</f>
        <v>2583.7161229607</v>
      </c>
      <c r="R36" s="14" t="n">
        <f aca="false">P36/Q36</f>
        <v>0.758532790264208</v>
      </c>
      <c r="S36" s="14" t="n">
        <f aca="false">R36-1</f>
        <v>-0.241467209735792</v>
      </c>
      <c r="T36" s="14" t="n">
        <f aca="false">$U$31+$U$32*J36+$U$33*J36*J36+$U$34*J36*J36*J36+$U$35*J36*J36*J36*J36</f>
        <v>-0.241147757528415</v>
      </c>
      <c r="U36" s="19"/>
      <c r="V36" s="8" t="n">
        <f aca="false">S36-T36</f>
        <v>-0.000319452207376947</v>
      </c>
      <c r="W36" s="8" t="n">
        <f aca="false">V36*V36</f>
        <v>1.02049712798004E-007</v>
      </c>
      <c r="X36" s="16" t="n">
        <f aca="false">EXP(S36+$U$32*J36+$U$33*J36*J36/2+$U$34*J36*J36*J36/3+$U$35*J36*J36*J36*J36/4)</f>
        <v>0.516323838713769</v>
      </c>
      <c r="Y36" s="16" t="n">
        <f aca="false">EXP(2*$AG$14*J36)</f>
        <v>0.755938832904541</v>
      </c>
      <c r="Z36" s="16" t="n">
        <f aca="false">X36</f>
        <v>0.516323838713769</v>
      </c>
      <c r="AA36" s="16" t="n">
        <f aca="false">Y36</f>
        <v>0.755938832904541</v>
      </c>
    </row>
    <row r="37" customFormat="false" ht="15.75" hidden="false" customHeight="true" outlineLevel="0" collapsed="false">
      <c r="D37" s="51"/>
      <c r="E37" s="7" t="n">
        <f aca="false">E36</f>
        <v>1E-007</v>
      </c>
      <c r="F37" s="7" t="n">
        <f aca="false">0.00000000000001/E37</f>
        <v>1E-007</v>
      </c>
      <c r="G37" s="8" t="n">
        <v>17.2</v>
      </c>
      <c r="H37" s="9" t="n">
        <f aca="false">G37/$AE$3</f>
        <v>0.00101176470588235</v>
      </c>
      <c r="I37" s="10" t="n">
        <f aca="false">1000000*H37</f>
        <v>1011.76470588235</v>
      </c>
      <c r="J37" s="11" t="n">
        <f aca="false">H37/($B$9*(1-H37*$AE$6*$B$5/1000) - L37*($B$11+$B$12) - M37*(2*$B$11+$B$13) - E37*$B$15 - F37*$B$16)</f>
        <v>1.18732789612328E-006</v>
      </c>
      <c r="K37" s="8" t="n">
        <f aca="false">3/3</f>
        <v>1</v>
      </c>
      <c r="L37" s="12" t="n">
        <f aca="false">M37*E37/(10^-$B$19)</f>
        <v>1E-107</v>
      </c>
      <c r="M37" s="12" t="n">
        <f aca="false">(10^-$B$19)*K37/(E37+(10^-$B$19))</f>
        <v>1</v>
      </c>
      <c r="N37" s="11" t="n">
        <f aca="false">(L37+3*M37)/($B$9*(1-H37*$AE$5*$B$5/1000) - L37*($B$11+$B$12) - M37*(2*$B$11+$B$13) - E37*$B$15 - F37*$B$16)</f>
        <v>0.00352056527338879</v>
      </c>
      <c r="O37" s="8" t="n">
        <v>16.55</v>
      </c>
      <c r="P37" s="8" t="n">
        <f aca="false">O37*133.322</f>
        <v>2206.4791</v>
      </c>
      <c r="Q37" s="13" t="n">
        <f aca="false">$B$1*$B$2*$B$9*1000*(J37+0.25*$AD$22*$AD$22*J37*J37/N37)</f>
        <v>2950.33964825431</v>
      </c>
      <c r="R37" s="14" t="n">
        <f aca="false">P37/Q37</f>
        <v>0.747872910600499</v>
      </c>
      <c r="S37" s="14" t="n">
        <f aca="false">R37-1</f>
        <v>-0.252127089399501</v>
      </c>
      <c r="T37" s="14" t="n">
        <f aca="false">$U$31+$U$32*J37+$U$33*J37*J37+$U$34*J37*J37*J37+$U$35*J37*J37*J37*J37</f>
        <v>-0.255424240240978</v>
      </c>
      <c r="U37" s="19"/>
      <c r="V37" s="8" t="n">
        <f aca="false">S37-T37</f>
        <v>0.00329715084147703</v>
      </c>
      <c r="W37" s="8" t="n">
        <f aca="false">V37*V37</f>
        <v>1.08712036714527E-005</v>
      </c>
      <c r="X37" s="16" t="n">
        <f aca="false">EXP(S37+$U$32*J37+$U$33*J37*J37/2+$U$34*J37*J37*J37/3+$U$35*J37*J37*J37*J37/4)</f>
        <v>0.494376007487869</v>
      </c>
      <c r="Y37" s="16" t="n">
        <f aca="false">EXP(2*$AG$14*J37)</f>
        <v>0.726666450434929</v>
      </c>
      <c r="Z37" s="16" t="n">
        <f aca="false">X37</f>
        <v>0.494376007487869</v>
      </c>
      <c r="AA37" s="16" t="n">
        <f aca="false">Y37</f>
        <v>0.726666450434929</v>
      </c>
    </row>
    <row r="38" customFormat="false" ht="15.75" hidden="false" customHeight="true" outlineLevel="0" collapsed="false">
      <c r="D38" s="51"/>
      <c r="E38" s="7" t="n">
        <f aca="false">E37</f>
        <v>1E-007</v>
      </c>
      <c r="F38" s="7" t="n">
        <f aca="false">0.00000000000001/E38</f>
        <v>1E-007</v>
      </c>
      <c r="G38" s="8" t="n">
        <v>19.32</v>
      </c>
      <c r="H38" s="9" t="n">
        <f aca="false">G38/$AE$3</f>
        <v>0.00113647058823529</v>
      </c>
      <c r="I38" s="10" t="n">
        <f aca="false">1000000*H38</f>
        <v>1136.47058823529</v>
      </c>
      <c r="J38" s="11" t="n">
        <f aca="false">H38/($B$9*(1-H38*$AE$6*$B$5/1000) - L38*($B$11+$B$12) - M38*(2*$B$11+$B$13) - E38*$B$15 - F38*$B$16)</f>
        <v>1.33613205822833E-006</v>
      </c>
      <c r="K38" s="8" t="n">
        <f aca="false">3/3</f>
        <v>1</v>
      </c>
      <c r="L38" s="12" t="n">
        <f aca="false">M38*E38/(10^-$B$19)</f>
        <v>1E-107</v>
      </c>
      <c r="M38" s="12" t="n">
        <f aca="false">(10^-$B$19)*K38/(E38+(10^-$B$19))</f>
        <v>1</v>
      </c>
      <c r="N38" s="11" t="n">
        <f aca="false">(L38+3*M38)/($B$9*(1-H38*$AE$5*$B$5/1000) - L38*($B$11+$B$12) - M38*(2*$B$11+$B$13) - E38*$B$15 - F38*$B$16)</f>
        <v>0.00352705667544746</v>
      </c>
      <c r="O38" s="8" t="n">
        <v>18.3</v>
      </c>
      <c r="P38" s="8" t="n">
        <f aca="false">O38*133.322</f>
        <v>2439.7926</v>
      </c>
      <c r="Q38" s="13" t="n">
        <f aca="false">$B$1*$B$2*$B$9*1000*(J38+0.25*$AD$22*$AD$22*J38*J38/N38)</f>
        <v>3322.29300191677</v>
      </c>
      <c r="R38" s="14" t="n">
        <f aca="false">P38/Q38</f>
        <v>0.734370086742014</v>
      </c>
      <c r="S38" s="14" t="n">
        <f aca="false">R38-1</f>
        <v>-0.265629913257986</v>
      </c>
      <c r="T38" s="14" t="n">
        <f aca="false">$U$31+$U$32*J38+$U$33*J38*J38+$U$34*J38*J38*J38+$U$35*J38*J38*J38*J38</f>
        <v>-0.266223292961939</v>
      </c>
      <c r="U38" s="19"/>
      <c r="V38" s="8" t="n">
        <f aca="false">S38-T38</f>
        <v>0.000593379703952568</v>
      </c>
      <c r="W38" s="8" t="n">
        <f aca="false">V38*V38</f>
        <v>3.52099473062837E-007</v>
      </c>
      <c r="X38" s="16" t="n">
        <f aca="false">EXP(S38+$U$32*J38+$U$33*J38*J38/2+$U$34*J38*J38*J38/3+$U$35*J38*J38*J38*J38/4)</f>
        <v>0.472930600404679</v>
      </c>
      <c r="Y38" s="16" t="n">
        <f aca="false">EXP(2*$AG$14*J38)</f>
        <v>0.69816273522215</v>
      </c>
      <c r="Z38" s="16" t="n">
        <f aca="false">X38</f>
        <v>0.472930600404679</v>
      </c>
      <c r="AA38" s="16" t="n">
        <f aca="false">Y38</f>
        <v>0.69816273522215</v>
      </c>
    </row>
    <row r="39" customFormat="false" ht="15.75" hidden="false" customHeight="true" outlineLevel="0" collapsed="false">
      <c r="D39" s="51"/>
      <c r="E39" s="7" t="n">
        <f aca="false">E35</f>
        <v>1E-007</v>
      </c>
      <c r="F39" s="7" t="n">
        <f aca="false">0.00000000000001/E39</f>
        <v>1E-007</v>
      </c>
      <c r="G39" s="8" t="n">
        <v>21.33</v>
      </c>
      <c r="H39" s="9" t="n">
        <f aca="false">G39/$AE$3</f>
        <v>0.00125470588235294</v>
      </c>
      <c r="I39" s="10" t="n">
        <f aca="false">1000000*H39</f>
        <v>1254.70588235294</v>
      </c>
      <c r="J39" s="11" t="n">
        <f aca="false">H39/($B$9*(1-H39*$AE$6*$B$5/1000) - L39*($B$11+$B$12) - M39*(2*$B$11+$B$13) - E39*$B$15 - F39*$B$16)</f>
        <v>1.47772291260178E-006</v>
      </c>
      <c r="K39" s="8" t="n">
        <f aca="false">3/3</f>
        <v>1</v>
      </c>
      <c r="L39" s="12" t="n">
        <f aca="false">M39*E39/(10^-$B$19)</f>
        <v>1E-107</v>
      </c>
      <c r="M39" s="12" t="n">
        <f aca="false">(10^-$B$19)*K39/(E39+(10^-$B$19))</f>
        <v>1</v>
      </c>
      <c r="N39" s="11" t="n">
        <f aca="false">(L39+3*M39)/($B$9*(1-H39*$AE$5*$B$5/1000) - L39*($B$11+$B$12) - M39*(2*$B$11+$B$13) - E39*$B$15 - F39*$B$16)</f>
        <v>0.00353323340565827</v>
      </c>
      <c r="O39" s="8" t="n">
        <v>20.17</v>
      </c>
      <c r="P39" s="8" t="n">
        <f aca="false">O39*133.322</f>
        <v>2689.10474</v>
      </c>
      <c r="Q39" s="13" t="n">
        <f aca="false">$B$1*$B$2*$B$9*1000*(J39+0.25*$AD$22*$AD$22*J39*J39/N39)</f>
        <v>3676.66177725082</v>
      </c>
      <c r="R39" s="14" t="n">
        <f aca="false">P39/Q39</f>
        <v>0.731398454064695</v>
      </c>
      <c r="S39" s="14" t="n">
        <f aca="false">R39-1</f>
        <v>-0.268601545935305</v>
      </c>
      <c r="T39" s="14" t="n">
        <f aca="false">$U$31+$U$32*J39+$U$33*J39*J39+$U$34*J39*J39*J39+$U$35*J39*J39*J39*J39</f>
        <v>-0.267594480409598</v>
      </c>
      <c r="U39" s="54" t="n">
        <f aca="false">SUM(W31:W39)</f>
        <v>0.000179796193699939</v>
      </c>
      <c r="V39" s="8" t="n">
        <f aca="false">S39-T39</f>
        <v>-0.00100706552570684</v>
      </c>
      <c r="W39" s="8" t="n">
        <f aca="false">V39*V39</f>
        <v>1.0141809730672E-006</v>
      </c>
      <c r="X39" s="16" t="n">
        <f aca="false">EXP(S39+$U$32*J39+$U$33*J39*J39/2+$U$34*J39*J39*J39/3+$U$35*J39*J39*J39*J39/4)</f>
        <v>0.458973683214908</v>
      </c>
      <c r="Y39" s="16" t="n">
        <f aca="false">EXP(2*$AG$14*J39)</f>
        <v>0.6720794903156</v>
      </c>
      <c r="Z39" s="16" t="n">
        <f aca="false">X39</f>
        <v>0.458973683214908</v>
      </c>
      <c r="AA39" s="16" t="n">
        <f aca="false">Y39</f>
        <v>0.6720794903156</v>
      </c>
    </row>
    <row r="40" customFormat="false" ht="15.75" hidden="false" customHeight="true" outlineLevel="0" collapsed="false">
      <c r="D40" s="51" t="n">
        <v>8</v>
      </c>
      <c r="E40" s="39" t="n">
        <f aca="false">10^-D40</f>
        <v>1E-008</v>
      </c>
      <c r="F40" s="39" t="n">
        <f aca="false">0.00000000000001/E40</f>
        <v>1E-006</v>
      </c>
      <c r="G40" s="40" t="n">
        <v>4.06</v>
      </c>
      <c r="H40" s="41" t="n">
        <f aca="false">G40/$AE$3</f>
        <v>0.000238823529411765</v>
      </c>
      <c r="I40" s="42" t="n">
        <f aca="false">1000000*H40</f>
        <v>238.823529411765</v>
      </c>
      <c r="J40" s="43" t="n">
        <f aca="false">H40/($B$9*(1-H40*$AE$7*$B$5/1000) - L40*($B$11+$B$12) - M40*(2*$B$11+$B$13) - E40*$B$15 - F40*$B$16)</f>
        <v>2.51406464784083E-007</v>
      </c>
      <c r="K40" s="40" t="n">
        <v>0.333333333333333</v>
      </c>
      <c r="L40" s="44" t="n">
        <f aca="false">M40*E40/(10^-$B$19)</f>
        <v>3.33333333333333E-109</v>
      </c>
      <c r="M40" s="44" t="n">
        <f aca="false">(10^-$B$19)*K40/(E40+(10^-$B$19))</f>
        <v>0.333333333333333</v>
      </c>
      <c r="N40" s="43" t="n">
        <f aca="false">(L40+3*M40)/($B$9*(1-H40*$AE$5*$B$5/1000) - L40*($B$11+$B$12) - M40*(2*$B$11+$B$13) - E40*$B$15 - F40*$B$16)</f>
        <v>0.00105268716781513</v>
      </c>
      <c r="O40" s="40" t="n">
        <v>4.4</v>
      </c>
      <c r="P40" s="40" t="n">
        <f aca="false">O40*133.322</f>
        <v>586.6168</v>
      </c>
      <c r="Q40" s="45" t="n">
        <f aca="false">$B$1*$B$2*$B$9*1000*(J40+0.25*$AD$23*$AD$23*J40*J40/N40)</f>
        <v>623.44294289704</v>
      </c>
      <c r="R40" s="46" t="n">
        <f aca="false">P40/Q40</f>
        <v>0.940931013308267</v>
      </c>
      <c r="S40" s="46" t="n">
        <f aca="false">R40-1</f>
        <v>-0.0590689866917331</v>
      </c>
      <c r="T40" s="46" t="n">
        <f aca="false">$U$40+$U$41*J40+$U$42*J40*J40+$U$43*J40*J40*J40+$U$44*J40*J40*J40*J40</f>
        <v>-0.0591089040461433</v>
      </c>
      <c r="U40" s="55" t="n">
        <v>0</v>
      </c>
      <c r="V40" s="40" t="n">
        <f aca="false">S40-T40</f>
        <v>3.99173544101961E-005</v>
      </c>
      <c r="W40" s="40" t="n">
        <f aca="false">V40*V40</f>
        <v>1.5933951831092E-009</v>
      </c>
      <c r="X40" s="17" t="n">
        <f aca="false">EXP(S40+$U$41*J40+$U$42*J40*J40/2+$U$43*J40*J40*J40/3+$U$44*J40*J40*J40*J40/4)</f>
        <v>0.880770194871631</v>
      </c>
      <c r="Y40" s="17" t="n">
        <f aca="false">EXP(2*$AG$15*J40)</f>
        <v>0.950468086425664</v>
      </c>
      <c r="Z40" s="17" t="n">
        <f aca="false">X40</f>
        <v>0.880770194871631</v>
      </c>
      <c r="AA40" s="17" t="n">
        <f aca="false">Y40</f>
        <v>0.950468086425664</v>
      </c>
    </row>
    <row r="41" customFormat="false" ht="15.75" hidden="false" customHeight="true" outlineLevel="0" collapsed="false">
      <c r="D41" s="51"/>
      <c r="E41" s="7" t="n">
        <f aca="false">E40</f>
        <v>1E-008</v>
      </c>
      <c r="F41" s="7" t="n">
        <f aca="false">0.00000000000001/E41</f>
        <v>1E-006</v>
      </c>
      <c r="G41" s="8" t="n">
        <v>6.13</v>
      </c>
      <c r="H41" s="9" t="n">
        <f aca="false">G41/$AE$3</f>
        <v>0.000360588235294118</v>
      </c>
      <c r="I41" s="10" t="n">
        <f aca="false">1000000*H41</f>
        <v>360.588235294118</v>
      </c>
      <c r="J41" s="11" t="n">
        <f aca="false">H41/($B$9*(1-H41*$AE$7*$B$5/1000) - L41*($B$11+$B$12) - M41*(2*$B$11+$B$13) - E41*$B$15 - F41*$B$16)</f>
        <v>3.80199494967355E-007</v>
      </c>
      <c r="K41" s="8" t="n">
        <f aca="false">K40</f>
        <v>0.333333333333333</v>
      </c>
      <c r="L41" s="12" t="n">
        <f aca="false">M41*E41/(10^-$B$19)</f>
        <v>3.33333333333333E-109</v>
      </c>
      <c r="M41" s="12" t="n">
        <f aca="false">(10^-$B$19)*K41/(E41+(10^-$B$19))</f>
        <v>0.333333333333333</v>
      </c>
      <c r="N41" s="11" t="n">
        <f aca="false">(L41+3*M41)/($B$9*(1-H41*$AE$5*$B$5/1000) - L41*($B$11+$B$12) - M41*(2*$B$11+$B$13) - E41*$B$15 - F41*$B$16)</f>
        <v>0.0010543868539062</v>
      </c>
      <c r="O41" s="8" t="n">
        <v>6.5</v>
      </c>
      <c r="P41" s="8" t="n">
        <f aca="false">O41*133.322</f>
        <v>866.593</v>
      </c>
      <c r="Q41" s="13" t="n">
        <f aca="false">$B$1*$B$2*$B$9*1000*(J41+0.25*$AD$23*$AD$23*J41*J41/N41)</f>
        <v>944.435572080036</v>
      </c>
      <c r="R41" s="14" t="n">
        <f aca="false">P41/Q41</f>
        <v>0.917577678794336</v>
      </c>
      <c r="S41" s="14" t="n">
        <f aca="false">R41-1</f>
        <v>-0.0824223212056644</v>
      </c>
      <c r="T41" s="14" t="n">
        <f aca="false">$U$40+$U$41*J41+$U$42*J41*J41+$U$43*J41*J41*J41+$U$44*J41*J41*J41*J41</f>
        <v>-0.0789720763831471</v>
      </c>
      <c r="U41" s="19" t="n">
        <v>-310148.438792162</v>
      </c>
      <c r="V41" s="8" t="n">
        <f aca="false">S41-T41</f>
        <v>-0.00345024482251732</v>
      </c>
      <c r="W41" s="8" t="n">
        <f aca="false">V41*V41</f>
        <v>1.19041893353076E-005</v>
      </c>
      <c r="X41" s="16" t="n">
        <f aca="false">EXP(S41+$U$41*J41+$U$42*J41*J41/2+$U$43*J41*J41*J41/3+$U$44*J41*J41*J41*J41/4)</f>
        <v>0.836309027390733</v>
      </c>
      <c r="Y41" s="16" t="n">
        <f aca="false">EXP(2*$AG$15*J41)</f>
        <v>0.92605154403005</v>
      </c>
      <c r="Z41" s="16" t="n">
        <f aca="false">X41</f>
        <v>0.836309027390733</v>
      </c>
      <c r="AA41" s="16" t="n">
        <f aca="false">Y41</f>
        <v>0.92605154403005</v>
      </c>
    </row>
    <row r="42" customFormat="false" ht="15.75" hidden="false" customHeight="true" outlineLevel="0" collapsed="false">
      <c r="D42" s="51"/>
      <c r="E42" s="7" t="n">
        <f aca="false">E41</f>
        <v>1E-008</v>
      </c>
      <c r="F42" s="7" t="n">
        <f aca="false">0.00000000000001/E42</f>
        <v>1E-006</v>
      </c>
      <c r="G42" s="8" t="n">
        <v>8.18</v>
      </c>
      <c r="H42" s="9" t="n">
        <f aca="false">G42/$AE$3</f>
        <v>0.000481176470588235</v>
      </c>
      <c r="I42" s="10" t="n">
        <f aca="false">1000000*H42</f>
        <v>481.176470588235</v>
      </c>
      <c r="J42" s="11" t="n">
        <f aca="false">H42/($B$9*(1-H42*$AE$7*$B$5/1000) - L42*($B$11+$B$12) - M42*(2*$B$11+$B$13) - E42*$B$15 - F42*$B$16)</f>
        <v>5.08158699070484E-007</v>
      </c>
      <c r="K42" s="8" t="n">
        <f aca="false">K41</f>
        <v>0.333333333333333</v>
      </c>
      <c r="L42" s="12" t="n">
        <f aca="false">M42*E42/(10^-$B$19)</f>
        <v>3.33333333333333E-109</v>
      </c>
      <c r="M42" s="12" t="n">
        <f aca="false">(10^-$B$19)*K42/(E42+(10^-$B$19))</f>
        <v>0.333333333333333</v>
      </c>
      <c r="N42" s="11" t="n">
        <f aca="false">(L42+3*M42)/($B$9*(1-H42*$AE$5*$B$5/1000) - L42*($B$11+$B$12) - M42*(2*$B$11+$B$13) - E42*$B$15 - F42*$B$16)</f>
        <v>0.00105607553596555</v>
      </c>
      <c r="O42" s="8" t="n">
        <v>8.65</v>
      </c>
      <c r="P42" s="8" t="n">
        <f aca="false">O42*133.322</f>
        <v>1153.2353</v>
      </c>
      <c r="Q42" s="13" t="n">
        <f aca="false">$B$1*$B$2*$B$9*1000*(J42+0.25*$AD$23*$AD$23*J42*J42/N42)</f>
        <v>1264.42273680112</v>
      </c>
      <c r="R42" s="14" t="n">
        <f aca="false">P42/Q42</f>
        <v>0.912064665111597</v>
      </c>
      <c r="S42" s="14" t="n">
        <f aca="false">R42-1</f>
        <v>-0.0879353348884032</v>
      </c>
      <c r="T42" s="14" t="n">
        <f aca="false">$U$40+$U$41*J42+$U$42*J42*J42+$U$43*J42*J42*J42+$U$44*J42*J42*J42*J42</f>
        <v>-0.0947946108724082</v>
      </c>
      <c r="U42" s="19" t="n">
        <v>362871554198.71</v>
      </c>
      <c r="V42" s="8" t="n">
        <f aca="false">S42-T42</f>
        <v>0.00685927598400499</v>
      </c>
      <c r="W42" s="8" t="n">
        <f aca="false">V42*V42</f>
        <v>4.70496670247476E-005</v>
      </c>
      <c r="X42" s="16" t="n">
        <f aca="false">EXP(S42+$U$41*J42+$U$42*J42*J42/2+$U$43*J42*J42*J42/3+$U$44*J42*J42*J42*J42/4)</f>
        <v>0.811041861697335</v>
      </c>
      <c r="Y42" s="16" t="n">
        <f aca="false">EXP(2*$AG$15*J42)</f>
        <v>0.902414270424101</v>
      </c>
      <c r="Z42" s="16" t="n">
        <f aca="false">X42</f>
        <v>0.811041861697335</v>
      </c>
      <c r="AA42" s="16" t="n">
        <f aca="false">Y42</f>
        <v>0.902414270424101</v>
      </c>
    </row>
    <row r="43" customFormat="false" ht="15.75" hidden="false" customHeight="true" outlineLevel="0" collapsed="false">
      <c r="D43" s="51"/>
      <c r="E43" s="7" t="n">
        <f aca="false">E42</f>
        <v>1E-008</v>
      </c>
      <c r="F43" s="7" t="n">
        <f aca="false">0.00000000000001/E43</f>
        <v>1E-006</v>
      </c>
      <c r="G43" s="8" t="n">
        <v>10.42</v>
      </c>
      <c r="H43" s="9" t="n">
        <f aca="false">G43/$AE$3</f>
        <v>0.000612941176470588</v>
      </c>
      <c r="I43" s="10" t="n">
        <f aca="false">1000000*H43</f>
        <v>612.941176470588</v>
      </c>
      <c r="J43" s="11" t="n">
        <f aca="false">H43/($B$9*(1-H43*$AE$7*$B$5/1000) - L43*($B$11+$B$12) - M43*(2*$B$11+$B$13) - E43*$B$15 - F43*$B$16)</f>
        <v>6.48446974153652E-007</v>
      </c>
      <c r="K43" s="8" t="n">
        <f aca="false">K42</f>
        <v>0.333333333333333</v>
      </c>
      <c r="L43" s="12" t="n">
        <f aca="false">M43*E43/(10^-$B$19)</f>
        <v>3.33333333333333E-109</v>
      </c>
      <c r="M43" s="12" t="n">
        <f aca="false">(10^-$B$19)*K43/(E43+(10^-$B$19))</f>
        <v>0.333333333333333</v>
      </c>
      <c r="N43" s="11" t="n">
        <f aca="false">(L43+3*M43)/($B$9*(1-H43*$AE$5*$B$5/1000) - L43*($B$11+$B$12) - M43*(2*$B$11+$B$13) - E43*$B$15 - F43*$B$16)</f>
        <v>0.00105792692520269</v>
      </c>
      <c r="O43" s="8" t="n">
        <v>10.75</v>
      </c>
      <c r="P43" s="8" t="n">
        <f aca="false">O43*133.322</f>
        <v>1433.2115</v>
      </c>
      <c r="Q43" s="13" t="n">
        <f aca="false">$B$1*$B$2*$B$9*1000*(J43+0.25*$AD$23*$AD$23*J43*J43/N43)</f>
        <v>1616.46378445778</v>
      </c>
      <c r="R43" s="14" t="n">
        <f aca="false">P43/Q43</f>
        <v>0.886633844680132</v>
      </c>
      <c r="S43" s="14" t="n">
        <f aca="false">R43-1</f>
        <v>-0.113366155319868</v>
      </c>
      <c r="T43" s="14" t="n">
        <f aca="false">$U$40+$U$41*J43+$U$42*J43*J43+$U$43*J43*J43*J43+$U$44*J43*J43*J43*J43</f>
        <v>-0.109631412376022</v>
      </c>
      <c r="U43" s="19" t="n">
        <v>-2.76526291985928E+017</v>
      </c>
      <c r="V43" s="8" t="n">
        <f aca="false">S43-T43</f>
        <v>-0.00373474294384614</v>
      </c>
      <c r="W43" s="8" t="n">
        <f aca="false">V43*V43</f>
        <v>1.39483048566085E-005</v>
      </c>
      <c r="X43" s="16" t="n">
        <f aca="false">EXP(S43+$U$41*J43+$U$42*J43*J43/2+$U$43*J43*J43*J43/3+$U$44*J43*J43*J43*J43/4)</f>
        <v>0.771245981317952</v>
      </c>
      <c r="Y43" s="16" t="n">
        <f aca="false">EXP(2*$AG$15*J43)</f>
        <v>0.877192272274766</v>
      </c>
      <c r="Z43" s="16" t="n">
        <f aca="false">X43</f>
        <v>0.771245981317952</v>
      </c>
      <c r="AA43" s="16" t="n">
        <f aca="false">Y43</f>
        <v>0.877192272274766</v>
      </c>
    </row>
    <row r="44" customFormat="false" ht="15.75" hidden="false" customHeight="true" outlineLevel="0" collapsed="false">
      <c r="D44" s="51"/>
      <c r="E44" s="7" t="n">
        <f aca="false">E43</f>
        <v>1E-008</v>
      </c>
      <c r="F44" s="7" t="n">
        <f aca="false">0.00000000000001/E44</f>
        <v>1E-006</v>
      </c>
      <c r="G44" s="8" t="n">
        <v>12.26</v>
      </c>
      <c r="H44" s="9" t="n">
        <f aca="false">G44/$AE$3</f>
        <v>0.000721176470588235</v>
      </c>
      <c r="I44" s="10" t="n">
        <f aca="false">1000000*H44</f>
        <v>721.176470588235</v>
      </c>
      <c r="J44" s="11" t="n">
        <f aca="false">H44/($B$9*(1-H44*$AE$7*$B$5/1000) - L44*($B$11+$B$12) - M44*(2*$B$11+$B$13) - E44*$B$15 - F44*$B$16)</f>
        <v>7.640522668209E-007</v>
      </c>
      <c r="K44" s="8" t="n">
        <f aca="false">K43</f>
        <v>0.333333333333333</v>
      </c>
      <c r="L44" s="12" t="n">
        <f aca="false">M44*E44/(10^-$B$19)</f>
        <v>3.33333333333333E-109</v>
      </c>
      <c r="M44" s="12" t="n">
        <f aca="false">(10^-$B$19)*K44/(E44+(10^-$B$19))</f>
        <v>0.333333333333333</v>
      </c>
      <c r="N44" s="11" t="n">
        <f aca="false">(L44+3*M44)/($B$9*(1-H44*$AE$5*$B$5/1000) - L44*($B$11+$B$12) - M44*(2*$B$11+$B$13) - E44*$B$15 - F44*$B$16)</f>
        <v>0.00105945257226389</v>
      </c>
      <c r="O44" s="8" t="n">
        <v>12.55</v>
      </c>
      <c r="P44" s="8" t="n">
        <f aca="false">O44*133.322</f>
        <v>1673.1911</v>
      </c>
      <c r="Q44" s="13" t="n">
        <f aca="false">$B$1*$B$2*$B$9*1000*(J44+0.25*$AD$23*$AD$23*J44*J44/N44)</f>
        <v>1907.52157314939</v>
      </c>
      <c r="R44" s="14" t="n">
        <f aca="false">P44/Q44</f>
        <v>0.877154483363193</v>
      </c>
      <c r="S44" s="14" t="n">
        <f aca="false">R44-1</f>
        <v>-0.122845516636807</v>
      </c>
      <c r="T44" s="14" t="n">
        <f aca="false">$U$40+$U$41*J44+$U$42*J44*J44+$U$43*J44*J44*J44+$U$44*J44*J44*J44*J44</f>
        <v>-0.120911359961899</v>
      </c>
      <c r="U44" s="19" t="n">
        <v>8.08789503762756E+022</v>
      </c>
      <c r="V44" s="8" t="n">
        <f aca="false">S44-T44</f>
        <v>-0.00193415667490771</v>
      </c>
      <c r="W44" s="8" t="n">
        <f aca="false">V44*V44</f>
        <v>3.74096204309003E-006</v>
      </c>
      <c r="X44" s="16" t="n">
        <f aca="false">EXP(S44+$U$41*J44+$U$42*J44*J44/2+$U$43*J44*J44*J44/3+$U$44*J44*J44*J44*J44/4)</f>
        <v>0.749671604288136</v>
      </c>
      <c r="Y44" s="16" t="n">
        <f aca="false">EXP(2*$AG$15*J44)</f>
        <v>0.856938634009265</v>
      </c>
      <c r="Z44" s="16" t="n">
        <f aca="false">X44</f>
        <v>0.749671604288136</v>
      </c>
      <c r="AA44" s="16" t="n">
        <f aca="false">Y44</f>
        <v>0.856938634009265</v>
      </c>
    </row>
    <row r="45" customFormat="false" ht="15.75" hidden="false" customHeight="true" outlineLevel="0" collapsed="false">
      <c r="D45" s="51"/>
      <c r="E45" s="7" t="n">
        <f aca="false">E44</f>
        <v>1E-008</v>
      </c>
      <c r="F45" s="7" t="n">
        <f aca="false">0.00000000000001/E45</f>
        <v>1E-006</v>
      </c>
      <c r="G45" s="8" t="n">
        <v>14.26</v>
      </c>
      <c r="H45" s="9" t="n">
        <f aca="false">G45/$AE$3</f>
        <v>0.000838823529411765</v>
      </c>
      <c r="I45" s="10" t="n">
        <f aca="false">1000000*H45</f>
        <v>838.823529411765</v>
      </c>
      <c r="J45" s="11" t="n">
        <f aca="false">H45/($B$9*(1-H45*$AE$7*$B$5/1000) - L45*($B$11+$B$12) - M45*(2*$B$11+$B$13) - E45*$B$15 - F45*$B$16)</f>
        <v>8.90088970103986E-007</v>
      </c>
      <c r="K45" s="8" t="n">
        <f aca="false">K44</f>
        <v>0.333333333333333</v>
      </c>
      <c r="L45" s="12" t="n">
        <f aca="false">M45*E45/(10^-$B$19)</f>
        <v>3.33333333333333E-109</v>
      </c>
      <c r="M45" s="12" t="n">
        <f aca="false">(10^-$B$19)*K45/(E45+(10^-$B$19))</f>
        <v>0.333333333333333</v>
      </c>
      <c r="N45" s="11" t="n">
        <f aca="false">(L45+3*M45)/($B$9*(1-H45*$AE$5*$B$5/1000) - L45*($B$11+$B$12) - M45*(2*$B$11+$B$13) - E45*$B$15 - F45*$B$16)</f>
        <v>0.00106111588301317</v>
      </c>
      <c r="O45" s="8" t="n">
        <v>14.55</v>
      </c>
      <c r="P45" s="8" t="n">
        <f aca="false">O45*133.322</f>
        <v>1939.8351</v>
      </c>
      <c r="Q45" s="13" t="n">
        <f aca="false">$B$1*$B$2*$B$9*1000*(J45+0.25*$AD$23*$AD$23*J45*J45/N45)</f>
        <v>2225.82243536135</v>
      </c>
      <c r="R45" s="14" t="n">
        <f aca="false">P45/Q45</f>
        <v>0.871513858959321</v>
      </c>
      <c r="S45" s="14" t="n">
        <f aca="false">R45-1</f>
        <v>-0.128486141040679</v>
      </c>
      <c r="T45" s="14" t="n">
        <f aca="false">$U$40+$U$41*J45+$U$42*J45*J45+$U$43*J45*J45*J45+$U$44*J45*J45*J45*J45</f>
        <v>-0.132807048888666</v>
      </c>
      <c r="U45" s="19"/>
      <c r="V45" s="8" t="n">
        <f aca="false">S45-T45</f>
        <v>0.00432090784798708</v>
      </c>
      <c r="W45" s="8" t="n">
        <f aca="false">V45*V45</f>
        <v>1.86702446307964E-005</v>
      </c>
      <c r="X45" s="16" t="n">
        <f aca="false">EXP(S45+$U$41*J45+$U$42*J45*J45/2+$U$43*J45*J45*J45/3+$U$44*J45*J45*J45*J45/4)</f>
        <v>0.731168929386602</v>
      </c>
      <c r="Y45" s="16" t="n">
        <f aca="false">EXP(2*$AG$15*J45)</f>
        <v>0.835389915670103</v>
      </c>
      <c r="Z45" s="16" t="n">
        <f aca="false">X45</f>
        <v>0.731168929386602</v>
      </c>
      <c r="AA45" s="16" t="n">
        <f aca="false">Y45</f>
        <v>0.835389915670103</v>
      </c>
    </row>
    <row r="46" customFormat="false" ht="15.75" hidden="false" customHeight="true" outlineLevel="0" collapsed="false">
      <c r="D46" s="51"/>
      <c r="E46" s="7" t="n">
        <f aca="false">E45</f>
        <v>1E-008</v>
      </c>
      <c r="F46" s="7" t="n">
        <f aca="false">0.00000000000001/E46</f>
        <v>1E-006</v>
      </c>
      <c r="G46" s="8" t="n">
        <v>16.31</v>
      </c>
      <c r="H46" s="9" t="n">
        <f aca="false">G46/$AE$3</f>
        <v>0.000959411764705882</v>
      </c>
      <c r="I46" s="10" t="n">
        <f aca="false">1000000*H46</f>
        <v>959.411764705882</v>
      </c>
      <c r="J46" s="11" t="n">
        <f aca="false">H46/($B$9*(1-H46*$AE$7*$B$5/1000) - L46*($B$11+$B$12) - M46*(2*$B$11+$B$13) - E46*$B$15 - F46*$B$16)</f>
        <v>1.01968796534947E-006</v>
      </c>
      <c r="K46" s="8" t="n">
        <f aca="false">K45</f>
        <v>0.333333333333333</v>
      </c>
      <c r="L46" s="12" t="n">
        <f aca="false">M46*E46/(10^-$B$19)</f>
        <v>3.33333333333333E-109</v>
      </c>
      <c r="M46" s="12" t="n">
        <f aca="false">(10^-$B$19)*K46/(E46+(10^-$B$19))</f>
        <v>0.333333333333333</v>
      </c>
      <c r="N46" s="11" t="n">
        <f aca="false">(L46+3*M46)/($B$9*(1-H46*$AE$5*$B$5/1000) - L46*($B$11+$B$12) - M46*(2*$B$11+$B$13) - E46*$B$15 - F46*$B$16)</f>
        <v>0.00106282620545315</v>
      </c>
      <c r="O46" s="8" t="n">
        <v>16.3</v>
      </c>
      <c r="P46" s="8" t="n">
        <f aca="false">O46*133.322</f>
        <v>2173.1486</v>
      </c>
      <c r="Q46" s="13" t="n">
        <f aca="false">$B$1*$B$2*$B$9*1000*(J46+0.25*$AD$23*$AD$23*J46*J46/N46)</f>
        <v>2554.18093606667</v>
      </c>
      <c r="R46" s="14" t="n">
        <f aca="false">P46/Q46</f>
        <v>0.850820147200125</v>
      </c>
      <c r="S46" s="14" t="n">
        <f aca="false">R46-1</f>
        <v>-0.149179852799875</v>
      </c>
      <c r="T46" s="14" t="n">
        <f aca="false">$U$40+$U$41*J46+$U$42*J46*J46+$U$43*J46*J46*J46+$U$44*J46*J46*J46*J46</f>
        <v>-0.144697797651114</v>
      </c>
      <c r="U46" s="19"/>
      <c r="V46" s="8" t="n">
        <f aca="false">S46-T46</f>
        <v>-0.00448205514876138</v>
      </c>
      <c r="W46" s="8" t="n">
        <f aca="false">V46*V46</f>
        <v>2.00888183565384E-005</v>
      </c>
      <c r="X46" s="16" t="n">
        <f aca="false">EXP(S46+$U$41*J46+$U$42*J46*J46/2+$U$43*J46*J46*J46/3+$U$44*J46*J46*J46*J46/4)</f>
        <v>0.702821724644987</v>
      </c>
      <c r="Y46" s="16" t="n">
        <f aca="false">EXP(2*$AG$15*J46)</f>
        <v>0.813797068243074</v>
      </c>
      <c r="Z46" s="16" t="n">
        <f aca="false">X46</f>
        <v>0.702821724644987</v>
      </c>
      <c r="AA46" s="16" t="n">
        <f aca="false">Y46</f>
        <v>0.813797068243074</v>
      </c>
    </row>
    <row r="47" customFormat="false" ht="15.75" hidden="false" customHeight="true" outlineLevel="0" collapsed="false">
      <c r="D47" s="51"/>
      <c r="E47" s="7" t="n">
        <f aca="false">E46</f>
        <v>1E-008</v>
      </c>
      <c r="F47" s="7" t="n">
        <f aca="false">0.00000000000001/E47</f>
        <v>1E-006</v>
      </c>
      <c r="G47" s="8" t="n">
        <v>18.38</v>
      </c>
      <c r="H47" s="9" t="n">
        <f aca="false">G47/$AE$3</f>
        <v>0.00108117647058824</v>
      </c>
      <c r="I47" s="10" t="n">
        <f aca="false">1000000*H47</f>
        <v>1081.17647058824</v>
      </c>
      <c r="J47" s="11" t="n">
        <f aca="false">H47/($B$9*(1-H47*$AE$7*$B$5/1000) - L47*($B$11+$B$12) - M47*(2*$B$11+$B$13) - E47*$B$15 - F47*$B$16)</f>
        <v>1.15097594501573E-006</v>
      </c>
      <c r="K47" s="8" t="n">
        <f aca="false">K46</f>
        <v>0.333333333333333</v>
      </c>
      <c r="L47" s="12" t="n">
        <f aca="false">M47*E47/(10^-$B$19)</f>
        <v>3.33333333333333E-109</v>
      </c>
      <c r="M47" s="12" t="n">
        <f aca="false">(10^-$B$19)*K47/(E47+(10^-$B$19))</f>
        <v>0.333333333333333</v>
      </c>
      <c r="N47" s="11" t="n">
        <f aca="false">(L47+3*M47)/($B$9*(1-H47*$AE$5*$B$5/1000) - L47*($B$11+$B$12) - M47*(2*$B$11+$B$13) - E47*$B$15 - F47*$B$16)</f>
        <v>0.00106455881747919</v>
      </c>
      <c r="O47" s="8" t="n">
        <v>18.35</v>
      </c>
      <c r="P47" s="8" t="n">
        <f aca="false">O47*133.322</f>
        <v>2446.4587</v>
      </c>
      <c r="Q47" s="13" t="n">
        <f aca="false">$B$1*$B$2*$B$9*1000*(J47+0.25*$AD$23*$AD$23*J47*J47/N47)</f>
        <v>2887.91059001239</v>
      </c>
      <c r="R47" s="14" t="n">
        <f aca="false">P47/Q47</f>
        <v>0.847137964887446</v>
      </c>
      <c r="S47" s="14" t="n">
        <f aca="false">R47-1</f>
        <v>-0.152862035112554</v>
      </c>
      <c r="T47" s="14" t="n">
        <f aca="false">$U$40+$U$41*J47+$U$42*J47*J47+$U$43*J47*J47*J47+$U$44*J47*J47*J47*J47</f>
        <v>-0.155955855656426</v>
      </c>
      <c r="U47" s="19"/>
      <c r="V47" s="8" t="n">
        <f aca="false">S47-T47</f>
        <v>0.00309382054387222</v>
      </c>
      <c r="W47" s="8" t="n">
        <f aca="false">V47*V47</f>
        <v>9.57172555768581E-006</v>
      </c>
      <c r="X47" s="16" t="n">
        <f aca="false">EXP(S47+$U$41*J47+$U$42*J47*J47/2+$U$43*J47*J47*J47/3+$U$44*J47*J47*J47*J47/4)</f>
        <v>0.687606159661717</v>
      </c>
      <c r="Y47" s="16" t="n">
        <f aca="false">EXP(2*$AG$15*J47)</f>
        <v>0.792491831940042</v>
      </c>
      <c r="Z47" s="16" t="n">
        <f aca="false">X47</f>
        <v>0.687606159661717</v>
      </c>
      <c r="AA47" s="16" t="n">
        <f aca="false">Y47</f>
        <v>0.792491831940042</v>
      </c>
    </row>
    <row r="48" customFormat="false" ht="15.75" hidden="false" customHeight="true" outlineLevel="0" collapsed="false">
      <c r="D48" s="51"/>
      <c r="E48" s="52" t="n">
        <f aca="false">E44</f>
        <v>1E-008</v>
      </c>
      <c r="F48" s="52" t="n">
        <f aca="false">0.00000000000001/E48</f>
        <v>1E-006</v>
      </c>
      <c r="G48" s="26" t="n">
        <v>20.44</v>
      </c>
      <c r="H48" s="27" t="n">
        <f aca="false">G48/$AE$3</f>
        <v>0.00120235294117647</v>
      </c>
      <c r="I48" s="53" t="n">
        <f aca="false">1000000*H48</f>
        <v>1202.35294117647</v>
      </c>
      <c r="J48" s="29" t="n">
        <f aca="false">H48/($B$9*(1-H48*$AE$7*$B$5/1000) - L48*($B$11+$B$12) - M48*(2*$B$11+$B$13) - E48*$B$15 - F48*$B$16)</f>
        <v>1.28205532648635E-006</v>
      </c>
      <c r="K48" s="26" t="n">
        <f aca="false">K47</f>
        <v>0.333333333333333</v>
      </c>
      <c r="L48" s="30" t="n">
        <f aca="false">M48*E48/(10^-$B$19)</f>
        <v>3.33333333333333E-109</v>
      </c>
      <c r="M48" s="30" t="n">
        <f aca="false">(10^-$B$19)*K48/(E48+(10^-$B$19))</f>
        <v>0.333333333333333</v>
      </c>
      <c r="N48" s="29" t="n">
        <f aca="false">(L48+3*M48)/($B$9*(1-H48*$AE$5*$B$5/1000) - L48*($B$11+$B$12) - M48*(2*$B$11+$B$13) - E48*$B$15 - F48*$B$16)</f>
        <v>0.00106628867662759</v>
      </c>
      <c r="O48" s="26" t="n">
        <v>20.15</v>
      </c>
      <c r="P48" s="26" t="n">
        <f aca="false">O48*133.322</f>
        <v>2686.4383</v>
      </c>
      <c r="Q48" s="32" t="n">
        <f aca="false">$B$1*$B$2*$B$9*1000*(J48+0.25*$AD$23*$AD$23*J48*J48/N48)</f>
        <v>3222.20098469521</v>
      </c>
      <c r="R48" s="34" t="n">
        <f aca="false">P48/Q48</f>
        <v>0.83372772609779</v>
      </c>
      <c r="S48" s="34" t="n">
        <f aca="false">R48-1</f>
        <v>-0.16627227390221</v>
      </c>
      <c r="T48" s="34" t="n">
        <f aca="false">$U$40+$U$41*J48+$U$42*J48*J48+$U$43*J48*J48*J48+$U$44*J48*J48*J48*J48</f>
        <v>-0.165397987846351</v>
      </c>
      <c r="U48" s="35" t="n">
        <f aca="false">SUM(W40:W48)</f>
        <v>0.000125739881307426</v>
      </c>
      <c r="V48" s="26" t="n">
        <f aca="false">S48-T48</f>
        <v>-0.00087428605585857</v>
      </c>
      <c r="W48" s="26" t="n">
        <f aca="false">V48*V48</f>
        <v>7.64376107468734E-007</v>
      </c>
      <c r="X48" s="37" t="n">
        <f aca="false">EXP(S48+$U$41*J48+$U$42*J48*J48/2+$U$43*J48*J48*J48/3+$U$44*J48*J48*J48*J48/4)</f>
        <v>0.666782007972182</v>
      </c>
      <c r="Y48" s="37" t="n">
        <f aca="false">EXP(2*$AG$15*J48)</f>
        <v>0.771776897656612</v>
      </c>
      <c r="Z48" s="37" t="n">
        <f aca="false">X48</f>
        <v>0.666782007972182</v>
      </c>
      <c r="AA48" s="37" t="n">
        <f aca="false">Y48</f>
        <v>0.771776897656612</v>
      </c>
    </row>
    <row r="49" customFormat="false" ht="15.75" hidden="false" customHeight="true" outlineLevel="0" collapsed="false">
      <c r="D49" s="51" t="n">
        <v>8</v>
      </c>
      <c r="E49" s="39" t="n">
        <f aca="false">10^-D49</f>
        <v>1E-008</v>
      </c>
      <c r="F49" s="39" t="n">
        <f aca="false">0.00000000000001/E49</f>
        <v>1E-006</v>
      </c>
      <c r="G49" s="40" t="n">
        <v>4.32</v>
      </c>
      <c r="H49" s="41" t="n">
        <f aca="false">G49/$AE$3</f>
        <v>0.000254117647058824</v>
      </c>
      <c r="I49" s="42" t="n">
        <f aca="false">1000000*H49</f>
        <v>254.117647058824</v>
      </c>
      <c r="J49" s="56" t="n">
        <f aca="false">H49/($B$9*(1-H49*$AE$8*$B$5/1000) - L49*($B$11+$B$12) - M49*(2*$B$11+$B$13) - E49*$B$15 - F49*$B$16)</f>
        <v>2.94914955401571E-007</v>
      </c>
      <c r="K49" s="40" t="n">
        <v>1</v>
      </c>
      <c r="L49" s="44" t="n">
        <f aca="false">M49*E49/(10^-$B$19)</f>
        <v>1E-108</v>
      </c>
      <c r="M49" s="44" t="n">
        <f aca="false">(10^-$B$19)*K49/(E49+(10^-$B$19))</f>
        <v>1</v>
      </c>
      <c r="N49" s="57" t="n">
        <f aca="false">(L49+3*M49)/($B$9*(1-H49*$AE$5*$B$5/1000) - L49*($B$11+$B$12) - M49*(2*$B$11+$B$13) - E49*$B$15 - F49*$B$16)</f>
        <v>0.00348163489015744</v>
      </c>
      <c r="O49" s="40" t="n">
        <v>4.6</v>
      </c>
      <c r="P49" s="40" t="n">
        <f aca="false">O49*133.322</f>
        <v>613.2812</v>
      </c>
      <c r="Q49" s="45" t="n">
        <f aca="false">$B$1*$B$2*$B$9*1000*(J49+0.25*$AD$24*$AD$24*J49*J49/N49)</f>
        <v>729.756491863927</v>
      </c>
      <c r="R49" s="46" t="n">
        <f aca="false">P49/Q49</f>
        <v>0.840391564634898</v>
      </c>
      <c r="S49" s="46" t="n">
        <f aca="false">R49-1</f>
        <v>-0.159608435365102</v>
      </c>
      <c r="T49" s="46" t="n">
        <f aca="false">$U$49+$U$50*J49+$U$51*J49*J49+$U$52*J49*J49*J49+$U$53*J49*J49*J49*J49</f>
        <v>-0.156938682586194</v>
      </c>
      <c r="U49" s="55" t="n">
        <v>0</v>
      </c>
      <c r="V49" s="40" t="n">
        <f aca="false">S49-T49</f>
        <v>-0.0026697527789083</v>
      </c>
      <c r="W49" s="58" t="n">
        <f aca="false">V49*V49</f>
        <v>7.12757990048857E-006</v>
      </c>
      <c r="X49" s="17" t="n">
        <f aca="false">EXP(S49+$U$50*J49+$U$51*J49*J49/2+$U$52*J49*J49*J49/3+$U$53*J49*J49*J49*J49/4)</f>
        <v>0.69424870982537</v>
      </c>
      <c r="Y49" s="17" t="n">
        <f aca="false">EXP(2*$AG$16*J49)</f>
        <v>0.92015305921496</v>
      </c>
      <c r="Z49" s="17" t="n">
        <f aca="false">X49</f>
        <v>0.69424870982537</v>
      </c>
      <c r="AA49" s="17" t="n">
        <f aca="false">Y49</f>
        <v>0.92015305921496</v>
      </c>
    </row>
    <row r="50" customFormat="false" ht="15.75" hidden="false" customHeight="true" outlineLevel="0" collapsed="false">
      <c r="D50" s="51"/>
      <c r="E50" s="7" t="n">
        <f aca="false">E49</f>
        <v>1E-008</v>
      </c>
      <c r="F50" s="7" t="n">
        <f aca="false">0.00000000000001/E50</f>
        <v>1E-006</v>
      </c>
      <c r="G50" s="8" t="n">
        <v>6.54</v>
      </c>
      <c r="H50" s="9" t="n">
        <f aca="false">G50/$AE$3</f>
        <v>0.000384705882352941</v>
      </c>
      <c r="I50" s="10" t="n">
        <f aca="false">1000000*H50</f>
        <v>384.705882352941</v>
      </c>
      <c r="J50" s="59" t="n">
        <f aca="false">H50/($B$9*(1-H50*$AE$8*$B$5/1000) - L50*($B$11+$B$12) - M50*(2*$B$11+$B$13) - E50*$B$15 - F50*$B$16)</f>
        <v>4.47321050625333E-007</v>
      </c>
      <c r="K50" s="8" t="n">
        <v>1</v>
      </c>
      <c r="L50" s="12" t="n">
        <f aca="false">M50*E50/(10^-$B$19)</f>
        <v>1E-108</v>
      </c>
      <c r="M50" s="12" t="n">
        <f aca="false">(10^-$B$19)*K50/(E50+(10^-$B$19))</f>
        <v>1</v>
      </c>
      <c r="N50" s="60" t="n">
        <f aca="false">(L50+3*M50)/($B$9*(1-H50*$AE$5*$B$5/1000) - L50*($B$11+$B$12) - M50*(2*$B$11+$B$13) - E50*$B$15 - F50*$B$16)</f>
        <v>0.00348828342230765</v>
      </c>
      <c r="O50" s="8" t="n">
        <v>6.8</v>
      </c>
      <c r="P50" s="8" t="n">
        <f aca="false">O50*133.322</f>
        <v>906.5896</v>
      </c>
      <c r="Q50" s="13" t="n">
        <f aca="false">$B$1*$B$2*$B$9*1000*(J50+0.25*$AD$24*$AD$24*J50*J50/N50)</f>
        <v>1107.55666544994</v>
      </c>
      <c r="R50" s="14" t="n">
        <f aca="false">P50/Q50</f>
        <v>0.818549179722288</v>
      </c>
      <c r="S50" s="14" t="n">
        <f aca="false">R50-1</f>
        <v>-0.181450820277712</v>
      </c>
      <c r="T50" s="14" t="n">
        <f aca="false">$U$49+$U$50*J50+$U$51*J50*J50+$U$52*J50*J50*J50+$U$53*J50*J50*J50*J50</f>
        <v>-0.185345311332991</v>
      </c>
      <c r="U50" s="19" t="n">
        <v>-892418.465740095</v>
      </c>
      <c r="V50" s="8" t="n">
        <f aca="false">S50-T50</f>
        <v>0.00389449105527875</v>
      </c>
      <c r="W50" s="61" t="n">
        <f aca="false">V50*V50</f>
        <v>1.51670605796462E-005</v>
      </c>
      <c r="X50" s="16" t="n">
        <f aca="false">EXP(S50+$U$50*J50+$U$51*J50*J50/2+$U$52*J50*J50*J50/3+$U$53*J50*J50*J50*J50/4)</f>
        <v>0.632307307955516</v>
      </c>
      <c r="Y50" s="16" t="n">
        <f aca="false">EXP(2*$AG$16*J50)</f>
        <v>0.881421602632944</v>
      </c>
      <c r="Z50" s="16" t="n">
        <f aca="false">X50</f>
        <v>0.632307307955516</v>
      </c>
      <c r="AA50" s="16" t="n">
        <f aca="false">Y50</f>
        <v>0.881421602632944</v>
      </c>
    </row>
    <row r="51" customFormat="false" ht="15.75" hidden="false" customHeight="true" outlineLevel="0" collapsed="false">
      <c r="D51" s="51"/>
      <c r="E51" s="7" t="n">
        <f aca="false">E50</f>
        <v>1E-008</v>
      </c>
      <c r="F51" s="7" t="n">
        <f aca="false">0.00000000000001/E51</f>
        <v>1E-006</v>
      </c>
      <c r="G51" s="8" t="n">
        <v>8.88</v>
      </c>
      <c r="H51" s="9" t="n">
        <f aca="false">G51/$AE$3</f>
        <v>0.000522352941176471</v>
      </c>
      <c r="I51" s="10" t="n">
        <f aca="false">1000000*H51</f>
        <v>522.352941176471</v>
      </c>
      <c r="J51" s="59" t="n">
        <f aca="false">H51/($B$9*(1-H51*$AE$8*$B$5/1000) - L51*($B$11+$B$12) - M51*(2*$B$11+$B$13) - E51*$B$15 - F51*$B$16)</f>
        <v>6.0859669875933E-007</v>
      </c>
      <c r="K51" s="8" t="n">
        <v>1</v>
      </c>
      <c r="L51" s="12" t="n">
        <f aca="false">M51*E51/(10^-$B$19)</f>
        <v>1E-108</v>
      </c>
      <c r="M51" s="12" t="n">
        <f aca="false">(10^-$B$19)*K51/(E51+(10^-$B$19))</f>
        <v>1</v>
      </c>
      <c r="N51" s="60" t="n">
        <f aca="false">(L51+3*M51)/($B$9*(1-H51*$AE$5*$B$5/1000) - L51*($B$11+$B$12) - M51*(2*$B$11+$B$13) - E51*$B$15 - F51*$B$16)</f>
        <v>0.00349531887800966</v>
      </c>
      <c r="O51" s="8" t="n">
        <v>9</v>
      </c>
      <c r="P51" s="8" t="n">
        <f aca="false">O51*133.322</f>
        <v>1199.898</v>
      </c>
      <c r="Q51" s="13" t="n">
        <f aca="false">$B$1*$B$2*$B$9*1000*(J51+0.25*$AD$24*$AD$24*J51*J51/N51)</f>
        <v>1507.84198696296</v>
      </c>
      <c r="R51" s="14" t="n">
        <f aca="false">P51/Q51</f>
        <v>0.795771712403892</v>
      </c>
      <c r="S51" s="14" t="n">
        <f aca="false">R51-1</f>
        <v>-0.204228287596108</v>
      </c>
      <c r="T51" s="14" t="n">
        <f aca="false">$U$49+$U$50*J51+$U$51*J51*J51+$U$52*J51*J51*J51+$U$53*J51*J51*J51*J51</f>
        <v>-0.200474150944458</v>
      </c>
      <c r="U51" s="19" t="n">
        <v>1564613314585.16</v>
      </c>
      <c r="V51" s="8" t="n">
        <f aca="false">S51-T51</f>
        <v>-0.00375413665165039</v>
      </c>
      <c r="W51" s="61" t="n">
        <f aca="false">V51*V51</f>
        <v>1.40935419992648E-005</v>
      </c>
      <c r="X51" s="16" t="n">
        <f aca="false">EXP(S51+$U$50*J51+$U$51*J51*J51/2+$U$52*J51*J51*J51/3+$U$53*J51*J51*J51*J51/4)</f>
        <v>0.582374855307358</v>
      </c>
      <c r="Y51" s="16" t="n">
        <f aca="false">EXP(2*$AG$16*J51)</f>
        <v>0.842210011937827</v>
      </c>
      <c r="Z51" s="16" t="n">
        <f aca="false">X51</f>
        <v>0.582374855307358</v>
      </c>
      <c r="AA51" s="16" t="n">
        <f aca="false">Y51</f>
        <v>0.842210011937827</v>
      </c>
    </row>
    <row r="52" customFormat="false" ht="15.75" hidden="false" customHeight="true" outlineLevel="0" collapsed="false">
      <c r="D52" s="51"/>
      <c r="E52" s="7" t="n">
        <f aca="false">E51</f>
        <v>1E-008</v>
      </c>
      <c r="F52" s="7" t="n">
        <f aca="false">0.00000000000001/E52</f>
        <v>1E-006</v>
      </c>
      <c r="G52" s="8" t="n">
        <v>10.99</v>
      </c>
      <c r="H52" s="9" t="n">
        <f aca="false">G52/$AE$3</f>
        <v>0.000646470588235294</v>
      </c>
      <c r="I52" s="10" t="n">
        <f aca="false">1000000*H52</f>
        <v>646.470588235294</v>
      </c>
      <c r="J52" s="59" t="n">
        <f aca="false">H52/($B$9*(1-H52*$AE$8*$B$5/1000) - L52*($B$11+$B$12) - M52*(2*$B$11+$B$13) - E52*$B$15 - F52*$B$16)</f>
        <v>7.54579259439209E-007</v>
      </c>
      <c r="K52" s="8" t="n">
        <v>1</v>
      </c>
      <c r="L52" s="12" t="n">
        <f aca="false">M52*E52/(10^-$B$19)</f>
        <v>1E-108</v>
      </c>
      <c r="M52" s="12" t="n">
        <f aca="false">(10^-$B$19)*K52/(E52+(10^-$B$19))</f>
        <v>1</v>
      </c>
      <c r="N52" s="60" t="n">
        <f aca="false">(L52+3*M52)/($B$9*(1-H52*$AE$5*$B$5/1000) - L52*($B$11+$B$12) - M52*(2*$B$11+$B$13) - E52*$B$15 - F52*$B$16)</f>
        <v>0.00350168719121016</v>
      </c>
      <c r="O52" s="8" t="n">
        <v>11.1</v>
      </c>
      <c r="P52" s="8" t="n">
        <f aca="false">O52*133.322</f>
        <v>1479.8742</v>
      </c>
      <c r="Q52" s="13" t="n">
        <f aca="false">$B$1*$B$2*$B$9*1000*(J52+0.25*$AD$24*$AD$24*J52*J52/N52)</f>
        <v>1870.60929027012</v>
      </c>
      <c r="R52" s="14" t="n">
        <f aca="false">P52/Q52</f>
        <v>0.791118812302221</v>
      </c>
      <c r="S52" s="14" t="n">
        <f aca="false">R52-1</f>
        <v>-0.208881187697779</v>
      </c>
      <c r="T52" s="14" t="n">
        <f aca="false">$U$49+$U$50*J52+$U$51*J52*J52+$U$52*J52*J52*J52+$U$53*J52*J52*J52*J52</f>
        <v>-0.211548618399536</v>
      </c>
      <c r="U52" s="19" t="n">
        <v>-1.26863948714251E+018</v>
      </c>
      <c r="V52" s="8" t="n">
        <f aca="false">S52-T52</f>
        <v>0.00266743070175632</v>
      </c>
      <c r="W52" s="61" t="n">
        <f aca="false">V52*V52</f>
        <v>7.1151865486722E-006</v>
      </c>
      <c r="X52" s="16" t="n">
        <f aca="false">EXP(S52+$U$50*J52+$U$51*J52*J52/2+$U$52*J52*J52*J52/3+$U$53*J52*J52*J52*J52/4)</f>
        <v>0.554592034423423</v>
      </c>
      <c r="Y52" s="16" t="n">
        <f aca="false">EXP(2*$AG$16*J52)</f>
        <v>0.808222950505972</v>
      </c>
      <c r="Z52" s="16" t="n">
        <f aca="false">X52</f>
        <v>0.554592034423423</v>
      </c>
      <c r="AA52" s="16" t="n">
        <f aca="false">Y52</f>
        <v>0.808222950505972</v>
      </c>
    </row>
    <row r="53" customFormat="false" ht="15.75" hidden="false" customHeight="true" outlineLevel="0" collapsed="false">
      <c r="D53" s="51"/>
      <c r="E53" s="7" t="n">
        <f aca="false">E52</f>
        <v>1E-008</v>
      </c>
      <c r="F53" s="7" t="n">
        <f aca="false">0.00000000000001/E53</f>
        <v>1E-006</v>
      </c>
      <c r="G53" s="8" t="n">
        <v>13.12</v>
      </c>
      <c r="H53" s="9" t="n">
        <f aca="false">G53/$AE$3</f>
        <v>0.000771764705882353</v>
      </c>
      <c r="I53" s="10" t="n">
        <f aca="false">1000000*H53</f>
        <v>771.764705882353</v>
      </c>
      <c r="J53" s="59" t="n">
        <f aca="false">H53/($B$9*(1-H53*$AE$8*$B$5/1000) - L53*($B$11+$B$12) - M53*(2*$B$11+$B$13) - E53*$B$15 - F53*$B$16)</f>
        <v>9.02486069625021E-007</v>
      </c>
      <c r="K53" s="8" t="n">
        <v>1</v>
      </c>
      <c r="L53" s="12" t="n">
        <f aca="false">M53*E53/(10^-$B$19)</f>
        <v>1E-108</v>
      </c>
      <c r="M53" s="12" t="n">
        <f aca="false">(10^-$B$19)*K53/(E53+(10^-$B$19))</f>
        <v>1</v>
      </c>
      <c r="N53" s="60" t="n">
        <f aca="false">(L53+3*M53)/($B$9*(1-H53*$AE$5*$B$5/1000) - L53*($B$11+$B$12) - M53*(2*$B$11+$B$13) - E53*$B$15 - F53*$B$16)</f>
        <v>0.00350813944747531</v>
      </c>
      <c r="O53" s="8" t="n">
        <v>13.05</v>
      </c>
      <c r="P53" s="8" t="n">
        <f aca="false">O53*133.322</f>
        <v>1739.8521</v>
      </c>
      <c r="Q53" s="13" t="n">
        <f aca="false">$B$1*$B$2*$B$9*1000*(J53+0.25*$AD$24*$AD$24*J53*J53/N53)</f>
        <v>2238.58172089135</v>
      </c>
      <c r="R53" s="14" t="n">
        <f aca="false">P53/Q53</f>
        <v>0.777211787161039</v>
      </c>
      <c r="S53" s="14" t="n">
        <f aca="false">R53-1</f>
        <v>-0.222788212838961</v>
      </c>
      <c r="T53" s="14" t="n">
        <f aca="false">$U$49+$U$50*J53+$U$51*J53*J53+$U$52*J53*J53*J53+$U$53*J53*J53*J53*J53</f>
        <v>-0.226117148469994</v>
      </c>
      <c r="U53" s="19" t="n">
        <v>3.57945231819202E+023</v>
      </c>
      <c r="V53" s="8" t="n">
        <f aca="false">S53-T53</f>
        <v>0.00332893563103243</v>
      </c>
      <c r="W53" s="61" t="n">
        <f aca="false">V53*V53</f>
        <v>1.10818124355573E-005</v>
      </c>
      <c r="X53" s="16" t="n">
        <f aca="false">EXP(S53+$U$50*J53+$U$51*J53*J53/2+$U$52*J53*J53*J53/3+$U$53*J53*J53*J53*J53/4)</f>
        <v>0.525982564473679</v>
      </c>
      <c r="Y53" s="16" t="n">
        <f aca="false">EXP(2*$AG$16*J53)</f>
        <v>0.775186414674723</v>
      </c>
      <c r="Z53" s="16" t="n">
        <f aca="false">X53</f>
        <v>0.525982564473679</v>
      </c>
      <c r="AA53" s="16" t="n">
        <f aca="false">Y53</f>
        <v>0.775186414674723</v>
      </c>
    </row>
    <row r="54" customFormat="false" ht="15.75" hidden="false" customHeight="true" outlineLevel="0" collapsed="false">
      <c r="D54" s="51"/>
      <c r="E54" s="7" t="n">
        <f aca="false">E53</f>
        <v>1E-008</v>
      </c>
      <c r="F54" s="7" t="n">
        <f aca="false">0.00000000000001/E54</f>
        <v>1E-006</v>
      </c>
      <c r="G54" s="8" t="n">
        <v>15.28</v>
      </c>
      <c r="H54" s="9" t="n">
        <f aca="false">G54/$AE$3</f>
        <v>0.000898823529411765</v>
      </c>
      <c r="I54" s="10" t="n">
        <f aca="false">1000000*H54</f>
        <v>898.823529411765</v>
      </c>
      <c r="J54" s="59" t="n">
        <f aca="false">H54/($B$9*(1-H54*$AE$8*$B$5/1000) - L54*($B$11+$B$12) - M54*(2*$B$11+$B$13) - E54*$B$15 - F54*$B$16)</f>
        <v>1.05303375620187E-006</v>
      </c>
      <c r="K54" s="8" t="n">
        <v>1</v>
      </c>
      <c r="L54" s="12" t="n">
        <f aca="false">M54*E54/(10^-$B$19)</f>
        <v>1E-108</v>
      </c>
      <c r="M54" s="12" t="n">
        <f aca="false">(10^-$B$19)*K54/(E54+(10^-$B$19))</f>
        <v>1</v>
      </c>
      <c r="N54" s="60" t="n">
        <f aca="false">(L54+3*M54)/($B$9*(1-H54*$AE$5*$B$5/1000) - L54*($B$11+$B$12) - M54*(2*$B$11+$B$13) - E54*$B$15 - F54*$B$16)</f>
        <v>0.00351470690878895</v>
      </c>
      <c r="O54" s="8" t="n">
        <v>14.7</v>
      </c>
      <c r="P54" s="8" t="n">
        <f aca="false">O54*133.322</f>
        <v>1959.8334</v>
      </c>
      <c r="Q54" s="13" t="n">
        <f aca="false">$B$1*$B$2*$B$9*1000*(J54+0.25*$AD$24*$AD$24*J54*J54/N54)</f>
        <v>2613.55949760272</v>
      </c>
      <c r="R54" s="14" t="n">
        <f aca="false">P54/Q54</f>
        <v>0.7498713542958</v>
      </c>
      <c r="S54" s="14" t="n">
        <f aca="false">R54-1</f>
        <v>-0.2501286457042</v>
      </c>
      <c r="T54" s="14" t="n">
        <f aca="false">$U$49+$U$50*J54+$U$51*J54*J54+$U$52*J54*J54*J54+$U$53*J54*J54*J54*J54</f>
        <v>-0.246018685199897</v>
      </c>
      <c r="U54" s="19"/>
      <c r="V54" s="8" t="n">
        <f aca="false">S54-T54</f>
        <v>-0.00410996050430246</v>
      </c>
      <c r="W54" s="61" t="n">
        <f aca="false">V54*V54</f>
        <v>1.68917753469261E-005</v>
      </c>
      <c r="X54" s="16" t="n">
        <f aca="false">EXP(S54+$U$50*J54+$U$51*J54*J54/2+$U$52*J54*J54*J54/3+$U$53*J54*J54*J54*J54/4)</f>
        <v>0.49354107176602</v>
      </c>
      <c r="Y54" s="16" t="n">
        <f aca="false">EXP(2*$AG$16*J54)</f>
        <v>0.742946438261058</v>
      </c>
      <c r="Z54" s="16" t="n">
        <f aca="false">X54</f>
        <v>0.49354107176602</v>
      </c>
      <c r="AA54" s="16" t="n">
        <f aca="false">Y54</f>
        <v>0.742946438261058</v>
      </c>
    </row>
    <row r="55" customFormat="false" ht="15.75" hidden="false" customHeight="true" outlineLevel="0" collapsed="false">
      <c r="D55" s="51"/>
      <c r="E55" s="7" t="n">
        <f aca="false">E54</f>
        <v>1E-008</v>
      </c>
      <c r="F55" s="7" t="n">
        <f aca="false">0.00000000000001/E55</f>
        <v>1E-006</v>
      </c>
      <c r="G55" s="8" t="n">
        <v>17.45</v>
      </c>
      <c r="H55" s="9" t="n">
        <f aca="false">G55/$AE$3</f>
        <v>0.00102647058823529</v>
      </c>
      <c r="I55" s="10" t="n">
        <f aca="false">1000000*H55</f>
        <v>1026.47058823529</v>
      </c>
      <c r="J55" s="59" t="n">
        <f aca="false">H55/($B$9*(1-H55*$AE$8*$B$5/1000) - L55*($B$11+$B$12) - M55*(2*$B$11+$B$13) - E55*$B$15 - F55*$B$16)</f>
        <v>1.20484708250618E-006</v>
      </c>
      <c r="K55" s="8" t="n">
        <v>1</v>
      </c>
      <c r="L55" s="12" t="n">
        <f aca="false">M55*E55/(10^-$B$19)</f>
        <v>1E-108</v>
      </c>
      <c r="M55" s="12" t="n">
        <f aca="false">(10^-$B$19)*K55/(E55+(10^-$B$19))</f>
        <v>1</v>
      </c>
      <c r="N55" s="60" t="n">
        <f aca="false">(L55+3*M55)/($B$9*(1-H55*$AE$5*$B$5/1000) - L55*($B$11+$B$12) - M55*(2*$B$11+$B$13) - E55*$B$15 - F55*$B$16)</f>
        <v>0.00352132958210974</v>
      </c>
      <c r="O55" s="8" t="n">
        <v>16.3</v>
      </c>
      <c r="P55" s="8" t="n">
        <f aca="false">O55*133.322</f>
        <v>2173.1486</v>
      </c>
      <c r="Q55" s="13" t="n">
        <f aca="false">$B$1*$B$2*$B$9*1000*(J55+0.25*$AD$24*$AD$24*J55*J55/N55)</f>
        <v>2992.13179642761</v>
      </c>
      <c r="R55" s="14" t="n">
        <f aca="false">P55/Q55</f>
        <v>0.726287726561572</v>
      </c>
      <c r="S55" s="14" t="n">
        <f aca="false">R55-1</f>
        <v>-0.273712273438428</v>
      </c>
      <c r="T55" s="14" t="n">
        <f aca="false">$U$49+$U$50*J55+$U$51*J55*J55+$U$52*J55*J55*J55+$U$53*J55*J55*J55*J55</f>
        <v>-0.268527393513587</v>
      </c>
      <c r="U55" s="19"/>
      <c r="V55" s="8" t="n">
        <f aca="false">S55-T55</f>
        <v>-0.00518487992484062</v>
      </c>
      <c r="W55" s="61" t="n">
        <f aca="false">V55*V55</f>
        <v>2.68829798350153E-005</v>
      </c>
      <c r="X55" s="16" t="n">
        <f aca="false">EXP(S55+$U$50*J55+$U$51*J55*J55/2+$U$52*J55*J55*J55/3+$U$53*J55*J55*J55*J55/4)</f>
        <v>0.465635824236494</v>
      </c>
      <c r="Y55" s="16" t="n">
        <f aca="false">EXP(2*$AG$16*J55)</f>
        <v>0.711793079208783</v>
      </c>
      <c r="Z55" s="16" t="n">
        <f aca="false">X55</f>
        <v>0.465635824236494</v>
      </c>
      <c r="AA55" s="16" t="n">
        <f aca="false">Y55</f>
        <v>0.711793079208783</v>
      </c>
    </row>
    <row r="56" customFormat="false" ht="15.75" hidden="false" customHeight="true" outlineLevel="0" collapsed="false">
      <c r="D56" s="51"/>
      <c r="E56" s="7" t="n">
        <f aca="false">E55</f>
        <v>1E-008</v>
      </c>
      <c r="F56" s="7" t="n">
        <f aca="false">0.00000000000001/E56</f>
        <v>1E-006</v>
      </c>
      <c r="G56" s="8" t="n">
        <v>19.54</v>
      </c>
      <c r="H56" s="9" t="n">
        <f aca="false">G56/$AE$3</f>
        <v>0.00114941176470588</v>
      </c>
      <c r="I56" s="10" t="n">
        <f aca="false">1000000*H56</f>
        <v>1149.41176470588</v>
      </c>
      <c r="J56" s="59" t="n">
        <f aca="false">H56/($B$9*(1-H56*$AE$8*$B$5/1000) - L56*($B$11+$B$12) - M56*(2*$B$11+$B$13) - E56*$B$15 - F56*$B$16)</f>
        <v>1.35160545456705E-006</v>
      </c>
      <c r="K56" s="8" t="n">
        <v>1</v>
      </c>
      <c r="L56" s="12" t="n">
        <f aca="false">M56*E56/(10^-$B$19)</f>
        <v>1E-108</v>
      </c>
      <c r="M56" s="12" t="n">
        <f aca="false">(10^-$B$19)*K56/(E56+(10^-$B$19))</f>
        <v>1</v>
      </c>
      <c r="N56" s="60" t="n">
        <f aca="false">(L56+3*M56)/($B$9*(1-H56*$AE$5*$B$5/1000) - L56*($B$11+$B$12) - M56*(2*$B$11+$B$13) - E56*$B$15 - F56*$B$16)</f>
        <v>0.00352773173914635</v>
      </c>
      <c r="O56" s="8" t="n">
        <v>18.2</v>
      </c>
      <c r="P56" s="8" t="n">
        <f aca="false">O56*133.322</f>
        <v>2426.4604</v>
      </c>
      <c r="Q56" s="13" t="n">
        <f aca="false">$B$1*$B$2*$B$9*1000*(J56+0.25*$AD$24*$AD$24*J56*J56/N56)</f>
        <v>3358.51840763771</v>
      </c>
      <c r="R56" s="14" t="n">
        <f aca="false">P56/Q56</f>
        <v>0.722479410707385</v>
      </c>
      <c r="S56" s="14" t="n">
        <f aca="false">R56-1</f>
        <v>-0.277520589292615</v>
      </c>
      <c r="T56" s="14" t="n">
        <f aca="false">$U$49+$U$50*J56+$U$51*J56*J56+$U$52*J56*J56*J56+$U$53*J56*J56*J56*J56</f>
        <v>-0.285798729587447</v>
      </c>
      <c r="U56" s="19"/>
      <c r="V56" s="8" t="n">
        <f aca="false">S56-T56</f>
        <v>0.00827814029483154</v>
      </c>
      <c r="W56" s="61" t="n">
        <f aca="false">V56*V56</f>
        <v>6.85276067409136E-005</v>
      </c>
      <c r="X56" s="16" t="n">
        <f aca="false">EXP(S56+$U$50*J56+$U$51*J56*J56/2+$U$52*J56*J56*J56/3+$U$53*J56*J56*J56*J56/4)</f>
        <v>0.449290834112836</v>
      </c>
      <c r="Y56" s="16" t="n">
        <f aca="false">EXP(2*$AG$16*J56)</f>
        <v>0.682919429869492</v>
      </c>
      <c r="Z56" s="16" t="n">
        <f aca="false">X56</f>
        <v>0.449290834112836</v>
      </c>
      <c r="AA56" s="16" t="n">
        <f aca="false">Y56</f>
        <v>0.682919429869492</v>
      </c>
    </row>
    <row r="57" customFormat="false" ht="15.75" hidden="false" customHeight="true" outlineLevel="0" collapsed="false">
      <c r="D57" s="51"/>
      <c r="E57" s="52" t="n">
        <f aca="false">E56</f>
        <v>1E-008</v>
      </c>
      <c r="F57" s="52" t="n">
        <f aca="false">0.00000000000001/E57</f>
        <v>1E-006</v>
      </c>
      <c r="G57" s="26" t="n">
        <v>21.56</v>
      </c>
      <c r="H57" s="27" t="n">
        <f aca="false">G57/$AE$3</f>
        <v>0.00126823529411765</v>
      </c>
      <c r="I57" s="53" t="n">
        <f aca="false">1000000*H57</f>
        <v>1268.23529411765</v>
      </c>
      <c r="J57" s="62" t="n">
        <f aca="false">H57/($B$9*(1-H57*$AE$8*$B$5/1000) - L57*($B$11+$B$12) - M57*(2*$B$11+$B$13) - E57*$B$15 - F57*$B$16)</f>
        <v>1.49395650166152E-006</v>
      </c>
      <c r="K57" s="26" t="n">
        <v>1</v>
      </c>
      <c r="L57" s="30" t="n">
        <f aca="false">M57*E57/(10^-$B$19)</f>
        <v>1E-108</v>
      </c>
      <c r="M57" s="30" t="n">
        <f aca="false">(10^-$B$19)*K57/(E57+(10^-$B$19))</f>
        <v>1</v>
      </c>
      <c r="N57" s="63" t="n">
        <f aca="false">(L57+3*M57)/($B$9*(1-H57*$AE$5*$B$5/1000) - L57*($B$11+$B$12) - M57*(2*$B$11+$B$13) - E57*$B$15 - F57*$B$16)</f>
        <v>0.00353394163194515</v>
      </c>
      <c r="O57" s="26" t="n">
        <v>19.75</v>
      </c>
      <c r="P57" s="26" t="n">
        <f aca="false">O57*133.322</f>
        <v>2633.1095</v>
      </c>
      <c r="Q57" s="32" t="n">
        <f aca="false">$B$1*$B$2*$B$9*1000*(J57+0.25*$AD$24*$AD$24*J57*J57/N57)</f>
        <v>3714.29404956742</v>
      </c>
      <c r="R57" s="34" t="n">
        <f aca="false">P57/Q57</f>
        <v>0.708912505273153</v>
      </c>
      <c r="S57" s="34" t="n">
        <f aca="false">R57-1</f>
        <v>-0.291087494726847</v>
      </c>
      <c r="T57" s="34" t="n">
        <f aca="false">$U$49+$U$50*J57+$U$51*J57*J57+$U$52*J57*J57*J57+$U$53*J57*J57*J57*J57</f>
        <v>-0.288208593282119</v>
      </c>
      <c r="U57" s="35" t="n">
        <f aca="false">SUM(W49:W57)</f>
        <v>0.000175175616914943</v>
      </c>
      <c r="V57" s="26" t="n">
        <f aca="false">S57-T57</f>
        <v>-0.00287890144472835</v>
      </c>
      <c r="W57" s="64" t="n">
        <f aca="false">V57*V57</f>
        <v>8.28807352845901E-006</v>
      </c>
      <c r="X57" s="37" t="n">
        <f aca="false">EXP(S57+$U$50*J57+$U$51*J57*J57/2+$U$52*J57*J57*J57/3+$U$53*J57*J57*J57*J57/4)</f>
        <v>0.43060785310424</v>
      </c>
      <c r="Y57" s="37" t="n">
        <f aca="false">EXP(2*$AG$16*J57)</f>
        <v>0.656032366227053</v>
      </c>
      <c r="Z57" s="37" t="n">
        <f aca="false">X57</f>
        <v>0.43060785310424</v>
      </c>
      <c r="AA57" s="37" t="n">
        <f aca="false">Y57</f>
        <v>0.656032366227053</v>
      </c>
    </row>
  </sheetData>
  <mergeCells count="6">
    <mergeCell ref="D4:D12"/>
    <mergeCell ref="D13:D21"/>
    <mergeCell ref="D22:D30"/>
    <mergeCell ref="D31:D39"/>
    <mergeCell ref="D40:D48"/>
    <mergeCell ref="D49:D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0"/>
    <col collapsed="false" customWidth="true" hidden="false" outlineLevel="0" max="3" min="2" style="0" width="45"/>
    <col collapsed="false" customWidth="true" hidden="false" outlineLevel="0" max="4" min="4" style="0" width="70"/>
  </cols>
  <sheetData>
    <row r="1" customFormat="false" ht="15" hidden="false" customHeight="false" outlineLevel="0" collapsed="false">
      <c r="A1" s="65" t="s">
        <v>46</v>
      </c>
    </row>
    <row r="3" customFormat="false" ht="60" hidden="false" customHeight="true" outlineLevel="0" collapsed="false">
      <c r="A3" s="66" t="s">
        <v>47</v>
      </c>
      <c r="B3" s="66"/>
      <c r="C3" s="66"/>
      <c r="D3" s="66"/>
    </row>
    <row r="4" customFormat="false" ht="75" hidden="false" customHeight="true" outlineLevel="0" collapsed="false">
      <c r="A4" s="66" t="s">
        <v>48</v>
      </c>
      <c r="B4" s="66"/>
      <c r="C4" s="66"/>
      <c r="D4" s="66"/>
    </row>
    <row r="5" customFormat="false" ht="90" hidden="false" customHeight="true" outlineLevel="0" collapsed="false">
      <c r="A5" s="66" t="s">
        <v>49</v>
      </c>
      <c r="B5" s="66"/>
      <c r="C5" s="66"/>
      <c r="D5" s="66"/>
    </row>
    <row r="6" customFormat="false" ht="45" hidden="false" customHeight="true" outlineLevel="0" collapsed="false">
      <c r="A6" s="66" t="s">
        <v>50</v>
      </c>
      <c r="B6" s="66"/>
      <c r="C6" s="66"/>
      <c r="D6" s="66"/>
    </row>
    <row r="8" customFormat="false" ht="15" hidden="false" customHeight="false" outlineLevel="0" collapsed="false">
      <c r="A8" s="67" t="s">
        <v>51</v>
      </c>
      <c r="B8" s="67" t="s">
        <v>52</v>
      </c>
      <c r="C8" s="67" t="s">
        <v>53</v>
      </c>
      <c r="D8" s="67" t="s">
        <v>54</v>
      </c>
    </row>
    <row r="9" customFormat="false" ht="22.35" hidden="false" customHeight="false" outlineLevel="0" collapsed="false">
      <c r="A9" s="68" t="s">
        <v>55</v>
      </c>
      <c r="B9" s="69" t="s">
        <v>56</v>
      </c>
      <c r="C9" s="69" t="s">
        <v>57</v>
      </c>
      <c r="D9" s="69" t="s">
        <v>58</v>
      </c>
    </row>
    <row r="10" customFormat="false" ht="22.35" hidden="false" customHeight="false" outlineLevel="0" collapsed="false">
      <c r="A10" s="68" t="s">
        <v>59</v>
      </c>
      <c r="B10" s="69" t="s">
        <v>60</v>
      </c>
      <c r="C10" s="69" t="s">
        <v>61</v>
      </c>
      <c r="D10" s="69" t="s">
        <v>62</v>
      </c>
    </row>
    <row r="11" customFormat="false" ht="22.35" hidden="false" customHeight="false" outlineLevel="0" collapsed="false">
      <c r="A11" s="68" t="s">
        <v>63</v>
      </c>
      <c r="B11" s="69" t="s">
        <v>64</v>
      </c>
      <c r="C11" s="69" t="s">
        <v>65</v>
      </c>
      <c r="D11" s="69" t="s">
        <v>58</v>
      </c>
    </row>
    <row r="12" customFormat="false" ht="22.35" hidden="false" customHeight="false" outlineLevel="0" collapsed="false">
      <c r="A12" s="68" t="s">
        <v>66</v>
      </c>
      <c r="B12" s="69" t="s">
        <v>67</v>
      </c>
      <c r="C12" s="69" t="s">
        <v>68</v>
      </c>
      <c r="D12" s="69" t="s">
        <v>62</v>
      </c>
    </row>
    <row r="13" customFormat="false" ht="22.35" hidden="false" customHeight="false" outlineLevel="0" collapsed="false">
      <c r="A13" s="68" t="s">
        <v>69</v>
      </c>
      <c r="B13" s="69" t="s">
        <v>70</v>
      </c>
      <c r="C13" s="69" t="s">
        <v>71</v>
      </c>
      <c r="D13" s="69" t="s">
        <v>58</v>
      </c>
    </row>
    <row r="14" customFormat="false" ht="22.35" hidden="false" customHeight="false" outlineLevel="0" collapsed="false">
      <c r="A14" s="68" t="s">
        <v>72</v>
      </c>
      <c r="B14" s="69" t="s">
        <v>73</v>
      </c>
      <c r="C14" s="69" t="s">
        <v>74</v>
      </c>
      <c r="D14" s="69" t="s">
        <v>62</v>
      </c>
    </row>
    <row r="15" customFormat="false" ht="22.35" hidden="false" customHeight="false" outlineLevel="0" collapsed="false">
      <c r="A15" s="68" t="s">
        <v>75</v>
      </c>
      <c r="B15" s="69" t="s">
        <v>76</v>
      </c>
      <c r="C15" s="69" t="s">
        <v>77</v>
      </c>
      <c r="D15" s="69" t="s">
        <v>58</v>
      </c>
    </row>
    <row r="16" customFormat="false" ht="22.35" hidden="false" customHeight="false" outlineLevel="0" collapsed="false">
      <c r="A16" s="68" t="s">
        <v>78</v>
      </c>
      <c r="B16" s="69" t="s">
        <v>79</v>
      </c>
      <c r="C16" s="69" t="s">
        <v>80</v>
      </c>
      <c r="D16" s="69" t="s">
        <v>62</v>
      </c>
    </row>
    <row r="17" customFormat="false" ht="22.35" hidden="false" customHeight="false" outlineLevel="0" collapsed="false">
      <c r="A17" s="68" t="s">
        <v>81</v>
      </c>
      <c r="B17" s="69" t="s">
        <v>82</v>
      </c>
      <c r="C17" s="69" t="s">
        <v>83</v>
      </c>
      <c r="D17" s="69" t="s">
        <v>58</v>
      </c>
    </row>
    <row r="18" customFormat="false" ht="22.35" hidden="false" customHeight="false" outlineLevel="0" collapsed="false">
      <c r="A18" s="68" t="s">
        <v>84</v>
      </c>
      <c r="B18" s="69" t="s">
        <v>85</v>
      </c>
      <c r="C18" s="69" t="s">
        <v>86</v>
      </c>
      <c r="D18" s="69" t="s">
        <v>62</v>
      </c>
    </row>
    <row r="19" customFormat="false" ht="22.35" hidden="false" customHeight="false" outlineLevel="0" collapsed="false">
      <c r="A19" s="68" t="s">
        <v>87</v>
      </c>
      <c r="B19" s="69" t="s">
        <v>88</v>
      </c>
      <c r="C19" s="69" t="s">
        <v>89</v>
      </c>
      <c r="D19" s="69" t="s">
        <v>58</v>
      </c>
    </row>
    <row r="20" customFormat="false" ht="22.35" hidden="false" customHeight="false" outlineLevel="0" collapsed="false">
      <c r="A20" s="68" t="s">
        <v>90</v>
      </c>
      <c r="B20" s="69" t="s">
        <v>91</v>
      </c>
      <c r="C20" s="69" t="s">
        <v>92</v>
      </c>
      <c r="D20" s="69" t="s">
        <v>62</v>
      </c>
    </row>
    <row r="21" customFormat="false" ht="22.35" hidden="false" customHeight="false" outlineLevel="0" collapsed="false">
      <c r="A21" s="68" t="s">
        <v>93</v>
      </c>
      <c r="B21" s="69" t="s">
        <v>94</v>
      </c>
      <c r="C21" s="69" t="s">
        <v>95</v>
      </c>
      <c r="D21" s="69" t="s">
        <v>58</v>
      </c>
    </row>
    <row r="22" customFormat="false" ht="22.35" hidden="false" customHeight="false" outlineLevel="0" collapsed="false">
      <c r="A22" s="68" t="s">
        <v>96</v>
      </c>
      <c r="B22" s="69" t="s">
        <v>97</v>
      </c>
      <c r="C22" s="69" t="s">
        <v>98</v>
      </c>
      <c r="D22" s="69" t="s">
        <v>62</v>
      </c>
    </row>
    <row r="23" customFormat="false" ht="22.35" hidden="false" customHeight="false" outlineLevel="0" collapsed="false">
      <c r="A23" s="68" t="s">
        <v>99</v>
      </c>
      <c r="B23" s="69" t="s">
        <v>100</v>
      </c>
      <c r="C23" s="69" t="s">
        <v>101</v>
      </c>
      <c r="D23" s="69" t="s">
        <v>58</v>
      </c>
    </row>
    <row r="24" customFormat="false" ht="22.35" hidden="false" customHeight="false" outlineLevel="0" collapsed="false">
      <c r="A24" s="68" t="s">
        <v>102</v>
      </c>
      <c r="B24" s="69" t="s">
        <v>103</v>
      </c>
      <c r="C24" s="69" t="s">
        <v>104</v>
      </c>
      <c r="D24" s="69" t="s">
        <v>62</v>
      </c>
    </row>
    <row r="25" customFormat="false" ht="22.35" hidden="false" customHeight="false" outlineLevel="0" collapsed="false">
      <c r="A25" s="68" t="s">
        <v>105</v>
      </c>
      <c r="B25" s="69" t="s">
        <v>106</v>
      </c>
      <c r="C25" s="69" t="s">
        <v>107</v>
      </c>
      <c r="D25" s="69" t="s">
        <v>58</v>
      </c>
    </row>
    <row r="26" customFormat="false" ht="22.35" hidden="false" customHeight="false" outlineLevel="0" collapsed="false">
      <c r="A26" s="68" t="s">
        <v>108</v>
      </c>
      <c r="B26" s="69" t="s">
        <v>109</v>
      </c>
      <c r="C26" s="69" t="s">
        <v>110</v>
      </c>
      <c r="D26" s="69" t="s">
        <v>62</v>
      </c>
    </row>
    <row r="27" customFormat="false" ht="22.35" hidden="false" customHeight="false" outlineLevel="0" collapsed="false">
      <c r="A27" s="68" t="s">
        <v>111</v>
      </c>
      <c r="B27" s="69" t="s">
        <v>112</v>
      </c>
      <c r="C27" s="69" t="s">
        <v>113</v>
      </c>
      <c r="D27" s="69" t="s">
        <v>58</v>
      </c>
    </row>
    <row r="28" customFormat="false" ht="22.35" hidden="false" customHeight="false" outlineLevel="0" collapsed="false">
      <c r="A28" s="68" t="s">
        <v>114</v>
      </c>
      <c r="B28" s="69" t="s">
        <v>115</v>
      </c>
      <c r="C28" s="69" t="s">
        <v>116</v>
      </c>
      <c r="D28" s="69" t="s">
        <v>62</v>
      </c>
    </row>
    <row r="29" customFormat="false" ht="22.35" hidden="false" customHeight="false" outlineLevel="0" collapsed="false">
      <c r="A29" s="68" t="s">
        <v>117</v>
      </c>
      <c r="B29" s="69" t="s">
        <v>118</v>
      </c>
      <c r="C29" s="69" t="s">
        <v>119</v>
      </c>
      <c r="D29" s="69" t="s">
        <v>58</v>
      </c>
    </row>
    <row r="30" customFormat="false" ht="22.35" hidden="false" customHeight="false" outlineLevel="0" collapsed="false">
      <c r="A30" s="68" t="s">
        <v>120</v>
      </c>
      <c r="B30" s="69" t="s">
        <v>121</v>
      </c>
      <c r="C30" s="69" t="s">
        <v>122</v>
      </c>
      <c r="D30" s="69" t="s">
        <v>62</v>
      </c>
    </row>
    <row r="31" customFormat="false" ht="22.35" hidden="false" customHeight="false" outlineLevel="0" collapsed="false">
      <c r="A31" s="68" t="s">
        <v>123</v>
      </c>
      <c r="B31" s="69" t="s">
        <v>124</v>
      </c>
      <c r="C31" s="69" t="s">
        <v>125</v>
      </c>
      <c r="D31" s="69" t="s">
        <v>58</v>
      </c>
    </row>
    <row r="32" customFormat="false" ht="22.35" hidden="false" customHeight="false" outlineLevel="0" collapsed="false">
      <c r="A32" s="68" t="s">
        <v>126</v>
      </c>
      <c r="B32" s="69" t="s">
        <v>127</v>
      </c>
      <c r="C32" s="69" t="s">
        <v>128</v>
      </c>
      <c r="D32" s="69" t="s">
        <v>62</v>
      </c>
    </row>
    <row r="33" customFormat="false" ht="22.35" hidden="false" customHeight="false" outlineLevel="0" collapsed="false">
      <c r="A33" s="68" t="s">
        <v>129</v>
      </c>
      <c r="B33" s="69" t="s">
        <v>130</v>
      </c>
      <c r="C33" s="69" t="s">
        <v>131</v>
      </c>
      <c r="D33" s="69" t="s">
        <v>58</v>
      </c>
    </row>
    <row r="34" customFormat="false" ht="22.35" hidden="false" customHeight="false" outlineLevel="0" collapsed="false">
      <c r="A34" s="68" t="s">
        <v>132</v>
      </c>
      <c r="B34" s="69" t="s">
        <v>133</v>
      </c>
      <c r="C34" s="69" t="s">
        <v>134</v>
      </c>
      <c r="D34" s="69" t="s">
        <v>62</v>
      </c>
    </row>
    <row r="35" customFormat="false" ht="22.35" hidden="false" customHeight="false" outlineLevel="0" collapsed="false">
      <c r="A35" s="68" t="s">
        <v>135</v>
      </c>
      <c r="B35" s="69" t="s">
        <v>136</v>
      </c>
      <c r="C35" s="69" t="s">
        <v>137</v>
      </c>
      <c r="D35" s="69" t="s">
        <v>58</v>
      </c>
    </row>
    <row r="36" customFormat="false" ht="22.35" hidden="false" customHeight="false" outlineLevel="0" collapsed="false">
      <c r="A36" s="68" t="s">
        <v>138</v>
      </c>
      <c r="B36" s="69" t="s">
        <v>139</v>
      </c>
      <c r="C36" s="69" t="s">
        <v>140</v>
      </c>
      <c r="D36" s="69" t="s">
        <v>62</v>
      </c>
    </row>
    <row r="37" customFormat="false" ht="22.35" hidden="false" customHeight="false" outlineLevel="0" collapsed="false">
      <c r="A37" s="68" t="s">
        <v>141</v>
      </c>
      <c r="B37" s="69" t="s">
        <v>142</v>
      </c>
      <c r="C37" s="69" t="s">
        <v>143</v>
      </c>
      <c r="D37" s="69" t="s">
        <v>58</v>
      </c>
    </row>
    <row r="38" customFormat="false" ht="22.35" hidden="false" customHeight="false" outlineLevel="0" collapsed="false">
      <c r="A38" s="68" t="s">
        <v>144</v>
      </c>
      <c r="B38" s="69" t="s">
        <v>145</v>
      </c>
      <c r="C38" s="69" t="s">
        <v>146</v>
      </c>
      <c r="D38" s="69" t="s">
        <v>62</v>
      </c>
    </row>
    <row r="39" customFormat="false" ht="22.35" hidden="false" customHeight="false" outlineLevel="0" collapsed="false">
      <c r="A39" s="68" t="s">
        <v>147</v>
      </c>
      <c r="B39" s="69" t="s">
        <v>148</v>
      </c>
      <c r="C39" s="69" t="s">
        <v>149</v>
      </c>
      <c r="D39" s="69" t="s">
        <v>58</v>
      </c>
    </row>
    <row r="40" customFormat="false" ht="22.35" hidden="false" customHeight="false" outlineLevel="0" collapsed="false">
      <c r="A40" s="68" t="s">
        <v>150</v>
      </c>
      <c r="B40" s="69" t="s">
        <v>151</v>
      </c>
      <c r="C40" s="69" t="s">
        <v>152</v>
      </c>
      <c r="D40" s="69" t="s">
        <v>62</v>
      </c>
    </row>
    <row r="41" customFormat="false" ht="22.35" hidden="false" customHeight="false" outlineLevel="0" collapsed="false">
      <c r="A41" s="68" t="s">
        <v>153</v>
      </c>
      <c r="B41" s="69" t="s">
        <v>154</v>
      </c>
      <c r="C41" s="69" t="s">
        <v>155</v>
      </c>
      <c r="D41" s="69" t="s">
        <v>58</v>
      </c>
    </row>
    <row r="42" customFormat="false" ht="22.35" hidden="false" customHeight="false" outlineLevel="0" collapsed="false">
      <c r="A42" s="68" t="s">
        <v>156</v>
      </c>
      <c r="B42" s="69" t="s">
        <v>157</v>
      </c>
      <c r="C42" s="69" t="s">
        <v>158</v>
      </c>
      <c r="D42" s="69" t="s">
        <v>62</v>
      </c>
    </row>
    <row r="43" customFormat="false" ht="22.35" hidden="false" customHeight="false" outlineLevel="0" collapsed="false">
      <c r="A43" s="68" t="s">
        <v>159</v>
      </c>
      <c r="B43" s="69" t="s">
        <v>160</v>
      </c>
      <c r="C43" s="69" t="s">
        <v>161</v>
      </c>
      <c r="D43" s="69" t="s">
        <v>58</v>
      </c>
    </row>
    <row r="44" customFormat="false" ht="22.35" hidden="false" customHeight="false" outlineLevel="0" collapsed="false">
      <c r="A44" s="68" t="s">
        <v>162</v>
      </c>
      <c r="B44" s="69" t="s">
        <v>163</v>
      </c>
      <c r="C44" s="69" t="s">
        <v>164</v>
      </c>
      <c r="D44" s="69" t="s">
        <v>62</v>
      </c>
    </row>
    <row r="45" customFormat="false" ht="22.35" hidden="false" customHeight="false" outlineLevel="0" collapsed="false">
      <c r="A45" s="68" t="s">
        <v>165</v>
      </c>
      <c r="B45" s="69" t="s">
        <v>166</v>
      </c>
      <c r="C45" s="69" t="s">
        <v>167</v>
      </c>
      <c r="D45" s="69" t="s">
        <v>58</v>
      </c>
    </row>
    <row r="46" customFormat="false" ht="22.35" hidden="false" customHeight="false" outlineLevel="0" collapsed="false">
      <c r="A46" s="68" t="s">
        <v>168</v>
      </c>
      <c r="B46" s="69" t="s">
        <v>169</v>
      </c>
      <c r="C46" s="69" t="s">
        <v>170</v>
      </c>
      <c r="D46" s="69" t="s">
        <v>62</v>
      </c>
    </row>
    <row r="47" customFormat="false" ht="22.35" hidden="false" customHeight="false" outlineLevel="0" collapsed="false">
      <c r="A47" s="68" t="s">
        <v>171</v>
      </c>
      <c r="B47" s="69" t="s">
        <v>172</v>
      </c>
      <c r="C47" s="69" t="s">
        <v>173</v>
      </c>
      <c r="D47" s="69" t="s">
        <v>58</v>
      </c>
    </row>
    <row r="48" customFormat="false" ht="22.35" hidden="false" customHeight="false" outlineLevel="0" collapsed="false">
      <c r="A48" s="68" t="s">
        <v>174</v>
      </c>
      <c r="B48" s="69" t="s">
        <v>175</v>
      </c>
      <c r="C48" s="69" t="s">
        <v>176</v>
      </c>
      <c r="D48" s="69" t="s">
        <v>62</v>
      </c>
    </row>
    <row r="49" customFormat="false" ht="22.35" hidden="false" customHeight="false" outlineLevel="0" collapsed="false">
      <c r="A49" s="68" t="s">
        <v>177</v>
      </c>
      <c r="B49" s="69" t="s">
        <v>178</v>
      </c>
      <c r="C49" s="69" t="s">
        <v>179</v>
      </c>
      <c r="D49" s="69" t="s">
        <v>58</v>
      </c>
    </row>
    <row r="50" customFormat="false" ht="22.35" hidden="false" customHeight="false" outlineLevel="0" collapsed="false">
      <c r="A50" s="68" t="s">
        <v>180</v>
      </c>
      <c r="B50" s="69" t="s">
        <v>181</v>
      </c>
      <c r="C50" s="69" t="s">
        <v>182</v>
      </c>
      <c r="D50" s="69" t="s">
        <v>62</v>
      </c>
    </row>
    <row r="51" customFormat="false" ht="22.35" hidden="false" customHeight="false" outlineLevel="0" collapsed="false">
      <c r="A51" s="68" t="s">
        <v>183</v>
      </c>
      <c r="B51" s="69" t="s">
        <v>184</v>
      </c>
      <c r="C51" s="69" t="s">
        <v>185</v>
      </c>
      <c r="D51" s="69" t="s">
        <v>58</v>
      </c>
    </row>
    <row r="52" customFormat="false" ht="22.35" hidden="false" customHeight="false" outlineLevel="0" collapsed="false">
      <c r="A52" s="68" t="s">
        <v>186</v>
      </c>
      <c r="B52" s="69" t="s">
        <v>187</v>
      </c>
      <c r="C52" s="69" t="s">
        <v>188</v>
      </c>
      <c r="D52" s="69" t="s">
        <v>62</v>
      </c>
    </row>
    <row r="53" customFormat="false" ht="22.35" hidden="false" customHeight="false" outlineLevel="0" collapsed="false">
      <c r="A53" s="68" t="s">
        <v>189</v>
      </c>
      <c r="B53" s="69" t="s">
        <v>190</v>
      </c>
      <c r="C53" s="69" t="s">
        <v>191</v>
      </c>
      <c r="D53" s="69" t="s">
        <v>58</v>
      </c>
    </row>
    <row r="54" customFormat="false" ht="22.35" hidden="false" customHeight="false" outlineLevel="0" collapsed="false">
      <c r="A54" s="68" t="s">
        <v>192</v>
      </c>
      <c r="B54" s="69" t="s">
        <v>193</v>
      </c>
      <c r="C54" s="69" t="s">
        <v>194</v>
      </c>
      <c r="D54" s="69" t="s">
        <v>62</v>
      </c>
    </row>
    <row r="55" customFormat="false" ht="22.35" hidden="false" customHeight="false" outlineLevel="0" collapsed="false">
      <c r="A55" s="68" t="s">
        <v>195</v>
      </c>
      <c r="B55" s="69" t="s">
        <v>196</v>
      </c>
      <c r="C55" s="69" t="s">
        <v>197</v>
      </c>
      <c r="D55" s="69" t="s">
        <v>58</v>
      </c>
    </row>
    <row r="56" customFormat="false" ht="22.35" hidden="false" customHeight="false" outlineLevel="0" collapsed="false">
      <c r="A56" s="68" t="s">
        <v>198</v>
      </c>
      <c r="B56" s="69" t="s">
        <v>199</v>
      </c>
      <c r="C56" s="69" t="s">
        <v>200</v>
      </c>
      <c r="D56" s="69" t="s">
        <v>62</v>
      </c>
    </row>
    <row r="57" customFormat="false" ht="22.35" hidden="false" customHeight="false" outlineLevel="0" collapsed="false">
      <c r="A57" s="68" t="s">
        <v>201</v>
      </c>
      <c r="B57" s="69" t="s">
        <v>202</v>
      </c>
      <c r="C57" s="69" t="s">
        <v>203</v>
      </c>
      <c r="D57" s="69" t="s">
        <v>58</v>
      </c>
    </row>
    <row r="58" customFormat="false" ht="22.35" hidden="false" customHeight="false" outlineLevel="0" collapsed="false">
      <c r="A58" s="68" t="s">
        <v>204</v>
      </c>
      <c r="B58" s="69" t="s">
        <v>205</v>
      </c>
      <c r="C58" s="69" t="s">
        <v>206</v>
      </c>
      <c r="D58" s="69" t="s">
        <v>62</v>
      </c>
    </row>
    <row r="59" customFormat="false" ht="22.35" hidden="false" customHeight="false" outlineLevel="0" collapsed="false">
      <c r="A59" s="68" t="s">
        <v>207</v>
      </c>
      <c r="B59" s="69" t="s">
        <v>208</v>
      </c>
      <c r="C59" s="69" t="s">
        <v>209</v>
      </c>
      <c r="D59" s="69" t="s">
        <v>58</v>
      </c>
    </row>
    <row r="60" customFormat="false" ht="22.35" hidden="false" customHeight="false" outlineLevel="0" collapsed="false">
      <c r="A60" s="68" t="s">
        <v>210</v>
      </c>
      <c r="B60" s="69" t="s">
        <v>211</v>
      </c>
      <c r="C60" s="69" t="s">
        <v>212</v>
      </c>
      <c r="D60" s="69" t="s">
        <v>62</v>
      </c>
    </row>
    <row r="61" customFormat="false" ht="22.35" hidden="false" customHeight="false" outlineLevel="0" collapsed="false">
      <c r="A61" s="68" t="s">
        <v>213</v>
      </c>
      <c r="B61" s="69" t="s">
        <v>214</v>
      </c>
      <c r="C61" s="69" t="s">
        <v>215</v>
      </c>
      <c r="D61" s="69" t="s">
        <v>58</v>
      </c>
    </row>
    <row r="62" customFormat="false" ht="22.35" hidden="false" customHeight="false" outlineLevel="0" collapsed="false">
      <c r="A62" s="68" t="s">
        <v>216</v>
      </c>
      <c r="B62" s="69" t="s">
        <v>217</v>
      </c>
      <c r="C62" s="69" t="s">
        <v>218</v>
      </c>
      <c r="D62" s="69" t="s">
        <v>62</v>
      </c>
    </row>
    <row r="63" customFormat="false" ht="22.35" hidden="false" customHeight="false" outlineLevel="0" collapsed="false">
      <c r="A63" s="68" t="s">
        <v>219</v>
      </c>
      <c r="B63" s="69" t="s">
        <v>220</v>
      </c>
      <c r="C63" s="69" t="s">
        <v>221</v>
      </c>
      <c r="D63" s="69" t="s">
        <v>58</v>
      </c>
    </row>
    <row r="64" customFormat="false" ht="22.35" hidden="false" customHeight="false" outlineLevel="0" collapsed="false">
      <c r="A64" s="68" t="s">
        <v>222</v>
      </c>
      <c r="B64" s="69" t="s">
        <v>223</v>
      </c>
      <c r="C64" s="69" t="s">
        <v>224</v>
      </c>
      <c r="D64" s="69" t="s">
        <v>62</v>
      </c>
    </row>
    <row r="65" customFormat="false" ht="22.35" hidden="false" customHeight="false" outlineLevel="0" collapsed="false">
      <c r="A65" s="68" t="s">
        <v>225</v>
      </c>
      <c r="B65" s="69" t="s">
        <v>226</v>
      </c>
      <c r="C65" s="69" t="s">
        <v>227</v>
      </c>
      <c r="D65" s="69" t="s">
        <v>58</v>
      </c>
    </row>
    <row r="66" customFormat="false" ht="22.35" hidden="false" customHeight="false" outlineLevel="0" collapsed="false">
      <c r="A66" s="68" t="s">
        <v>228</v>
      </c>
      <c r="B66" s="69" t="s">
        <v>229</v>
      </c>
      <c r="C66" s="69" t="s">
        <v>230</v>
      </c>
      <c r="D66" s="69" t="s">
        <v>62</v>
      </c>
    </row>
    <row r="67" customFormat="false" ht="22.35" hidden="false" customHeight="false" outlineLevel="0" collapsed="false">
      <c r="A67" s="68" t="s">
        <v>231</v>
      </c>
      <c r="B67" s="69" t="s">
        <v>232</v>
      </c>
      <c r="C67" s="69" t="s">
        <v>233</v>
      </c>
      <c r="D67" s="69" t="s">
        <v>58</v>
      </c>
    </row>
    <row r="68" customFormat="false" ht="22.35" hidden="false" customHeight="false" outlineLevel="0" collapsed="false">
      <c r="A68" s="68" t="s">
        <v>234</v>
      </c>
      <c r="B68" s="69" t="s">
        <v>235</v>
      </c>
      <c r="C68" s="69" t="s">
        <v>236</v>
      </c>
      <c r="D68" s="69" t="s">
        <v>62</v>
      </c>
    </row>
    <row r="69" customFormat="false" ht="22.35" hidden="false" customHeight="false" outlineLevel="0" collapsed="false">
      <c r="A69" s="68" t="s">
        <v>237</v>
      </c>
      <c r="B69" s="69" t="s">
        <v>238</v>
      </c>
      <c r="C69" s="69" t="s">
        <v>239</v>
      </c>
      <c r="D69" s="69" t="s">
        <v>58</v>
      </c>
    </row>
    <row r="70" customFormat="false" ht="22.35" hidden="false" customHeight="false" outlineLevel="0" collapsed="false">
      <c r="A70" s="68" t="s">
        <v>240</v>
      </c>
      <c r="B70" s="69" t="s">
        <v>241</v>
      </c>
      <c r="C70" s="69" t="s">
        <v>242</v>
      </c>
      <c r="D70" s="69" t="s">
        <v>62</v>
      </c>
    </row>
    <row r="71" customFormat="false" ht="22.35" hidden="false" customHeight="false" outlineLevel="0" collapsed="false">
      <c r="A71" s="68" t="s">
        <v>243</v>
      </c>
      <c r="B71" s="69" t="s">
        <v>244</v>
      </c>
      <c r="C71" s="69" t="s">
        <v>245</v>
      </c>
      <c r="D71" s="69" t="s">
        <v>58</v>
      </c>
    </row>
    <row r="72" customFormat="false" ht="22.35" hidden="false" customHeight="false" outlineLevel="0" collapsed="false">
      <c r="A72" s="68" t="s">
        <v>246</v>
      </c>
      <c r="B72" s="69" t="s">
        <v>247</v>
      </c>
      <c r="C72" s="69" t="s">
        <v>248</v>
      </c>
      <c r="D72" s="69" t="s">
        <v>62</v>
      </c>
    </row>
    <row r="73" customFormat="false" ht="22.35" hidden="false" customHeight="false" outlineLevel="0" collapsed="false">
      <c r="A73" s="68" t="s">
        <v>249</v>
      </c>
      <c r="B73" s="69" t="s">
        <v>250</v>
      </c>
      <c r="C73" s="69" t="s">
        <v>251</v>
      </c>
      <c r="D73" s="69" t="s">
        <v>58</v>
      </c>
    </row>
    <row r="74" customFormat="false" ht="22.35" hidden="false" customHeight="false" outlineLevel="0" collapsed="false">
      <c r="A74" s="68" t="s">
        <v>252</v>
      </c>
      <c r="B74" s="69" t="s">
        <v>253</v>
      </c>
      <c r="C74" s="69" t="s">
        <v>254</v>
      </c>
      <c r="D74" s="69" t="s">
        <v>62</v>
      </c>
    </row>
    <row r="75" customFormat="false" ht="22.35" hidden="false" customHeight="false" outlineLevel="0" collapsed="false">
      <c r="A75" s="68" t="s">
        <v>255</v>
      </c>
      <c r="B75" s="69" t="s">
        <v>256</v>
      </c>
      <c r="C75" s="69" t="s">
        <v>257</v>
      </c>
      <c r="D75" s="69" t="s">
        <v>58</v>
      </c>
    </row>
    <row r="76" customFormat="false" ht="22.35" hidden="false" customHeight="false" outlineLevel="0" collapsed="false">
      <c r="A76" s="68" t="s">
        <v>258</v>
      </c>
      <c r="B76" s="69" t="s">
        <v>259</v>
      </c>
      <c r="C76" s="69" t="s">
        <v>260</v>
      </c>
      <c r="D76" s="69" t="s">
        <v>62</v>
      </c>
    </row>
    <row r="77" customFormat="false" ht="22.35" hidden="false" customHeight="false" outlineLevel="0" collapsed="false">
      <c r="A77" s="68" t="s">
        <v>261</v>
      </c>
      <c r="B77" s="69" t="s">
        <v>262</v>
      </c>
      <c r="C77" s="69" t="s">
        <v>263</v>
      </c>
      <c r="D77" s="69" t="s">
        <v>58</v>
      </c>
    </row>
    <row r="78" customFormat="false" ht="22.35" hidden="false" customHeight="false" outlineLevel="0" collapsed="false">
      <c r="A78" s="68" t="s">
        <v>264</v>
      </c>
      <c r="B78" s="69" t="s">
        <v>265</v>
      </c>
      <c r="C78" s="69" t="s">
        <v>266</v>
      </c>
      <c r="D78" s="69" t="s">
        <v>62</v>
      </c>
    </row>
    <row r="79" customFormat="false" ht="22.35" hidden="false" customHeight="false" outlineLevel="0" collapsed="false">
      <c r="A79" s="68" t="s">
        <v>267</v>
      </c>
      <c r="B79" s="69" t="s">
        <v>268</v>
      </c>
      <c r="C79" s="69" t="s">
        <v>269</v>
      </c>
      <c r="D79" s="69" t="s">
        <v>58</v>
      </c>
    </row>
    <row r="80" customFormat="false" ht="22.35" hidden="false" customHeight="false" outlineLevel="0" collapsed="false">
      <c r="A80" s="68" t="s">
        <v>270</v>
      </c>
      <c r="B80" s="69" t="s">
        <v>271</v>
      </c>
      <c r="C80" s="69" t="s">
        <v>272</v>
      </c>
      <c r="D80" s="69" t="s">
        <v>62</v>
      </c>
    </row>
    <row r="81" customFormat="false" ht="22.35" hidden="false" customHeight="false" outlineLevel="0" collapsed="false">
      <c r="A81" s="68" t="s">
        <v>273</v>
      </c>
      <c r="B81" s="69" t="s">
        <v>274</v>
      </c>
      <c r="C81" s="69" t="s">
        <v>275</v>
      </c>
      <c r="D81" s="69" t="s">
        <v>58</v>
      </c>
    </row>
    <row r="82" customFormat="false" ht="22.35" hidden="false" customHeight="false" outlineLevel="0" collapsed="false">
      <c r="A82" s="68" t="s">
        <v>276</v>
      </c>
      <c r="B82" s="69" t="s">
        <v>277</v>
      </c>
      <c r="C82" s="69" t="s">
        <v>278</v>
      </c>
      <c r="D82" s="69" t="s">
        <v>62</v>
      </c>
    </row>
    <row r="83" customFormat="false" ht="22.35" hidden="false" customHeight="false" outlineLevel="0" collapsed="false">
      <c r="A83" s="68" t="s">
        <v>279</v>
      </c>
      <c r="B83" s="69" t="s">
        <v>280</v>
      </c>
      <c r="C83" s="69" t="s">
        <v>281</v>
      </c>
      <c r="D83" s="69" t="s">
        <v>58</v>
      </c>
    </row>
    <row r="84" customFormat="false" ht="22.35" hidden="false" customHeight="false" outlineLevel="0" collapsed="false">
      <c r="A84" s="68" t="s">
        <v>282</v>
      </c>
      <c r="B84" s="69" t="s">
        <v>283</v>
      </c>
      <c r="C84" s="69" t="s">
        <v>284</v>
      </c>
      <c r="D84" s="69" t="s">
        <v>62</v>
      </c>
    </row>
    <row r="85" customFormat="false" ht="22.35" hidden="false" customHeight="false" outlineLevel="0" collapsed="false">
      <c r="A85" s="68" t="s">
        <v>285</v>
      </c>
      <c r="B85" s="69" t="s">
        <v>286</v>
      </c>
      <c r="C85" s="69" t="s">
        <v>287</v>
      </c>
      <c r="D85" s="69" t="s">
        <v>58</v>
      </c>
    </row>
    <row r="86" customFormat="false" ht="22.35" hidden="false" customHeight="false" outlineLevel="0" collapsed="false">
      <c r="A86" s="68" t="s">
        <v>288</v>
      </c>
      <c r="B86" s="69" t="s">
        <v>289</v>
      </c>
      <c r="C86" s="69" t="s">
        <v>290</v>
      </c>
      <c r="D86" s="69" t="s">
        <v>62</v>
      </c>
    </row>
    <row r="87" customFormat="false" ht="22.35" hidden="false" customHeight="false" outlineLevel="0" collapsed="false">
      <c r="A87" s="68" t="s">
        <v>291</v>
      </c>
      <c r="B87" s="69" t="s">
        <v>292</v>
      </c>
      <c r="C87" s="69" t="s">
        <v>293</v>
      </c>
      <c r="D87" s="69" t="s">
        <v>58</v>
      </c>
    </row>
    <row r="88" customFormat="false" ht="22.35" hidden="false" customHeight="false" outlineLevel="0" collapsed="false">
      <c r="A88" s="68" t="s">
        <v>294</v>
      </c>
      <c r="B88" s="69" t="s">
        <v>295</v>
      </c>
      <c r="C88" s="69" t="s">
        <v>296</v>
      </c>
      <c r="D88" s="69" t="s">
        <v>62</v>
      </c>
    </row>
    <row r="89" customFormat="false" ht="22.35" hidden="false" customHeight="false" outlineLevel="0" collapsed="false">
      <c r="A89" s="68" t="s">
        <v>297</v>
      </c>
      <c r="B89" s="69" t="s">
        <v>298</v>
      </c>
      <c r="C89" s="69" t="s">
        <v>299</v>
      </c>
      <c r="D89" s="69" t="s">
        <v>58</v>
      </c>
    </row>
    <row r="90" customFormat="false" ht="22.35" hidden="false" customHeight="false" outlineLevel="0" collapsed="false">
      <c r="A90" s="68" t="s">
        <v>300</v>
      </c>
      <c r="B90" s="69" t="s">
        <v>301</v>
      </c>
      <c r="C90" s="69" t="s">
        <v>302</v>
      </c>
      <c r="D90" s="69" t="s">
        <v>62</v>
      </c>
    </row>
    <row r="91" customFormat="false" ht="22.35" hidden="false" customHeight="false" outlineLevel="0" collapsed="false">
      <c r="A91" s="68" t="s">
        <v>303</v>
      </c>
      <c r="B91" s="69" t="s">
        <v>304</v>
      </c>
      <c r="C91" s="69" t="s">
        <v>305</v>
      </c>
      <c r="D91" s="69" t="s">
        <v>58</v>
      </c>
    </row>
    <row r="92" customFormat="false" ht="22.35" hidden="false" customHeight="false" outlineLevel="0" collapsed="false">
      <c r="A92" s="68" t="s">
        <v>306</v>
      </c>
      <c r="B92" s="69" t="s">
        <v>307</v>
      </c>
      <c r="C92" s="69" t="s">
        <v>308</v>
      </c>
      <c r="D92" s="69" t="s">
        <v>62</v>
      </c>
    </row>
    <row r="93" customFormat="false" ht="22.35" hidden="false" customHeight="false" outlineLevel="0" collapsed="false">
      <c r="A93" s="68" t="s">
        <v>309</v>
      </c>
      <c r="B93" s="69" t="s">
        <v>310</v>
      </c>
      <c r="C93" s="69" t="s">
        <v>311</v>
      </c>
      <c r="D93" s="69" t="s">
        <v>58</v>
      </c>
    </row>
    <row r="94" customFormat="false" ht="22.35" hidden="false" customHeight="false" outlineLevel="0" collapsed="false">
      <c r="A94" s="68" t="s">
        <v>312</v>
      </c>
      <c r="B94" s="69" t="s">
        <v>313</v>
      </c>
      <c r="C94" s="69" t="s">
        <v>314</v>
      </c>
      <c r="D94" s="69" t="s">
        <v>62</v>
      </c>
    </row>
    <row r="95" customFormat="false" ht="22.35" hidden="false" customHeight="false" outlineLevel="0" collapsed="false">
      <c r="A95" s="68" t="s">
        <v>315</v>
      </c>
      <c r="B95" s="69" t="s">
        <v>316</v>
      </c>
      <c r="C95" s="69" t="s">
        <v>317</v>
      </c>
      <c r="D95" s="69" t="s">
        <v>58</v>
      </c>
    </row>
    <row r="96" customFormat="false" ht="22.35" hidden="false" customHeight="false" outlineLevel="0" collapsed="false">
      <c r="A96" s="68" t="s">
        <v>318</v>
      </c>
      <c r="B96" s="69" t="s">
        <v>319</v>
      </c>
      <c r="C96" s="69" t="s">
        <v>320</v>
      </c>
      <c r="D96" s="69" t="s">
        <v>62</v>
      </c>
    </row>
    <row r="97" customFormat="false" ht="22.35" hidden="false" customHeight="false" outlineLevel="0" collapsed="false">
      <c r="A97" s="68" t="s">
        <v>321</v>
      </c>
      <c r="B97" s="69" t="s">
        <v>322</v>
      </c>
      <c r="C97" s="69" t="s">
        <v>323</v>
      </c>
      <c r="D97" s="69" t="s">
        <v>58</v>
      </c>
    </row>
    <row r="98" customFormat="false" ht="22.35" hidden="false" customHeight="false" outlineLevel="0" collapsed="false">
      <c r="A98" s="68" t="s">
        <v>324</v>
      </c>
      <c r="B98" s="69" t="s">
        <v>325</v>
      </c>
      <c r="C98" s="69" t="s">
        <v>326</v>
      </c>
      <c r="D98" s="69" t="s">
        <v>62</v>
      </c>
    </row>
    <row r="99" customFormat="false" ht="22.35" hidden="false" customHeight="false" outlineLevel="0" collapsed="false">
      <c r="A99" s="68" t="s">
        <v>327</v>
      </c>
      <c r="B99" s="69" t="s">
        <v>328</v>
      </c>
      <c r="C99" s="69" t="s">
        <v>329</v>
      </c>
      <c r="D99" s="69" t="s">
        <v>58</v>
      </c>
    </row>
    <row r="100" customFormat="false" ht="22.35" hidden="false" customHeight="false" outlineLevel="0" collapsed="false">
      <c r="A100" s="68" t="s">
        <v>330</v>
      </c>
      <c r="B100" s="69" t="s">
        <v>331</v>
      </c>
      <c r="C100" s="69" t="s">
        <v>332</v>
      </c>
      <c r="D100" s="69" t="s">
        <v>62</v>
      </c>
    </row>
    <row r="101" customFormat="false" ht="22.35" hidden="false" customHeight="false" outlineLevel="0" collapsed="false">
      <c r="A101" s="68" t="s">
        <v>333</v>
      </c>
      <c r="B101" s="69" t="s">
        <v>334</v>
      </c>
      <c r="C101" s="69" t="s">
        <v>335</v>
      </c>
      <c r="D101" s="69" t="s">
        <v>58</v>
      </c>
    </row>
    <row r="102" customFormat="false" ht="22.35" hidden="false" customHeight="false" outlineLevel="0" collapsed="false">
      <c r="A102" s="68" t="s">
        <v>336</v>
      </c>
      <c r="B102" s="69" t="s">
        <v>337</v>
      </c>
      <c r="C102" s="69" t="s">
        <v>338</v>
      </c>
      <c r="D102" s="69" t="s">
        <v>62</v>
      </c>
    </row>
    <row r="103" customFormat="false" ht="22.35" hidden="false" customHeight="false" outlineLevel="0" collapsed="false">
      <c r="A103" s="68" t="s">
        <v>339</v>
      </c>
      <c r="B103" s="69" t="s">
        <v>340</v>
      </c>
      <c r="C103" s="69" t="s">
        <v>341</v>
      </c>
      <c r="D103" s="69" t="s">
        <v>58</v>
      </c>
    </row>
    <row r="104" customFormat="false" ht="22.35" hidden="false" customHeight="false" outlineLevel="0" collapsed="false">
      <c r="A104" s="68" t="s">
        <v>342</v>
      </c>
      <c r="B104" s="69" t="s">
        <v>343</v>
      </c>
      <c r="C104" s="69" t="s">
        <v>344</v>
      </c>
      <c r="D104" s="69" t="s">
        <v>62</v>
      </c>
    </row>
    <row r="105" customFormat="false" ht="22.35" hidden="false" customHeight="false" outlineLevel="0" collapsed="false">
      <c r="A105" s="68" t="s">
        <v>345</v>
      </c>
      <c r="B105" s="69" t="s">
        <v>346</v>
      </c>
      <c r="C105" s="69" t="s">
        <v>347</v>
      </c>
      <c r="D105" s="69" t="s">
        <v>58</v>
      </c>
    </row>
    <row r="106" customFormat="false" ht="22.35" hidden="false" customHeight="false" outlineLevel="0" collapsed="false">
      <c r="A106" s="68" t="s">
        <v>348</v>
      </c>
      <c r="B106" s="69" t="s">
        <v>349</v>
      </c>
      <c r="C106" s="69" t="s">
        <v>350</v>
      </c>
      <c r="D106" s="69" t="s">
        <v>62</v>
      </c>
    </row>
    <row r="107" customFormat="false" ht="22.35" hidden="false" customHeight="false" outlineLevel="0" collapsed="false">
      <c r="A107" s="68" t="s">
        <v>351</v>
      </c>
      <c r="B107" s="69" t="s">
        <v>352</v>
      </c>
      <c r="C107" s="69" t="s">
        <v>353</v>
      </c>
      <c r="D107" s="69" t="s">
        <v>58</v>
      </c>
    </row>
    <row r="108" customFormat="false" ht="22.35" hidden="false" customHeight="false" outlineLevel="0" collapsed="false">
      <c r="A108" s="68" t="s">
        <v>354</v>
      </c>
      <c r="B108" s="69" t="s">
        <v>355</v>
      </c>
      <c r="C108" s="69" t="s">
        <v>356</v>
      </c>
      <c r="D108" s="69" t="s">
        <v>62</v>
      </c>
    </row>
    <row r="109" customFormat="false" ht="22.35" hidden="false" customHeight="false" outlineLevel="0" collapsed="false">
      <c r="A109" s="68" t="s">
        <v>357</v>
      </c>
      <c r="B109" s="69" t="s">
        <v>358</v>
      </c>
      <c r="C109" s="69" t="s">
        <v>359</v>
      </c>
      <c r="D109" s="69" t="s">
        <v>58</v>
      </c>
    </row>
    <row r="110" customFormat="false" ht="22.35" hidden="false" customHeight="false" outlineLevel="0" collapsed="false">
      <c r="A110" s="68" t="s">
        <v>360</v>
      </c>
      <c r="B110" s="69" t="s">
        <v>361</v>
      </c>
      <c r="C110" s="69" t="s">
        <v>362</v>
      </c>
      <c r="D110" s="69" t="s">
        <v>62</v>
      </c>
    </row>
    <row r="111" customFormat="false" ht="22.35" hidden="false" customHeight="false" outlineLevel="0" collapsed="false">
      <c r="A111" s="68" t="s">
        <v>363</v>
      </c>
      <c r="B111" s="69" t="s">
        <v>364</v>
      </c>
      <c r="C111" s="69" t="s">
        <v>365</v>
      </c>
      <c r="D111" s="69" t="s">
        <v>58</v>
      </c>
    </row>
    <row r="112" customFormat="false" ht="22.35" hidden="false" customHeight="false" outlineLevel="0" collapsed="false">
      <c r="A112" s="68" t="s">
        <v>366</v>
      </c>
      <c r="B112" s="69" t="s">
        <v>367</v>
      </c>
      <c r="C112" s="69" t="s">
        <v>368</v>
      </c>
      <c r="D112" s="69" t="s">
        <v>62</v>
      </c>
    </row>
    <row r="113" customFormat="false" ht="22.35" hidden="false" customHeight="false" outlineLevel="0" collapsed="false">
      <c r="A113" s="68" t="s">
        <v>369</v>
      </c>
      <c r="B113" s="69" t="s">
        <v>370</v>
      </c>
      <c r="C113" s="69" t="s">
        <v>371</v>
      </c>
      <c r="D113" s="69" t="s">
        <v>58</v>
      </c>
    </row>
    <row r="114" customFormat="false" ht="22.35" hidden="false" customHeight="false" outlineLevel="0" collapsed="false">
      <c r="A114" s="68" t="s">
        <v>372</v>
      </c>
      <c r="B114" s="69" t="s">
        <v>373</v>
      </c>
      <c r="C114" s="69" t="s">
        <v>374</v>
      </c>
      <c r="D114" s="69" t="s">
        <v>62</v>
      </c>
    </row>
    <row r="115" customFormat="false" ht="22.35" hidden="false" customHeight="false" outlineLevel="0" collapsed="false">
      <c r="A115" s="68" t="s">
        <v>375</v>
      </c>
      <c r="B115" s="69" t="s">
        <v>376</v>
      </c>
      <c r="C115" s="69" t="s">
        <v>377</v>
      </c>
      <c r="D115" s="69" t="s">
        <v>58</v>
      </c>
    </row>
    <row r="116" customFormat="false" ht="22.35" hidden="false" customHeight="false" outlineLevel="0" collapsed="false">
      <c r="A116" s="68" t="s">
        <v>378</v>
      </c>
      <c r="B116" s="69" t="s">
        <v>379</v>
      </c>
      <c r="C116" s="69" t="s">
        <v>380</v>
      </c>
      <c r="D116" s="69" t="s">
        <v>62</v>
      </c>
    </row>
    <row r="117" customFormat="false" ht="22.35" hidden="false" customHeight="false" outlineLevel="0" collapsed="false">
      <c r="A117" s="68" t="s">
        <v>59</v>
      </c>
      <c r="B117" s="69" t="s">
        <v>61</v>
      </c>
      <c r="C117" s="69" t="s">
        <v>381</v>
      </c>
      <c r="D117" s="69" t="s">
        <v>382</v>
      </c>
    </row>
    <row r="118" customFormat="false" ht="22.35" hidden="false" customHeight="false" outlineLevel="0" collapsed="false">
      <c r="A118" s="68" t="s">
        <v>66</v>
      </c>
      <c r="B118" s="69" t="s">
        <v>68</v>
      </c>
      <c r="C118" s="69" t="s">
        <v>383</v>
      </c>
      <c r="D118" s="69" t="s">
        <v>382</v>
      </c>
    </row>
    <row r="119" customFormat="false" ht="22.35" hidden="false" customHeight="false" outlineLevel="0" collapsed="false">
      <c r="A119" s="68" t="s">
        <v>72</v>
      </c>
      <c r="B119" s="69" t="s">
        <v>74</v>
      </c>
      <c r="C119" s="69" t="s">
        <v>384</v>
      </c>
      <c r="D119" s="69" t="s">
        <v>382</v>
      </c>
    </row>
    <row r="120" customFormat="false" ht="22.35" hidden="false" customHeight="false" outlineLevel="0" collapsed="false">
      <c r="A120" s="68" t="s">
        <v>78</v>
      </c>
      <c r="B120" s="69" t="s">
        <v>80</v>
      </c>
      <c r="C120" s="69" t="s">
        <v>385</v>
      </c>
      <c r="D120" s="69" t="s">
        <v>382</v>
      </c>
    </row>
    <row r="121" customFormat="false" ht="22.35" hidden="false" customHeight="false" outlineLevel="0" collapsed="false">
      <c r="A121" s="68" t="s">
        <v>84</v>
      </c>
      <c r="B121" s="69" t="s">
        <v>86</v>
      </c>
      <c r="C121" s="69" t="s">
        <v>386</v>
      </c>
      <c r="D121" s="69" t="s">
        <v>382</v>
      </c>
    </row>
    <row r="122" customFormat="false" ht="22.35" hidden="false" customHeight="false" outlineLevel="0" collapsed="false">
      <c r="A122" s="68" t="s">
        <v>90</v>
      </c>
      <c r="B122" s="69" t="s">
        <v>92</v>
      </c>
      <c r="C122" s="69" t="s">
        <v>387</v>
      </c>
      <c r="D122" s="69" t="s">
        <v>382</v>
      </c>
    </row>
    <row r="123" customFormat="false" ht="22.35" hidden="false" customHeight="false" outlineLevel="0" collapsed="false">
      <c r="A123" s="68" t="s">
        <v>96</v>
      </c>
      <c r="B123" s="69" t="s">
        <v>98</v>
      </c>
      <c r="C123" s="69" t="s">
        <v>388</v>
      </c>
      <c r="D123" s="69" t="s">
        <v>382</v>
      </c>
    </row>
    <row r="124" customFormat="false" ht="22.35" hidden="false" customHeight="false" outlineLevel="0" collapsed="false">
      <c r="A124" s="68" t="s">
        <v>102</v>
      </c>
      <c r="B124" s="69" t="s">
        <v>104</v>
      </c>
      <c r="C124" s="69" t="s">
        <v>389</v>
      </c>
      <c r="D124" s="69" t="s">
        <v>382</v>
      </c>
    </row>
    <row r="125" customFormat="false" ht="22.35" hidden="false" customHeight="false" outlineLevel="0" collapsed="false">
      <c r="A125" s="68" t="s">
        <v>108</v>
      </c>
      <c r="B125" s="69" t="s">
        <v>110</v>
      </c>
      <c r="C125" s="69" t="s">
        <v>390</v>
      </c>
      <c r="D125" s="69" t="s">
        <v>382</v>
      </c>
    </row>
    <row r="126" customFormat="false" ht="22.35" hidden="false" customHeight="false" outlineLevel="0" collapsed="false">
      <c r="A126" s="68" t="s">
        <v>114</v>
      </c>
      <c r="B126" s="69" t="s">
        <v>116</v>
      </c>
      <c r="C126" s="69" t="s">
        <v>391</v>
      </c>
      <c r="D126" s="69" t="s">
        <v>382</v>
      </c>
    </row>
    <row r="127" customFormat="false" ht="22.35" hidden="false" customHeight="false" outlineLevel="0" collapsed="false">
      <c r="A127" s="68" t="s">
        <v>120</v>
      </c>
      <c r="B127" s="69" t="s">
        <v>122</v>
      </c>
      <c r="C127" s="69" t="s">
        <v>392</v>
      </c>
      <c r="D127" s="69" t="s">
        <v>382</v>
      </c>
    </row>
    <row r="128" customFormat="false" ht="22.35" hidden="false" customHeight="false" outlineLevel="0" collapsed="false">
      <c r="A128" s="68" t="s">
        <v>126</v>
      </c>
      <c r="B128" s="69" t="s">
        <v>128</v>
      </c>
      <c r="C128" s="69" t="s">
        <v>393</v>
      </c>
      <c r="D128" s="69" t="s">
        <v>382</v>
      </c>
    </row>
    <row r="129" customFormat="false" ht="22.35" hidden="false" customHeight="false" outlineLevel="0" collapsed="false">
      <c r="A129" s="68" t="s">
        <v>132</v>
      </c>
      <c r="B129" s="69" t="s">
        <v>134</v>
      </c>
      <c r="C129" s="69" t="s">
        <v>394</v>
      </c>
      <c r="D129" s="69" t="s">
        <v>382</v>
      </c>
    </row>
    <row r="130" customFormat="false" ht="22.35" hidden="false" customHeight="false" outlineLevel="0" collapsed="false">
      <c r="A130" s="68" t="s">
        <v>138</v>
      </c>
      <c r="B130" s="69" t="s">
        <v>140</v>
      </c>
      <c r="C130" s="69" t="s">
        <v>395</v>
      </c>
      <c r="D130" s="69" t="s">
        <v>382</v>
      </c>
    </row>
    <row r="131" customFormat="false" ht="22.35" hidden="false" customHeight="false" outlineLevel="0" collapsed="false">
      <c r="A131" s="68" t="s">
        <v>144</v>
      </c>
      <c r="B131" s="69" t="s">
        <v>146</v>
      </c>
      <c r="C131" s="69" t="s">
        <v>396</v>
      </c>
      <c r="D131" s="69" t="s">
        <v>382</v>
      </c>
    </row>
    <row r="132" customFormat="false" ht="22.35" hidden="false" customHeight="false" outlineLevel="0" collapsed="false">
      <c r="A132" s="68" t="s">
        <v>150</v>
      </c>
      <c r="B132" s="69" t="s">
        <v>152</v>
      </c>
      <c r="C132" s="69" t="s">
        <v>397</v>
      </c>
      <c r="D132" s="69" t="s">
        <v>382</v>
      </c>
    </row>
    <row r="133" customFormat="false" ht="22.35" hidden="false" customHeight="false" outlineLevel="0" collapsed="false">
      <c r="A133" s="68" t="s">
        <v>156</v>
      </c>
      <c r="B133" s="69" t="s">
        <v>158</v>
      </c>
      <c r="C133" s="69" t="s">
        <v>398</v>
      </c>
      <c r="D133" s="69" t="s">
        <v>382</v>
      </c>
    </row>
    <row r="134" customFormat="false" ht="22.35" hidden="false" customHeight="false" outlineLevel="0" collapsed="false">
      <c r="A134" s="68" t="s">
        <v>162</v>
      </c>
      <c r="B134" s="69" t="s">
        <v>164</v>
      </c>
      <c r="C134" s="69" t="s">
        <v>399</v>
      </c>
      <c r="D134" s="69" t="s">
        <v>382</v>
      </c>
    </row>
    <row r="135" customFormat="false" ht="22.35" hidden="false" customHeight="false" outlineLevel="0" collapsed="false">
      <c r="A135" s="68" t="s">
        <v>168</v>
      </c>
      <c r="B135" s="69" t="s">
        <v>170</v>
      </c>
      <c r="C135" s="69" t="s">
        <v>400</v>
      </c>
      <c r="D135" s="69" t="s">
        <v>382</v>
      </c>
    </row>
    <row r="136" customFormat="false" ht="22.35" hidden="false" customHeight="false" outlineLevel="0" collapsed="false">
      <c r="A136" s="68" t="s">
        <v>174</v>
      </c>
      <c r="B136" s="69" t="s">
        <v>176</v>
      </c>
      <c r="C136" s="69" t="s">
        <v>401</v>
      </c>
      <c r="D136" s="69" t="s">
        <v>382</v>
      </c>
    </row>
    <row r="137" customFormat="false" ht="22.35" hidden="false" customHeight="false" outlineLevel="0" collapsed="false">
      <c r="A137" s="68" t="s">
        <v>180</v>
      </c>
      <c r="B137" s="69" t="s">
        <v>182</v>
      </c>
      <c r="C137" s="69" t="s">
        <v>402</v>
      </c>
      <c r="D137" s="69" t="s">
        <v>382</v>
      </c>
    </row>
    <row r="138" customFormat="false" ht="22.35" hidden="false" customHeight="false" outlineLevel="0" collapsed="false">
      <c r="A138" s="68" t="s">
        <v>186</v>
      </c>
      <c r="B138" s="69" t="s">
        <v>188</v>
      </c>
      <c r="C138" s="69" t="s">
        <v>403</v>
      </c>
      <c r="D138" s="69" t="s">
        <v>382</v>
      </c>
    </row>
    <row r="139" customFormat="false" ht="22.35" hidden="false" customHeight="false" outlineLevel="0" collapsed="false">
      <c r="A139" s="68" t="s">
        <v>192</v>
      </c>
      <c r="B139" s="69" t="s">
        <v>194</v>
      </c>
      <c r="C139" s="69" t="s">
        <v>404</v>
      </c>
      <c r="D139" s="69" t="s">
        <v>382</v>
      </c>
    </row>
    <row r="140" customFormat="false" ht="22.35" hidden="false" customHeight="false" outlineLevel="0" collapsed="false">
      <c r="A140" s="68" t="s">
        <v>198</v>
      </c>
      <c r="B140" s="69" t="s">
        <v>200</v>
      </c>
      <c r="C140" s="69" t="s">
        <v>405</v>
      </c>
      <c r="D140" s="69" t="s">
        <v>382</v>
      </c>
    </row>
    <row r="141" customFormat="false" ht="22.35" hidden="false" customHeight="false" outlineLevel="0" collapsed="false">
      <c r="A141" s="68" t="s">
        <v>204</v>
      </c>
      <c r="B141" s="69" t="s">
        <v>206</v>
      </c>
      <c r="C141" s="69" t="s">
        <v>406</v>
      </c>
      <c r="D141" s="69" t="s">
        <v>382</v>
      </c>
    </row>
    <row r="142" customFormat="false" ht="22.35" hidden="false" customHeight="false" outlineLevel="0" collapsed="false">
      <c r="A142" s="68" t="s">
        <v>210</v>
      </c>
      <c r="B142" s="69" t="s">
        <v>212</v>
      </c>
      <c r="C142" s="69" t="s">
        <v>407</v>
      </c>
      <c r="D142" s="69" t="s">
        <v>382</v>
      </c>
    </row>
    <row r="143" customFormat="false" ht="22.35" hidden="false" customHeight="false" outlineLevel="0" collapsed="false">
      <c r="A143" s="68" t="s">
        <v>216</v>
      </c>
      <c r="B143" s="69" t="s">
        <v>218</v>
      </c>
      <c r="C143" s="69" t="s">
        <v>408</v>
      </c>
      <c r="D143" s="69" t="s">
        <v>382</v>
      </c>
    </row>
    <row r="144" customFormat="false" ht="22.35" hidden="false" customHeight="false" outlineLevel="0" collapsed="false">
      <c r="A144" s="68" t="s">
        <v>222</v>
      </c>
      <c r="B144" s="69" t="s">
        <v>224</v>
      </c>
      <c r="C144" s="69" t="s">
        <v>409</v>
      </c>
      <c r="D144" s="69" t="s">
        <v>382</v>
      </c>
    </row>
    <row r="145" customFormat="false" ht="22.35" hidden="false" customHeight="false" outlineLevel="0" collapsed="false">
      <c r="A145" s="68" t="s">
        <v>228</v>
      </c>
      <c r="B145" s="69" t="s">
        <v>230</v>
      </c>
      <c r="C145" s="69" t="s">
        <v>410</v>
      </c>
      <c r="D145" s="69" t="s">
        <v>382</v>
      </c>
    </row>
    <row r="146" customFormat="false" ht="22.35" hidden="false" customHeight="false" outlineLevel="0" collapsed="false">
      <c r="A146" s="68" t="s">
        <v>234</v>
      </c>
      <c r="B146" s="69" t="s">
        <v>236</v>
      </c>
      <c r="C146" s="69" t="s">
        <v>411</v>
      </c>
      <c r="D146" s="69" t="s">
        <v>382</v>
      </c>
    </row>
    <row r="147" customFormat="false" ht="22.35" hidden="false" customHeight="false" outlineLevel="0" collapsed="false">
      <c r="A147" s="68" t="s">
        <v>240</v>
      </c>
      <c r="B147" s="69" t="s">
        <v>242</v>
      </c>
      <c r="C147" s="69" t="s">
        <v>412</v>
      </c>
      <c r="D147" s="69" t="s">
        <v>382</v>
      </c>
    </row>
    <row r="148" customFormat="false" ht="22.35" hidden="false" customHeight="false" outlineLevel="0" collapsed="false">
      <c r="A148" s="68" t="s">
        <v>246</v>
      </c>
      <c r="B148" s="69" t="s">
        <v>248</v>
      </c>
      <c r="C148" s="69" t="s">
        <v>413</v>
      </c>
      <c r="D148" s="69" t="s">
        <v>382</v>
      </c>
    </row>
    <row r="149" customFormat="false" ht="22.35" hidden="false" customHeight="false" outlineLevel="0" collapsed="false">
      <c r="A149" s="68" t="s">
        <v>252</v>
      </c>
      <c r="B149" s="69" t="s">
        <v>254</v>
      </c>
      <c r="C149" s="69" t="s">
        <v>414</v>
      </c>
      <c r="D149" s="69" t="s">
        <v>382</v>
      </c>
    </row>
    <row r="150" customFormat="false" ht="22.35" hidden="false" customHeight="false" outlineLevel="0" collapsed="false">
      <c r="A150" s="68" t="s">
        <v>258</v>
      </c>
      <c r="B150" s="69" t="s">
        <v>260</v>
      </c>
      <c r="C150" s="69" t="s">
        <v>415</v>
      </c>
      <c r="D150" s="69" t="s">
        <v>382</v>
      </c>
    </row>
    <row r="151" customFormat="false" ht="22.35" hidden="false" customHeight="false" outlineLevel="0" collapsed="false">
      <c r="A151" s="68" t="s">
        <v>264</v>
      </c>
      <c r="B151" s="69" t="s">
        <v>266</v>
      </c>
      <c r="C151" s="69" t="s">
        <v>416</v>
      </c>
      <c r="D151" s="69" t="s">
        <v>382</v>
      </c>
    </row>
    <row r="152" customFormat="false" ht="22.35" hidden="false" customHeight="false" outlineLevel="0" collapsed="false">
      <c r="A152" s="68" t="s">
        <v>270</v>
      </c>
      <c r="B152" s="69" t="s">
        <v>272</v>
      </c>
      <c r="C152" s="69" t="s">
        <v>417</v>
      </c>
      <c r="D152" s="69" t="s">
        <v>382</v>
      </c>
    </row>
    <row r="153" customFormat="false" ht="22.35" hidden="false" customHeight="false" outlineLevel="0" collapsed="false">
      <c r="A153" s="68" t="s">
        <v>276</v>
      </c>
      <c r="B153" s="69" t="s">
        <v>278</v>
      </c>
      <c r="C153" s="69" t="s">
        <v>418</v>
      </c>
      <c r="D153" s="69" t="s">
        <v>382</v>
      </c>
    </row>
    <row r="154" customFormat="false" ht="22.35" hidden="false" customHeight="false" outlineLevel="0" collapsed="false">
      <c r="A154" s="68" t="s">
        <v>282</v>
      </c>
      <c r="B154" s="69" t="s">
        <v>284</v>
      </c>
      <c r="C154" s="69" t="s">
        <v>419</v>
      </c>
      <c r="D154" s="69" t="s">
        <v>382</v>
      </c>
    </row>
    <row r="155" customFormat="false" ht="22.35" hidden="false" customHeight="false" outlineLevel="0" collapsed="false">
      <c r="A155" s="68" t="s">
        <v>288</v>
      </c>
      <c r="B155" s="69" t="s">
        <v>290</v>
      </c>
      <c r="C155" s="69" t="s">
        <v>420</v>
      </c>
      <c r="D155" s="69" t="s">
        <v>382</v>
      </c>
    </row>
    <row r="156" customFormat="false" ht="22.35" hidden="false" customHeight="false" outlineLevel="0" collapsed="false">
      <c r="A156" s="68" t="s">
        <v>294</v>
      </c>
      <c r="B156" s="69" t="s">
        <v>296</v>
      </c>
      <c r="C156" s="69" t="s">
        <v>421</v>
      </c>
      <c r="D156" s="69" t="s">
        <v>382</v>
      </c>
    </row>
    <row r="157" customFormat="false" ht="22.35" hidden="false" customHeight="false" outlineLevel="0" collapsed="false">
      <c r="A157" s="68" t="s">
        <v>300</v>
      </c>
      <c r="B157" s="69" t="s">
        <v>302</v>
      </c>
      <c r="C157" s="69" t="s">
        <v>422</v>
      </c>
      <c r="D157" s="69" t="s">
        <v>382</v>
      </c>
    </row>
    <row r="158" customFormat="false" ht="22.35" hidden="false" customHeight="false" outlineLevel="0" collapsed="false">
      <c r="A158" s="68" t="s">
        <v>306</v>
      </c>
      <c r="B158" s="69" t="s">
        <v>308</v>
      </c>
      <c r="C158" s="69" t="s">
        <v>423</v>
      </c>
      <c r="D158" s="69" t="s">
        <v>382</v>
      </c>
    </row>
    <row r="159" customFormat="false" ht="22.35" hidden="false" customHeight="false" outlineLevel="0" collapsed="false">
      <c r="A159" s="68" t="s">
        <v>312</v>
      </c>
      <c r="B159" s="69" t="s">
        <v>314</v>
      </c>
      <c r="C159" s="69" t="s">
        <v>424</v>
      </c>
      <c r="D159" s="69" t="s">
        <v>382</v>
      </c>
    </row>
    <row r="160" customFormat="false" ht="22.35" hidden="false" customHeight="false" outlineLevel="0" collapsed="false">
      <c r="A160" s="68" t="s">
        <v>318</v>
      </c>
      <c r="B160" s="69" t="s">
        <v>320</v>
      </c>
      <c r="C160" s="69" t="s">
        <v>425</v>
      </c>
      <c r="D160" s="69" t="s">
        <v>382</v>
      </c>
    </row>
    <row r="161" customFormat="false" ht="22.35" hidden="false" customHeight="false" outlineLevel="0" collapsed="false">
      <c r="A161" s="68" t="s">
        <v>324</v>
      </c>
      <c r="B161" s="69" t="s">
        <v>326</v>
      </c>
      <c r="C161" s="69" t="s">
        <v>426</v>
      </c>
      <c r="D161" s="69" t="s">
        <v>382</v>
      </c>
    </row>
    <row r="162" customFormat="false" ht="22.35" hidden="false" customHeight="false" outlineLevel="0" collapsed="false">
      <c r="A162" s="68" t="s">
        <v>330</v>
      </c>
      <c r="B162" s="69" t="s">
        <v>332</v>
      </c>
      <c r="C162" s="69" t="s">
        <v>427</v>
      </c>
      <c r="D162" s="69" t="s">
        <v>382</v>
      </c>
    </row>
    <row r="163" customFormat="false" ht="22.35" hidden="false" customHeight="false" outlineLevel="0" collapsed="false">
      <c r="A163" s="68" t="s">
        <v>336</v>
      </c>
      <c r="B163" s="69" t="s">
        <v>338</v>
      </c>
      <c r="C163" s="69" t="s">
        <v>428</v>
      </c>
      <c r="D163" s="69" t="s">
        <v>382</v>
      </c>
    </row>
    <row r="164" customFormat="false" ht="22.35" hidden="false" customHeight="false" outlineLevel="0" collapsed="false">
      <c r="A164" s="68" t="s">
        <v>342</v>
      </c>
      <c r="B164" s="69" t="s">
        <v>344</v>
      </c>
      <c r="C164" s="69" t="s">
        <v>429</v>
      </c>
      <c r="D164" s="69" t="s">
        <v>382</v>
      </c>
    </row>
    <row r="165" customFormat="false" ht="22.35" hidden="false" customHeight="false" outlineLevel="0" collapsed="false">
      <c r="A165" s="68" t="s">
        <v>348</v>
      </c>
      <c r="B165" s="69" t="s">
        <v>350</v>
      </c>
      <c r="C165" s="69" t="s">
        <v>430</v>
      </c>
      <c r="D165" s="69" t="s">
        <v>382</v>
      </c>
    </row>
    <row r="166" customFormat="false" ht="22.35" hidden="false" customHeight="false" outlineLevel="0" collapsed="false">
      <c r="A166" s="68" t="s">
        <v>354</v>
      </c>
      <c r="B166" s="69" t="s">
        <v>356</v>
      </c>
      <c r="C166" s="69" t="s">
        <v>431</v>
      </c>
      <c r="D166" s="69" t="s">
        <v>382</v>
      </c>
    </row>
    <row r="167" customFormat="false" ht="22.35" hidden="false" customHeight="false" outlineLevel="0" collapsed="false">
      <c r="A167" s="68" t="s">
        <v>360</v>
      </c>
      <c r="B167" s="69" t="s">
        <v>362</v>
      </c>
      <c r="C167" s="69" t="s">
        <v>432</v>
      </c>
      <c r="D167" s="69" t="s">
        <v>382</v>
      </c>
    </row>
    <row r="168" customFormat="false" ht="22.35" hidden="false" customHeight="false" outlineLevel="0" collapsed="false">
      <c r="A168" s="68" t="s">
        <v>366</v>
      </c>
      <c r="B168" s="69" t="s">
        <v>368</v>
      </c>
      <c r="C168" s="69" t="s">
        <v>433</v>
      </c>
      <c r="D168" s="69" t="s">
        <v>382</v>
      </c>
    </row>
    <row r="169" customFormat="false" ht="22.35" hidden="false" customHeight="false" outlineLevel="0" collapsed="false">
      <c r="A169" s="68" t="s">
        <v>372</v>
      </c>
      <c r="B169" s="69" t="s">
        <v>374</v>
      </c>
      <c r="C169" s="69" t="s">
        <v>434</v>
      </c>
      <c r="D169" s="69" t="s">
        <v>382</v>
      </c>
    </row>
    <row r="170" customFormat="false" ht="22.35" hidden="false" customHeight="false" outlineLevel="0" collapsed="false">
      <c r="A170" s="68" t="s">
        <v>378</v>
      </c>
      <c r="B170" s="69" t="s">
        <v>380</v>
      </c>
      <c r="C170" s="69" t="s">
        <v>435</v>
      </c>
      <c r="D170" s="69" t="s">
        <v>382</v>
      </c>
    </row>
    <row r="171" customFormat="false" ht="15" hidden="false" customHeight="false" outlineLevel="0" collapsed="false">
      <c r="A171" s="68" t="s">
        <v>436</v>
      </c>
      <c r="B171" s="69" t="s">
        <v>437</v>
      </c>
      <c r="C171" s="69" t="s">
        <v>14</v>
      </c>
      <c r="D171" s="69" t="s">
        <v>438</v>
      </c>
    </row>
    <row r="172" customFormat="false" ht="22.35" hidden="false" customHeight="false" outlineLevel="0" collapsed="false">
      <c r="A172" s="68" t="s">
        <v>439</v>
      </c>
      <c r="B172" s="69" t="s">
        <v>440</v>
      </c>
      <c r="C172" s="69" t="s">
        <v>441</v>
      </c>
      <c r="D172" s="69" t="s">
        <v>442</v>
      </c>
    </row>
    <row r="173" customFormat="false" ht="22.35" hidden="false" customHeight="false" outlineLevel="0" collapsed="false">
      <c r="A173" s="68" t="s">
        <v>443</v>
      </c>
      <c r="B173" s="69" t="s">
        <v>444</v>
      </c>
      <c r="C173" s="69" t="s">
        <v>445</v>
      </c>
      <c r="D173" s="69" t="s">
        <v>442</v>
      </c>
    </row>
    <row r="174" customFormat="false" ht="22.35" hidden="false" customHeight="false" outlineLevel="0" collapsed="false">
      <c r="A174" s="68" t="s">
        <v>446</v>
      </c>
      <c r="B174" s="69" t="s">
        <v>447</v>
      </c>
      <c r="C174" s="69" t="s">
        <v>448</v>
      </c>
      <c r="D174" s="69" t="s">
        <v>442</v>
      </c>
    </row>
    <row r="175" customFormat="false" ht="22.35" hidden="false" customHeight="false" outlineLevel="0" collapsed="false">
      <c r="A175" s="68" t="s">
        <v>449</v>
      </c>
      <c r="B175" s="69" t="s">
        <v>450</v>
      </c>
      <c r="C175" s="69" t="s">
        <v>451</v>
      </c>
      <c r="D175" s="69" t="s">
        <v>442</v>
      </c>
    </row>
    <row r="176" customFormat="false" ht="22.35" hidden="false" customHeight="false" outlineLevel="0" collapsed="false">
      <c r="A176" s="68" t="s">
        <v>452</v>
      </c>
      <c r="B176" s="69" t="s">
        <v>453</v>
      </c>
      <c r="C176" s="69" t="s">
        <v>454</v>
      </c>
      <c r="D176" s="69" t="s">
        <v>442</v>
      </c>
    </row>
    <row r="177" customFormat="false" ht="22.35" hidden="false" customHeight="false" outlineLevel="0" collapsed="false">
      <c r="A177" s="68" t="s">
        <v>455</v>
      </c>
      <c r="B177" s="69" t="s">
        <v>456</v>
      </c>
      <c r="C177" s="69" t="s">
        <v>457</v>
      </c>
      <c r="D177" s="69" t="s">
        <v>442</v>
      </c>
    </row>
    <row r="178" customFormat="false" ht="22.35" hidden="false" customHeight="false" outlineLevel="0" collapsed="false">
      <c r="A178" s="68" t="s">
        <v>458</v>
      </c>
      <c r="B178" s="69" t="s">
        <v>459</v>
      </c>
      <c r="C178" s="69" t="s">
        <v>460</v>
      </c>
      <c r="D178" s="69" t="s">
        <v>442</v>
      </c>
    </row>
    <row r="179" customFormat="false" ht="22.35" hidden="false" customHeight="false" outlineLevel="0" collapsed="false">
      <c r="A179" s="68" t="s">
        <v>461</v>
      </c>
      <c r="B179" s="69" t="s">
        <v>462</v>
      </c>
      <c r="C179" s="69" t="s">
        <v>463</v>
      </c>
      <c r="D179" s="69" t="s">
        <v>442</v>
      </c>
    </row>
    <row r="180" customFormat="false" ht="22.35" hidden="false" customHeight="false" outlineLevel="0" collapsed="false">
      <c r="A180" s="68" t="s">
        <v>464</v>
      </c>
      <c r="B180" s="69" t="s">
        <v>465</v>
      </c>
      <c r="C180" s="69" t="s">
        <v>466</v>
      </c>
      <c r="D180" s="69" t="s">
        <v>442</v>
      </c>
    </row>
    <row r="181" customFormat="false" ht="22.35" hidden="false" customHeight="false" outlineLevel="0" collapsed="false">
      <c r="A181" s="68" t="s">
        <v>467</v>
      </c>
      <c r="B181" s="69" t="s">
        <v>468</v>
      </c>
      <c r="C181" s="69" t="s">
        <v>469</v>
      </c>
      <c r="D181" s="69" t="s">
        <v>442</v>
      </c>
    </row>
    <row r="182" customFormat="false" ht="22.35" hidden="false" customHeight="false" outlineLevel="0" collapsed="false">
      <c r="A182" s="68" t="s">
        <v>470</v>
      </c>
      <c r="B182" s="69" t="s">
        <v>471</v>
      </c>
      <c r="C182" s="69" t="s">
        <v>472</v>
      </c>
      <c r="D182" s="69" t="s">
        <v>442</v>
      </c>
    </row>
    <row r="183" customFormat="false" ht="22.35" hidden="false" customHeight="false" outlineLevel="0" collapsed="false">
      <c r="A183" s="68" t="s">
        <v>473</v>
      </c>
      <c r="B183" s="69" t="s">
        <v>474</v>
      </c>
      <c r="C183" s="69" t="s">
        <v>475</v>
      </c>
      <c r="D183" s="69" t="s">
        <v>442</v>
      </c>
    </row>
    <row r="184" customFormat="false" ht="22.35" hidden="false" customHeight="false" outlineLevel="0" collapsed="false">
      <c r="A184" s="68" t="s">
        <v>476</v>
      </c>
      <c r="B184" s="69" t="s">
        <v>477</v>
      </c>
      <c r="C184" s="69" t="s">
        <v>478</v>
      </c>
      <c r="D184" s="69" t="s">
        <v>442</v>
      </c>
    </row>
    <row r="185" customFormat="false" ht="22.35" hidden="false" customHeight="false" outlineLevel="0" collapsed="false">
      <c r="A185" s="68" t="s">
        <v>479</v>
      </c>
      <c r="B185" s="69" t="s">
        <v>480</v>
      </c>
      <c r="C185" s="69" t="s">
        <v>481</v>
      </c>
      <c r="D185" s="69" t="s">
        <v>442</v>
      </c>
    </row>
    <row r="186" customFormat="false" ht="22.35" hidden="false" customHeight="false" outlineLevel="0" collapsed="false">
      <c r="A186" s="68" t="s">
        <v>482</v>
      </c>
      <c r="B186" s="69" t="s">
        <v>483</v>
      </c>
      <c r="C186" s="69" t="s">
        <v>484</v>
      </c>
      <c r="D186" s="69" t="s">
        <v>442</v>
      </c>
    </row>
    <row r="187" customFormat="false" ht="22.35" hidden="false" customHeight="false" outlineLevel="0" collapsed="false">
      <c r="A187" s="68" t="s">
        <v>485</v>
      </c>
      <c r="B187" s="69" t="s">
        <v>486</v>
      </c>
      <c r="C187" s="69" t="s">
        <v>487</v>
      </c>
      <c r="D187" s="69" t="s">
        <v>442</v>
      </c>
    </row>
    <row r="188" customFormat="false" ht="22.35" hidden="false" customHeight="false" outlineLevel="0" collapsed="false">
      <c r="A188" s="68" t="s">
        <v>488</v>
      </c>
      <c r="B188" s="69" t="s">
        <v>489</v>
      </c>
      <c r="C188" s="69" t="s">
        <v>490</v>
      </c>
      <c r="D188" s="69" t="s">
        <v>442</v>
      </c>
    </row>
    <row r="189" customFormat="false" ht="22.35" hidden="false" customHeight="false" outlineLevel="0" collapsed="false">
      <c r="A189" s="68" t="s">
        <v>491</v>
      </c>
      <c r="B189" s="69" t="s">
        <v>492</v>
      </c>
      <c r="C189" s="69" t="s">
        <v>493</v>
      </c>
      <c r="D189" s="69" t="s">
        <v>442</v>
      </c>
    </row>
    <row r="190" customFormat="false" ht="22.35" hidden="false" customHeight="false" outlineLevel="0" collapsed="false">
      <c r="A190" s="68" t="s">
        <v>494</v>
      </c>
      <c r="B190" s="69" t="s">
        <v>495</v>
      </c>
      <c r="C190" s="69" t="s">
        <v>496</v>
      </c>
      <c r="D190" s="69" t="s">
        <v>442</v>
      </c>
    </row>
    <row r="191" customFormat="false" ht="22.35" hidden="false" customHeight="false" outlineLevel="0" collapsed="false">
      <c r="A191" s="68" t="s">
        <v>497</v>
      </c>
      <c r="B191" s="69" t="s">
        <v>498</v>
      </c>
      <c r="C191" s="69" t="s">
        <v>499</v>
      </c>
      <c r="D191" s="69" t="s">
        <v>442</v>
      </c>
    </row>
    <row r="192" customFormat="false" ht="22.35" hidden="false" customHeight="false" outlineLevel="0" collapsed="false">
      <c r="A192" s="68" t="s">
        <v>500</v>
      </c>
      <c r="B192" s="69" t="s">
        <v>501</v>
      </c>
      <c r="C192" s="69" t="s">
        <v>502</v>
      </c>
      <c r="D192" s="69" t="s">
        <v>442</v>
      </c>
    </row>
    <row r="193" customFormat="false" ht="22.35" hidden="false" customHeight="false" outlineLevel="0" collapsed="false">
      <c r="A193" s="68" t="s">
        <v>503</v>
      </c>
      <c r="B193" s="69" t="s">
        <v>504</v>
      </c>
      <c r="C193" s="69" t="s">
        <v>505</v>
      </c>
      <c r="D193" s="69" t="s">
        <v>442</v>
      </c>
    </row>
    <row r="194" customFormat="false" ht="22.35" hidden="false" customHeight="false" outlineLevel="0" collapsed="false">
      <c r="A194" s="68" t="s">
        <v>506</v>
      </c>
      <c r="B194" s="69" t="s">
        <v>507</v>
      </c>
      <c r="C194" s="69" t="s">
        <v>508</v>
      </c>
      <c r="D194" s="69" t="s">
        <v>442</v>
      </c>
    </row>
    <row r="195" customFormat="false" ht="22.35" hidden="false" customHeight="false" outlineLevel="0" collapsed="false">
      <c r="A195" s="68" t="s">
        <v>509</v>
      </c>
      <c r="B195" s="69" t="s">
        <v>510</v>
      </c>
      <c r="C195" s="69" t="s">
        <v>511</v>
      </c>
      <c r="D195" s="69" t="s">
        <v>442</v>
      </c>
    </row>
    <row r="196" customFormat="false" ht="22.35" hidden="false" customHeight="false" outlineLevel="0" collapsed="false">
      <c r="A196" s="68" t="s">
        <v>512</v>
      </c>
      <c r="B196" s="69" t="s">
        <v>513</v>
      </c>
      <c r="C196" s="69" t="s">
        <v>514</v>
      </c>
      <c r="D196" s="69" t="s">
        <v>442</v>
      </c>
    </row>
    <row r="197" customFormat="false" ht="22.35" hidden="false" customHeight="false" outlineLevel="0" collapsed="false">
      <c r="A197" s="68" t="s">
        <v>515</v>
      </c>
      <c r="B197" s="69" t="s">
        <v>516</v>
      </c>
      <c r="C197" s="69" t="s">
        <v>517</v>
      </c>
      <c r="D197" s="69" t="s">
        <v>442</v>
      </c>
    </row>
    <row r="198" customFormat="false" ht="22.35" hidden="false" customHeight="false" outlineLevel="0" collapsed="false">
      <c r="A198" s="68" t="s">
        <v>518</v>
      </c>
      <c r="B198" s="69" t="s">
        <v>519</v>
      </c>
      <c r="C198" s="69" t="s">
        <v>520</v>
      </c>
      <c r="D198" s="69" t="s">
        <v>442</v>
      </c>
    </row>
    <row r="199" customFormat="false" ht="22.35" hidden="false" customHeight="false" outlineLevel="0" collapsed="false">
      <c r="A199" s="68" t="s">
        <v>521</v>
      </c>
      <c r="B199" s="69" t="s">
        <v>522</v>
      </c>
      <c r="C199" s="69" t="s">
        <v>523</v>
      </c>
      <c r="D199" s="69" t="s">
        <v>442</v>
      </c>
    </row>
    <row r="200" customFormat="false" ht="22.35" hidden="false" customHeight="false" outlineLevel="0" collapsed="false">
      <c r="A200" s="68" t="s">
        <v>524</v>
      </c>
      <c r="B200" s="69" t="s">
        <v>525</v>
      </c>
      <c r="C200" s="69" t="s">
        <v>526</v>
      </c>
      <c r="D200" s="69" t="s">
        <v>442</v>
      </c>
    </row>
    <row r="201" customFormat="false" ht="22.35" hidden="false" customHeight="false" outlineLevel="0" collapsed="false">
      <c r="A201" s="68" t="s">
        <v>527</v>
      </c>
      <c r="B201" s="69" t="s">
        <v>528</v>
      </c>
      <c r="C201" s="69" t="s">
        <v>529</v>
      </c>
      <c r="D201" s="69" t="s">
        <v>442</v>
      </c>
    </row>
    <row r="202" customFormat="false" ht="22.35" hidden="false" customHeight="false" outlineLevel="0" collapsed="false">
      <c r="A202" s="68" t="s">
        <v>530</v>
      </c>
      <c r="B202" s="69" t="s">
        <v>531</v>
      </c>
      <c r="C202" s="69" t="s">
        <v>532</v>
      </c>
      <c r="D202" s="69" t="s">
        <v>442</v>
      </c>
    </row>
    <row r="203" customFormat="false" ht="22.35" hidden="false" customHeight="false" outlineLevel="0" collapsed="false">
      <c r="A203" s="68" t="s">
        <v>533</v>
      </c>
      <c r="B203" s="69" t="s">
        <v>534</v>
      </c>
      <c r="C203" s="69" t="s">
        <v>535</v>
      </c>
      <c r="D203" s="69" t="s">
        <v>442</v>
      </c>
    </row>
    <row r="204" customFormat="false" ht="22.35" hidden="false" customHeight="false" outlineLevel="0" collapsed="false">
      <c r="A204" s="68" t="s">
        <v>536</v>
      </c>
      <c r="B204" s="69" t="s">
        <v>537</v>
      </c>
      <c r="C204" s="69" t="s">
        <v>538</v>
      </c>
      <c r="D204" s="69" t="s">
        <v>442</v>
      </c>
    </row>
    <row r="205" customFormat="false" ht="22.35" hidden="false" customHeight="false" outlineLevel="0" collapsed="false">
      <c r="A205" s="68" t="s">
        <v>539</v>
      </c>
      <c r="B205" s="69" t="s">
        <v>540</v>
      </c>
      <c r="C205" s="69" t="s">
        <v>541</v>
      </c>
      <c r="D205" s="69" t="s">
        <v>442</v>
      </c>
    </row>
    <row r="206" customFormat="false" ht="22.35" hidden="false" customHeight="false" outlineLevel="0" collapsed="false">
      <c r="A206" s="68" t="s">
        <v>542</v>
      </c>
      <c r="B206" s="69" t="s">
        <v>543</v>
      </c>
      <c r="C206" s="69" t="s">
        <v>544</v>
      </c>
      <c r="D206" s="69" t="s">
        <v>442</v>
      </c>
    </row>
    <row r="207" customFormat="false" ht="22.35" hidden="false" customHeight="false" outlineLevel="0" collapsed="false">
      <c r="A207" s="68" t="s">
        <v>545</v>
      </c>
      <c r="B207" s="69" t="s">
        <v>546</v>
      </c>
      <c r="C207" s="69" t="s">
        <v>547</v>
      </c>
      <c r="D207" s="69" t="s">
        <v>442</v>
      </c>
    </row>
    <row r="208" customFormat="false" ht="22.35" hidden="false" customHeight="false" outlineLevel="0" collapsed="false">
      <c r="A208" s="68" t="s">
        <v>548</v>
      </c>
      <c r="B208" s="69" t="s">
        <v>549</v>
      </c>
      <c r="C208" s="69" t="s">
        <v>550</v>
      </c>
      <c r="D208" s="69" t="s">
        <v>442</v>
      </c>
    </row>
    <row r="209" customFormat="false" ht="22.35" hidden="false" customHeight="false" outlineLevel="0" collapsed="false">
      <c r="A209" s="68" t="s">
        <v>551</v>
      </c>
      <c r="B209" s="69" t="s">
        <v>552</v>
      </c>
      <c r="C209" s="69" t="s">
        <v>553</v>
      </c>
      <c r="D209" s="69" t="s">
        <v>442</v>
      </c>
    </row>
    <row r="210" customFormat="false" ht="22.35" hidden="false" customHeight="false" outlineLevel="0" collapsed="false">
      <c r="A210" s="68" t="s">
        <v>554</v>
      </c>
      <c r="B210" s="69" t="s">
        <v>555</v>
      </c>
      <c r="C210" s="69" t="s">
        <v>556</v>
      </c>
      <c r="D210" s="69" t="s">
        <v>442</v>
      </c>
    </row>
    <row r="211" customFormat="false" ht="22.35" hidden="false" customHeight="false" outlineLevel="0" collapsed="false">
      <c r="A211" s="68" t="s">
        <v>557</v>
      </c>
      <c r="B211" s="69" t="s">
        <v>558</v>
      </c>
      <c r="C211" s="69" t="s">
        <v>559</v>
      </c>
      <c r="D211" s="69" t="s">
        <v>442</v>
      </c>
    </row>
    <row r="212" customFormat="false" ht="22.35" hidden="false" customHeight="false" outlineLevel="0" collapsed="false">
      <c r="A212" s="68" t="s">
        <v>560</v>
      </c>
      <c r="B212" s="69" t="s">
        <v>561</v>
      </c>
      <c r="C212" s="69" t="s">
        <v>562</v>
      </c>
      <c r="D212" s="69" t="s">
        <v>442</v>
      </c>
    </row>
    <row r="213" customFormat="false" ht="22.35" hidden="false" customHeight="false" outlineLevel="0" collapsed="false">
      <c r="A213" s="68" t="s">
        <v>563</v>
      </c>
      <c r="B213" s="69" t="s">
        <v>564</v>
      </c>
      <c r="C213" s="69" t="s">
        <v>565</v>
      </c>
      <c r="D213" s="69" t="s">
        <v>442</v>
      </c>
    </row>
    <row r="214" customFormat="false" ht="22.35" hidden="false" customHeight="false" outlineLevel="0" collapsed="false">
      <c r="A214" s="68" t="s">
        <v>566</v>
      </c>
      <c r="B214" s="69" t="s">
        <v>567</v>
      </c>
      <c r="C214" s="69" t="s">
        <v>568</v>
      </c>
      <c r="D214" s="69" t="s">
        <v>442</v>
      </c>
    </row>
    <row r="215" customFormat="false" ht="22.35" hidden="false" customHeight="false" outlineLevel="0" collapsed="false">
      <c r="A215" s="68" t="s">
        <v>569</v>
      </c>
      <c r="B215" s="69" t="s">
        <v>570</v>
      </c>
      <c r="C215" s="69" t="s">
        <v>571</v>
      </c>
      <c r="D215" s="69" t="s">
        <v>442</v>
      </c>
    </row>
    <row r="216" customFormat="false" ht="22.35" hidden="false" customHeight="false" outlineLevel="0" collapsed="false">
      <c r="A216" s="68" t="s">
        <v>572</v>
      </c>
      <c r="B216" s="69" t="s">
        <v>573</v>
      </c>
      <c r="C216" s="69" t="s">
        <v>574</v>
      </c>
      <c r="D216" s="69" t="s">
        <v>442</v>
      </c>
    </row>
    <row r="217" customFormat="false" ht="22.35" hidden="false" customHeight="false" outlineLevel="0" collapsed="false">
      <c r="A217" s="68" t="s">
        <v>575</v>
      </c>
      <c r="B217" s="69" t="s">
        <v>576</v>
      </c>
      <c r="C217" s="69" t="s">
        <v>577</v>
      </c>
      <c r="D217" s="69" t="s">
        <v>442</v>
      </c>
    </row>
    <row r="218" customFormat="false" ht="22.35" hidden="false" customHeight="false" outlineLevel="0" collapsed="false">
      <c r="A218" s="68" t="s">
        <v>578</v>
      </c>
      <c r="B218" s="69" t="s">
        <v>579</v>
      </c>
      <c r="C218" s="69" t="s">
        <v>580</v>
      </c>
      <c r="D218" s="69" t="s">
        <v>442</v>
      </c>
    </row>
    <row r="219" customFormat="false" ht="22.35" hidden="false" customHeight="false" outlineLevel="0" collapsed="false">
      <c r="A219" s="68" t="s">
        <v>581</v>
      </c>
      <c r="B219" s="69" t="s">
        <v>582</v>
      </c>
      <c r="C219" s="69" t="s">
        <v>583</v>
      </c>
      <c r="D219" s="69" t="s">
        <v>442</v>
      </c>
    </row>
    <row r="220" customFormat="false" ht="22.35" hidden="false" customHeight="false" outlineLevel="0" collapsed="false">
      <c r="A220" s="68" t="s">
        <v>584</v>
      </c>
      <c r="B220" s="69" t="s">
        <v>585</v>
      </c>
      <c r="C220" s="69" t="s">
        <v>586</v>
      </c>
      <c r="D220" s="69" t="s">
        <v>442</v>
      </c>
    </row>
    <row r="221" customFormat="false" ht="22.35" hidden="false" customHeight="false" outlineLevel="0" collapsed="false">
      <c r="A221" s="68" t="s">
        <v>587</v>
      </c>
      <c r="B221" s="69" t="s">
        <v>588</v>
      </c>
      <c r="C221" s="69" t="s">
        <v>589</v>
      </c>
      <c r="D221" s="69" t="s">
        <v>442</v>
      </c>
    </row>
    <row r="222" customFormat="false" ht="22.35" hidden="false" customHeight="false" outlineLevel="0" collapsed="false">
      <c r="A222" s="68" t="s">
        <v>590</v>
      </c>
      <c r="B222" s="69" t="s">
        <v>591</v>
      </c>
      <c r="C222" s="69" t="s">
        <v>592</v>
      </c>
      <c r="D222" s="69" t="s">
        <v>442</v>
      </c>
    </row>
    <row r="223" customFormat="false" ht="22.35" hidden="false" customHeight="false" outlineLevel="0" collapsed="false">
      <c r="A223" s="68" t="s">
        <v>593</v>
      </c>
      <c r="B223" s="69" t="s">
        <v>594</v>
      </c>
      <c r="C223" s="69" t="s">
        <v>595</v>
      </c>
      <c r="D223" s="69" t="s">
        <v>442</v>
      </c>
    </row>
    <row r="224" customFormat="false" ht="22.35" hidden="false" customHeight="false" outlineLevel="0" collapsed="false">
      <c r="A224" s="68" t="s">
        <v>596</v>
      </c>
      <c r="B224" s="69" t="s">
        <v>597</v>
      </c>
      <c r="C224" s="69" t="s">
        <v>598</v>
      </c>
      <c r="D224" s="69" t="s">
        <v>442</v>
      </c>
    </row>
    <row r="225" customFormat="false" ht="22.35" hidden="false" customHeight="false" outlineLevel="0" collapsed="false">
      <c r="A225" s="68" t="s">
        <v>599</v>
      </c>
      <c r="B225" s="69" t="s">
        <v>600</v>
      </c>
      <c r="C225" s="69" t="s">
        <v>601</v>
      </c>
      <c r="D225" s="69" t="s">
        <v>442</v>
      </c>
    </row>
    <row r="226" customFormat="false" ht="22.35" hidden="false" customHeight="false" outlineLevel="0" collapsed="false">
      <c r="A226" s="68" t="s">
        <v>602</v>
      </c>
      <c r="B226" s="69" t="s">
        <v>603</v>
      </c>
      <c r="C226" s="69" t="s">
        <v>604</v>
      </c>
      <c r="D226" s="69" t="s">
        <v>442</v>
      </c>
    </row>
    <row r="227" customFormat="false" ht="22.35" hidden="false" customHeight="false" outlineLevel="0" collapsed="false">
      <c r="A227" s="68" t="s">
        <v>605</v>
      </c>
      <c r="B227" s="69" t="s">
        <v>606</v>
      </c>
      <c r="C227" s="69" t="s">
        <v>607</v>
      </c>
      <c r="D227" s="69" t="s">
        <v>442</v>
      </c>
    </row>
    <row r="228" customFormat="false" ht="22.35" hidden="false" customHeight="false" outlineLevel="0" collapsed="false">
      <c r="A228" s="68" t="s">
        <v>608</v>
      </c>
      <c r="B228" s="69" t="s">
        <v>609</v>
      </c>
      <c r="C228" s="69" t="s">
        <v>610</v>
      </c>
      <c r="D228" s="69" t="s">
        <v>442</v>
      </c>
    </row>
    <row r="229" customFormat="false" ht="22.35" hidden="false" customHeight="false" outlineLevel="0" collapsed="false">
      <c r="A229" s="68" t="s">
        <v>611</v>
      </c>
      <c r="B229" s="69" t="s">
        <v>612</v>
      </c>
      <c r="C229" s="69" t="s">
        <v>613</v>
      </c>
      <c r="D229" s="69" t="s">
        <v>442</v>
      </c>
    </row>
    <row r="230" customFormat="false" ht="22.35" hidden="false" customHeight="false" outlineLevel="0" collapsed="false">
      <c r="A230" s="68" t="s">
        <v>614</v>
      </c>
      <c r="B230" s="69" t="s">
        <v>615</v>
      </c>
      <c r="C230" s="69" t="s">
        <v>616</v>
      </c>
      <c r="D230" s="69" t="s">
        <v>442</v>
      </c>
    </row>
    <row r="231" customFormat="false" ht="22.35" hidden="false" customHeight="false" outlineLevel="0" collapsed="false">
      <c r="A231" s="68" t="s">
        <v>617</v>
      </c>
      <c r="B231" s="69" t="s">
        <v>618</v>
      </c>
      <c r="C231" s="69" t="s">
        <v>619</v>
      </c>
      <c r="D231" s="69" t="s">
        <v>442</v>
      </c>
    </row>
    <row r="232" customFormat="false" ht="22.35" hidden="false" customHeight="false" outlineLevel="0" collapsed="false">
      <c r="A232" s="68" t="s">
        <v>620</v>
      </c>
      <c r="B232" s="69" t="s">
        <v>621</v>
      </c>
      <c r="C232" s="69" t="s">
        <v>622</v>
      </c>
      <c r="D232" s="69" t="s">
        <v>442</v>
      </c>
    </row>
    <row r="233" customFormat="false" ht="22.35" hidden="false" customHeight="false" outlineLevel="0" collapsed="false">
      <c r="A233" s="68" t="s">
        <v>623</v>
      </c>
      <c r="B233" s="69" t="s">
        <v>624</v>
      </c>
      <c r="C233" s="69" t="s">
        <v>625</v>
      </c>
      <c r="D233" s="69" t="s">
        <v>442</v>
      </c>
    </row>
    <row r="234" customFormat="false" ht="22.35" hidden="false" customHeight="false" outlineLevel="0" collapsed="false">
      <c r="A234" s="68" t="s">
        <v>626</v>
      </c>
      <c r="B234" s="69" t="s">
        <v>627</v>
      </c>
      <c r="C234" s="69" t="s">
        <v>628</v>
      </c>
      <c r="D234" s="69" t="s">
        <v>442</v>
      </c>
    </row>
    <row r="235" customFormat="false" ht="22.35" hidden="false" customHeight="false" outlineLevel="0" collapsed="false">
      <c r="A235" s="68" t="s">
        <v>629</v>
      </c>
      <c r="B235" s="69" t="s">
        <v>630</v>
      </c>
      <c r="C235" s="69" t="s">
        <v>631</v>
      </c>
      <c r="D235" s="69" t="s">
        <v>442</v>
      </c>
    </row>
    <row r="236" customFormat="false" ht="22.35" hidden="false" customHeight="false" outlineLevel="0" collapsed="false">
      <c r="A236" s="68" t="s">
        <v>632</v>
      </c>
      <c r="B236" s="69" t="s">
        <v>633</v>
      </c>
      <c r="C236" s="69" t="s">
        <v>634</v>
      </c>
      <c r="D236" s="69" t="s">
        <v>442</v>
      </c>
    </row>
    <row r="237" customFormat="false" ht="22.35" hidden="false" customHeight="false" outlineLevel="0" collapsed="false">
      <c r="A237" s="68" t="s">
        <v>635</v>
      </c>
      <c r="B237" s="69" t="s">
        <v>636</v>
      </c>
      <c r="C237" s="69" t="s">
        <v>637</v>
      </c>
      <c r="D237" s="69" t="s">
        <v>442</v>
      </c>
    </row>
    <row r="238" customFormat="false" ht="22.35" hidden="false" customHeight="false" outlineLevel="0" collapsed="false">
      <c r="A238" s="68" t="s">
        <v>638</v>
      </c>
      <c r="B238" s="69" t="s">
        <v>639</v>
      </c>
      <c r="C238" s="69" t="s">
        <v>640</v>
      </c>
      <c r="D238" s="69" t="s">
        <v>442</v>
      </c>
    </row>
    <row r="239" customFormat="false" ht="22.35" hidden="false" customHeight="false" outlineLevel="0" collapsed="false">
      <c r="A239" s="68" t="s">
        <v>641</v>
      </c>
      <c r="B239" s="69" t="s">
        <v>642</v>
      </c>
      <c r="C239" s="69" t="s">
        <v>643</v>
      </c>
      <c r="D239" s="69" t="s">
        <v>442</v>
      </c>
    </row>
    <row r="240" customFormat="false" ht="22.35" hidden="false" customHeight="false" outlineLevel="0" collapsed="false">
      <c r="A240" s="68" t="s">
        <v>644</v>
      </c>
      <c r="B240" s="69" t="s">
        <v>645</v>
      </c>
      <c r="C240" s="69" t="s">
        <v>646</v>
      </c>
      <c r="D240" s="69" t="s">
        <v>442</v>
      </c>
    </row>
    <row r="241" customFormat="false" ht="22.35" hidden="false" customHeight="false" outlineLevel="0" collapsed="false">
      <c r="A241" s="68" t="s">
        <v>647</v>
      </c>
      <c r="B241" s="69" t="s">
        <v>648</v>
      </c>
      <c r="C241" s="69" t="s">
        <v>649</v>
      </c>
      <c r="D241" s="69" t="s">
        <v>442</v>
      </c>
    </row>
    <row r="242" customFormat="false" ht="22.35" hidden="false" customHeight="false" outlineLevel="0" collapsed="false">
      <c r="A242" s="68" t="s">
        <v>650</v>
      </c>
      <c r="B242" s="69" t="s">
        <v>651</v>
      </c>
      <c r="C242" s="69" t="s">
        <v>652</v>
      </c>
      <c r="D242" s="69" t="s">
        <v>442</v>
      </c>
    </row>
    <row r="243" customFormat="false" ht="22.35" hidden="false" customHeight="false" outlineLevel="0" collapsed="false">
      <c r="A243" s="68" t="s">
        <v>653</v>
      </c>
      <c r="B243" s="69" t="s">
        <v>654</v>
      </c>
      <c r="C243" s="69" t="s">
        <v>655</v>
      </c>
      <c r="D243" s="69" t="s">
        <v>442</v>
      </c>
    </row>
    <row r="244" customFormat="false" ht="22.35" hidden="false" customHeight="false" outlineLevel="0" collapsed="false">
      <c r="A244" s="68" t="s">
        <v>656</v>
      </c>
      <c r="B244" s="69" t="s">
        <v>657</v>
      </c>
      <c r="C244" s="69" t="s">
        <v>658</v>
      </c>
      <c r="D244" s="69" t="s">
        <v>442</v>
      </c>
    </row>
    <row r="245" customFormat="false" ht="22.35" hidden="false" customHeight="false" outlineLevel="0" collapsed="false">
      <c r="A245" s="68" t="s">
        <v>659</v>
      </c>
      <c r="B245" s="69" t="s">
        <v>660</v>
      </c>
      <c r="C245" s="69" t="s">
        <v>661</v>
      </c>
      <c r="D245" s="69" t="s">
        <v>442</v>
      </c>
    </row>
    <row r="246" customFormat="false" ht="22.35" hidden="false" customHeight="false" outlineLevel="0" collapsed="false">
      <c r="A246" s="68" t="s">
        <v>662</v>
      </c>
      <c r="B246" s="69" t="s">
        <v>663</v>
      </c>
      <c r="C246" s="69" t="s">
        <v>664</v>
      </c>
      <c r="D246" s="69" t="s">
        <v>442</v>
      </c>
    </row>
    <row r="247" customFormat="false" ht="22.35" hidden="false" customHeight="false" outlineLevel="0" collapsed="false">
      <c r="A247" s="68" t="s">
        <v>665</v>
      </c>
      <c r="B247" s="69" t="s">
        <v>666</v>
      </c>
      <c r="C247" s="69" t="s">
        <v>667</v>
      </c>
      <c r="D247" s="69" t="s">
        <v>442</v>
      </c>
    </row>
    <row r="248" customFormat="false" ht="22.35" hidden="false" customHeight="false" outlineLevel="0" collapsed="false">
      <c r="A248" s="68" t="s">
        <v>668</v>
      </c>
      <c r="B248" s="69" t="s">
        <v>669</v>
      </c>
      <c r="C248" s="69" t="s">
        <v>670</v>
      </c>
      <c r="D248" s="69" t="s">
        <v>442</v>
      </c>
    </row>
    <row r="249" customFormat="false" ht="22.35" hidden="false" customHeight="false" outlineLevel="0" collapsed="false">
      <c r="A249" s="68" t="s">
        <v>671</v>
      </c>
      <c r="B249" s="69" t="s">
        <v>672</v>
      </c>
      <c r="C249" s="69" t="s">
        <v>673</v>
      </c>
      <c r="D249" s="69" t="s">
        <v>442</v>
      </c>
    </row>
    <row r="250" customFormat="false" ht="22.35" hidden="false" customHeight="false" outlineLevel="0" collapsed="false">
      <c r="A250" s="68" t="s">
        <v>674</v>
      </c>
      <c r="B250" s="69" t="s">
        <v>675</v>
      </c>
      <c r="C250" s="69" t="s">
        <v>676</v>
      </c>
      <c r="D250" s="69" t="s">
        <v>442</v>
      </c>
    </row>
    <row r="251" customFormat="false" ht="22.35" hidden="false" customHeight="false" outlineLevel="0" collapsed="false">
      <c r="A251" s="68" t="s">
        <v>677</v>
      </c>
      <c r="B251" s="69" t="s">
        <v>678</v>
      </c>
      <c r="C251" s="69" t="s">
        <v>679</v>
      </c>
      <c r="D251" s="69" t="s">
        <v>442</v>
      </c>
    </row>
    <row r="252" customFormat="false" ht="22.35" hidden="false" customHeight="false" outlineLevel="0" collapsed="false">
      <c r="A252" s="68" t="s">
        <v>680</v>
      </c>
      <c r="B252" s="69" t="s">
        <v>681</v>
      </c>
      <c r="C252" s="69" t="s">
        <v>682</v>
      </c>
      <c r="D252" s="69" t="s">
        <v>442</v>
      </c>
    </row>
    <row r="253" customFormat="false" ht="22.35" hidden="false" customHeight="false" outlineLevel="0" collapsed="false">
      <c r="A253" s="68" t="s">
        <v>683</v>
      </c>
      <c r="B253" s="69" t="s">
        <v>684</v>
      </c>
      <c r="C253" s="69" t="s">
        <v>685</v>
      </c>
      <c r="D253" s="69" t="s">
        <v>442</v>
      </c>
    </row>
    <row r="254" customFormat="false" ht="22.35" hidden="false" customHeight="false" outlineLevel="0" collapsed="false">
      <c r="A254" s="68" t="s">
        <v>686</v>
      </c>
      <c r="B254" s="69" t="s">
        <v>687</v>
      </c>
      <c r="C254" s="69" t="s">
        <v>688</v>
      </c>
      <c r="D254" s="69" t="s">
        <v>442</v>
      </c>
    </row>
    <row r="255" customFormat="false" ht="22.35" hidden="false" customHeight="false" outlineLevel="0" collapsed="false">
      <c r="A255" s="68" t="s">
        <v>689</v>
      </c>
      <c r="B255" s="69" t="s">
        <v>690</v>
      </c>
      <c r="C255" s="69" t="s">
        <v>691</v>
      </c>
      <c r="D255" s="69" t="s">
        <v>442</v>
      </c>
    </row>
    <row r="256" customFormat="false" ht="22.35" hidden="false" customHeight="false" outlineLevel="0" collapsed="false">
      <c r="A256" s="68" t="s">
        <v>692</v>
      </c>
      <c r="B256" s="69" t="s">
        <v>693</v>
      </c>
      <c r="C256" s="69" t="s">
        <v>694</v>
      </c>
      <c r="D256" s="69" t="s">
        <v>442</v>
      </c>
    </row>
    <row r="257" customFormat="false" ht="22.35" hidden="false" customHeight="false" outlineLevel="0" collapsed="false">
      <c r="A257" s="68" t="s">
        <v>695</v>
      </c>
      <c r="B257" s="69" t="s">
        <v>696</v>
      </c>
      <c r="C257" s="69" t="s">
        <v>697</v>
      </c>
      <c r="D257" s="69" t="s">
        <v>442</v>
      </c>
    </row>
    <row r="258" customFormat="false" ht="22.35" hidden="false" customHeight="false" outlineLevel="0" collapsed="false">
      <c r="A258" s="68" t="s">
        <v>698</v>
      </c>
      <c r="B258" s="69" t="s">
        <v>699</v>
      </c>
      <c r="C258" s="69" t="s">
        <v>700</v>
      </c>
      <c r="D258" s="69" t="s">
        <v>442</v>
      </c>
    </row>
    <row r="259" customFormat="false" ht="22.35" hidden="false" customHeight="false" outlineLevel="0" collapsed="false">
      <c r="A259" s="68" t="s">
        <v>701</v>
      </c>
      <c r="B259" s="69" t="s">
        <v>702</v>
      </c>
      <c r="C259" s="69" t="s">
        <v>703</v>
      </c>
      <c r="D259" s="69" t="s">
        <v>442</v>
      </c>
    </row>
    <row r="260" customFormat="false" ht="22.35" hidden="false" customHeight="false" outlineLevel="0" collapsed="false">
      <c r="A260" s="68" t="s">
        <v>704</v>
      </c>
      <c r="B260" s="69" t="s">
        <v>705</v>
      </c>
      <c r="C260" s="69" t="s">
        <v>706</v>
      </c>
      <c r="D260" s="69" t="s">
        <v>442</v>
      </c>
    </row>
    <row r="261" customFormat="false" ht="22.35" hidden="false" customHeight="false" outlineLevel="0" collapsed="false">
      <c r="A261" s="68" t="s">
        <v>707</v>
      </c>
      <c r="B261" s="69" t="s">
        <v>708</v>
      </c>
      <c r="C261" s="69" t="s">
        <v>709</v>
      </c>
      <c r="D261" s="69" t="s">
        <v>442</v>
      </c>
    </row>
    <row r="262" customFormat="false" ht="22.35" hidden="false" customHeight="false" outlineLevel="0" collapsed="false">
      <c r="A262" s="68" t="s">
        <v>710</v>
      </c>
      <c r="B262" s="69" t="s">
        <v>711</v>
      </c>
      <c r="C262" s="69" t="s">
        <v>712</v>
      </c>
      <c r="D262" s="69" t="s">
        <v>442</v>
      </c>
    </row>
    <row r="263" customFormat="false" ht="22.35" hidden="false" customHeight="false" outlineLevel="0" collapsed="false">
      <c r="A263" s="68" t="s">
        <v>713</v>
      </c>
      <c r="B263" s="69" t="s">
        <v>714</v>
      </c>
      <c r="C263" s="69" t="s">
        <v>715</v>
      </c>
      <c r="D263" s="69" t="s">
        <v>442</v>
      </c>
    </row>
    <row r="264" customFormat="false" ht="22.35" hidden="false" customHeight="false" outlineLevel="0" collapsed="false">
      <c r="A264" s="68" t="s">
        <v>716</v>
      </c>
      <c r="B264" s="69" t="s">
        <v>717</v>
      </c>
      <c r="C264" s="69" t="s">
        <v>718</v>
      </c>
      <c r="D264" s="69" t="s">
        <v>442</v>
      </c>
    </row>
    <row r="265" customFormat="false" ht="22.35" hidden="false" customHeight="false" outlineLevel="0" collapsed="false">
      <c r="A265" s="68" t="s">
        <v>719</v>
      </c>
      <c r="B265" s="69" t="s">
        <v>720</v>
      </c>
      <c r="C265" s="69" t="s">
        <v>721</v>
      </c>
      <c r="D265" s="69" t="s">
        <v>442</v>
      </c>
    </row>
    <row r="266" customFormat="false" ht="22.35" hidden="false" customHeight="false" outlineLevel="0" collapsed="false">
      <c r="A266" s="68" t="s">
        <v>722</v>
      </c>
      <c r="B266" s="69" t="s">
        <v>723</v>
      </c>
      <c r="C266" s="69" t="s">
        <v>724</v>
      </c>
      <c r="D266" s="69" t="s">
        <v>442</v>
      </c>
    </row>
    <row r="267" customFormat="false" ht="22.35" hidden="false" customHeight="false" outlineLevel="0" collapsed="false">
      <c r="A267" s="68" t="s">
        <v>725</v>
      </c>
      <c r="B267" s="69" t="s">
        <v>726</v>
      </c>
      <c r="C267" s="69" t="s">
        <v>727</v>
      </c>
      <c r="D267" s="69" t="s">
        <v>442</v>
      </c>
    </row>
    <row r="268" customFormat="false" ht="22.35" hidden="false" customHeight="false" outlineLevel="0" collapsed="false">
      <c r="A268" s="68" t="s">
        <v>728</v>
      </c>
      <c r="B268" s="69" t="s">
        <v>729</v>
      </c>
      <c r="C268" s="69" t="s">
        <v>730</v>
      </c>
      <c r="D268" s="69" t="s">
        <v>442</v>
      </c>
    </row>
    <row r="269" customFormat="false" ht="22.35" hidden="false" customHeight="false" outlineLevel="0" collapsed="false">
      <c r="A269" s="68" t="s">
        <v>731</v>
      </c>
      <c r="B269" s="69" t="s">
        <v>732</v>
      </c>
      <c r="C269" s="69" t="s">
        <v>733</v>
      </c>
      <c r="D269" s="69" t="s">
        <v>442</v>
      </c>
    </row>
    <row r="270" customFormat="false" ht="22.35" hidden="false" customHeight="false" outlineLevel="0" collapsed="false">
      <c r="A270" s="68" t="s">
        <v>734</v>
      </c>
      <c r="B270" s="69" t="s">
        <v>735</v>
      </c>
      <c r="C270" s="69" t="s">
        <v>736</v>
      </c>
      <c r="D270" s="69" t="s">
        <v>442</v>
      </c>
    </row>
    <row r="271" customFormat="false" ht="22.35" hidden="false" customHeight="false" outlineLevel="0" collapsed="false">
      <c r="A271" s="68" t="s">
        <v>737</v>
      </c>
      <c r="B271" s="69" t="s">
        <v>738</v>
      </c>
      <c r="C271" s="69" t="s">
        <v>739</v>
      </c>
      <c r="D271" s="69" t="s">
        <v>442</v>
      </c>
    </row>
    <row r="272" customFormat="false" ht="22.35" hidden="false" customHeight="false" outlineLevel="0" collapsed="false">
      <c r="A272" s="68" t="s">
        <v>740</v>
      </c>
      <c r="B272" s="69" t="s">
        <v>741</v>
      </c>
      <c r="C272" s="69" t="s">
        <v>742</v>
      </c>
      <c r="D272" s="69" t="s">
        <v>442</v>
      </c>
    </row>
    <row r="273" customFormat="false" ht="22.35" hidden="false" customHeight="false" outlineLevel="0" collapsed="false">
      <c r="A273" s="68" t="s">
        <v>743</v>
      </c>
      <c r="B273" s="69" t="s">
        <v>744</v>
      </c>
      <c r="C273" s="69" t="s">
        <v>745</v>
      </c>
      <c r="D273" s="69" t="s">
        <v>442</v>
      </c>
    </row>
    <row r="274" customFormat="false" ht="22.35" hidden="false" customHeight="false" outlineLevel="0" collapsed="false">
      <c r="A274" s="68" t="s">
        <v>746</v>
      </c>
      <c r="B274" s="69" t="s">
        <v>747</v>
      </c>
      <c r="C274" s="69" t="s">
        <v>748</v>
      </c>
      <c r="D274" s="69" t="s">
        <v>442</v>
      </c>
    </row>
    <row r="275" customFormat="false" ht="22.35" hidden="false" customHeight="false" outlineLevel="0" collapsed="false">
      <c r="A275" s="68" t="s">
        <v>749</v>
      </c>
      <c r="B275" s="69" t="s">
        <v>750</v>
      </c>
      <c r="C275" s="69" t="s">
        <v>751</v>
      </c>
      <c r="D275" s="69" t="s">
        <v>442</v>
      </c>
    </row>
    <row r="276" customFormat="false" ht="22.35" hidden="false" customHeight="false" outlineLevel="0" collapsed="false">
      <c r="A276" s="68" t="s">
        <v>752</v>
      </c>
      <c r="B276" s="69" t="s">
        <v>753</v>
      </c>
      <c r="C276" s="69" t="s">
        <v>754</v>
      </c>
      <c r="D276" s="69" t="s">
        <v>442</v>
      </c>
    </row>
    <row r="277" customFormat="false" ht="22.35" hidden="false" customHeight="false" outlineLevel="0" collapsed="false">
      <c r="A277" s="68" t="s">
        <v>755</v>
      </c>
      <c r="B277" s="69" t="s">
        <v>756</v>
      </c>
      <c r="C277" s="69" t="s">
        <v>757</v>
      </c>
      <c r="D277" s="69" t="s">
        <v>442</v>
      </c>
    </row>
    <row r="278" customFormat="false" ht="22.35" hidden="false" customHeight="false" outlineLevel="0" collapsed="false">
      <c r="A278" s="68" t="s">
        <v>758</v>
      </c>
      <c r="B278" s="69" t="s">
        <v>759</v>
      </c>
      <c r="C278" s="69" t="s">
        <v>760</v>
      </c>
      <c r="D278" s="69" t="s">
        <v>442</v>
      </c>
    </row>
    <row r="279" customFormat="false" ht="22.35" hidden="false" customHeight="false" outlineLevel="0" collapsed="false">
      <c r="A279" s="68" t="s">
        <v>761</v>
      </c>
      <c r="B279" s="69" t="s">
        <v>762</v>
      </c>
      <c r="C279" s="69" t="s">
        <v>763</v>
      </c>
      <c r="D279" s="69" t="s">
        <v>442</v>
      </c>
    </row>
    <row r="280" customFormat="false" ht="15" hidden="false" customHeight="false" outlineLevel="0" collapsed="false">
      <c r="A280" s="68" t="s">
        <v>764</v>
      </c>
      <c r="B280" s="69" t="s">
        <v>765</v>
      </c>
      <c r="C280" s="69" t="s">
        <v>26</v>
      </c>
      <c r="D280" s="69" t="s">
        <v>438</v>
      </c>
    </row>
    <row r="281" customFormat="false" ht="15" hidden="false" customHeight="false" outlineLevel="0" collapsed="false">
      <c r="A281" s="68" t="s">
        <v>766</v>
      </c>
      <c r="B281" s="69" t="s">
        <v>767</v>
      </c>
      <c r="C281" s="69" t="s">
        <v>27</v>
      </c>
      <c r="D281" s="69" t="s">
        <v>438</v>
      </c>
    </row>
    <row r="282" customFormat="false" ht="15" hidden="false" customHeight="false" outlineLevel="0" collapsed="false">
      <c r="A282" s="68" t="s">
        <v>768</v>
      </c>
      <c r="B282" s="69" t="s">
        <v>769</v>
      </c>
      <c r="C282" s="69" t="s">
        <v>770</v>
      </c>
      <c r="D282" s="69" t="s">
        <v>771</v>
      </c>
    </row>
    <row r="283" customFormat="false" ht="15" hidden="false" customHeight="false" outlineLevel="0" collapsed="false">
      <c r="A283" s="68" t="s">
        <v>772</v>
      </c>
      <c r="B283" s="69" t="s">
        <v>773</v>
      </c>
      <c r="C283" s="69" t="s">
        <v>774</v>
      </c>
      <c r="D283" s="69" t="s">
        <v>771</v>
      </c>
    </row>
    <row r="284" customFormat="false" ht="15" hidden="false" customHeight="false" outlineLevel="0" collapsed="false">
      <c r="A284" s="68" t="s">
        <v>775</v>
      </c>
      <c r="B284" s="69" t="s">
        <v>776</v>
      </c>
      <c r="C284" s="69" t="s">
        <v>777</v>
      </c>
      <c r="D284" s="69" t="s">
        <v>771</v>
      </c>
    </row>
    <row r="285" customFormat="false" ht="15" hidden="false" customHeight="false" outlineLevel="0" collapsed="false">
      <c r="A285" s="68" t="s">
        <v>778</v>
      </c>
      <c r="B285" s="69" t="s">
        <v>779</v>
      </c>
      <c r="C285" s="69" t="s">
        <v>780</v>
      </c>
      <c r="D285" s="69" t="s">
        <v>771</v>
      </c>
    </row>
    <row r="286" customFormat="false" ht="15" hidden="false" customHeight="false" outlineLevel="0" collapsed="false">
      <c r="A286" s="68" t="s">
        <v>781</v>
      </c>
      <c r="B286" s="69" t="s">
        <v>782</v>
      </c>
      <c r="C286" s="69" t="s">
        <v>783</v>
      </c>
      <c r="D286" s="69" t="s">
        <v>784</v>
      </c>
    </row>
    <row r="287" customFormat="false" ht="15" hidden="false" customHeight="false" outlineLevel="0" collapsed="false">
      <c r="A287" s="68" t="s">
        <v>785</v>
      </c>
      <c r="B287" s="69" t="s">
        <v>786</v>
      </c>
      <c r="C287" s="69" t="s">
        <v>787</v>
      </c>
      <c r="D287" s="69" t="s">
        <v>784</v>
      </c>
    </row>
    <row r="288" customFormat="false" ht="15" hidden="false" customHeight="false" outlineLevel="0" collapsed="false">
      <c r="A288" s="68" t="s">
        <v>788</v>
      </c>
      <c r="B288" s="69" t="s">
        <v>789</v>
      </c>
      <c r="C288" s="69" t="s">
        <v>790</v>
      </c>
      <c r="D288" s="69" t="s">
        <v>784</v>
      </c>
    </row>
    <row r="289" customFormat="false" ht="15" hidden="false" customHeight="false" outlineLevel="0" collapsed="false">
      <c r="A289" s="68" t="s">
        <v>791</v>
      </c>
      <c r="B289" s="69" t="s">
        <v>792</v>
      </c>
      <c r="C289" s="69" t="s">
        <v>793</v>
      </c>
      <c r="D289" s="69" t="s">
        <v>784</v>
      </c>
    </row>
    <row r="290" customFormat="false" ht="15" hidden="false" customHeight="false" outlineLevel="0" collapsed="false">
      <c r="A290" s="68" t="s">
        <v>794</v>
      </c>
      <c r="B290" s="69" t="s">
        <v>795</v>
      </c>
      <c r="C290" s="69" t="s">
        <v>796</v>
      </c>
      <c r="D290" s="69" t="s">
        <v>797</v>
      </c>
    </row>
    <row r="291" customFormat="false" ht="15" hidden="false" customHeight="false" outlineLevel="0" collapsed="false">
      <c r="A291" s="68" t="s">
        <v>798</v>
      </c>
      <c r="B291" s="69" t="s">
        <v>799</v>
      </c>
      <c r="C291" s="69" t="s">
        <v>800</v>
      </c>
      <c r="D291" s="69" t="s">
        <v>797</v>
      </c>
    </row>
    <row r="292" customFormat="false" ht="15" hidden="false" customHeight="false" outlineLevel="0" collapsed="false">
      <c r="A292" s="68" t="s">
        <v>801</v>
      </c>
      <c r="B292" s="69" t="s">
        <v>802</v>
      </c>
      <c r="C292" s="69" t="s">
        <v>803</v>
      </c>
      <c r="D292" s="69" t="s">
        <v>797</v>
      </c>
    </row>
    <row r="293" customFormat="false" ht="15" hidden="false" customHeight="false" outlineLevel="0" collapsed="false">
      <c r="A293" s="68" t="s">
        <v>804</v>
      </c>
      <c r="B293" s="69" t="s">
        <v>805</v>
      </c>
      <c r="C293" s="69" t="s">
        <v>806</v>
      </c>
      <c r="D293" s="69" t="s">
        <v>797</v>
      </c>
    </row>
    <row r="294" customFormat="false" ht="15" hidden="false" customHeight="false" outlineLevel="0" collapsed="false">
      <c r="A294" s="68" t="s">
        <v>807</v>
      </c>
      <c r="B294" s="69" t="s">
        <v>808</v>
      </c>
      <c r="C294" s="69" t="s">
        <v>809</v>
      </c>
      <c r="D294" s="69" t="s">
        <v>810</v>
      </c>
    </row>
    <row r="295" customFormat="false" ht="15" hidden="false" customHeight="false" outlineLevel="0" collapsed="false">
      <c r="A295" s="68" t="s">
        <v>811</v>
      </c>
      <c r="B295" s="69" t="s">
        <v>812</v>
      </c>
      <c r="C295" s="69" t="s">
        <v>813</v>
      </c>
      <c r="D295" s="69" t="s">
        <v>810</v>
      </c>
    </row>
    <row r="296" customFormat="false" ht="15" hidden="false" customHeight="false" outlineLevel="0" collapsed="false">
      <c r="A296" s="68" t="s">
        <v>814</v>
      </c>
      <c r="B296" s="69" t="s">
        <v>815</v>
      </c>
      <c r="C296" s="69" t="s">
        <v>816</v>
      </c>
      <c r="D296" s="69" t="s">
        <v>810</v>
      </c>
    </row>
    <row r="297" customFormat="false" ht="15" hidden="false" customHeight="false" outlineLevel="0" collapsed="false">
      <c r="A297" s="68" t="s">
        <v>817</v>
      </c>
      <c r="B297" s="69" t="s">
        <v>818</v>
      </c>
      <c r="C297" s="69" t="s">
        <v>819</v>
      </c>
      <c r="D297" s="69" t="s">
        <v>810</v>
      </c>
    </row>
    <row r="298" customFormat="false" ht="15" hidden="false" customHeight="false" outlineLevel="0" collapsed="false">
      <c r="A298" s="68" t="s">
        <v>820</v>
      </c>
      <c r="B298" s="69" t="s">
        <v>821</v>
      </c>
      <c r="C298" s="69" t="s">
        <v>822</v>
      </c>
      <c r="D298" s="69" t="s">
        <v>823</v>
      </c>
    </row>
    <row r="299" customFormat="false" ht="15" hidden="false" customHeight="false" outlineLevel="0" collapsed="false">
      <c r="A299" s="68" t="s">
        <v>824</v>
      </c>
      <c r="B299" s="69" t="s">
        <v>825</v>
      </c>
      <c r="C299" s="69" t="s">
        <v>826</v>
      </c>
      <c r="D299" s="69" t="s">
        <v>823</v>
      </c>
    </row>
    <row r="300" customFormat="false" ht="15" hidden="false" customHeight="false" outlineLevel="0" collapsed="false">
      <c r="A300" s="68" t="s">
        <v>827</v>
      </c>
      <c r="B300" s="69" t="s">
        <v>828</v>
      </c>
      <c r="C300" s="69" t="s">
        <v>829</v>
      </c>
      <c r="D300" s="69" t="s">
        <v>823</v>
      </c>
    </row>
    <row r="301" customFormat="false" ht="15" hidden="false" customHeight="false" outlineLevel="0" collapsed="false">
      <c r="A301" s="68" t="s">
        <v>830</v>
      </c>
      <c r="B301" s="69" t="s">
        <v>831</v>
      </c>
      <c r="C301" s="69" t="s">
        <v>832</v>
      </c>
      <c r="D301" s="69" t="s">
        <v>823</v>
      </c>
    </row>
    <row r="302" customFormat="false" ht="15" hidden="false" customHeight="false" outlineLevel="0" collapsed="false">
      <c r="A302" s="68" t="s">
        <v>833</v>
      </c>
      <c r="B302" s="69" t="s">
        <v>834</v>
      </c>
      <c r="C302" s="69" t="s">
        <v>835</v>
      </c>
      <c r="D302" s="69" t="s">
        <v>836</v>
      </c>
    </row>
    <row r="303" customFormat="false" ht="15" hidden="false" customHeight="false" outlineLevel="0" collapsed="false">
      <c r="A303" s="68" t="s">
        <v>837</v>
      </c>
      <c r="B303" s="69" t="s">
        <v>838</v>
      </c>
      <c r="C303" s="69" t="s">
        <v>839</v>
      </c>
      <c r="D303" s="69" t="s">
        <v>836</v>
      </c>
    </row>
    <row r="304" customFormat="false" ht="15" hidden="false" customHeight="false" outlineLevel="0" collapsed="false">
      <c r="A304" s="68" t="s">
        <v>840</v>
      </c>
      <c r="B304" s="69" t="s">
        <v>841</v>
      </c>
      <c r="C304" s="69" t="s">
        <v>842</v>
      </c>
      <c r="D304" s="69" t="s">
        <v>836</v>
      </c>
    </row>
    <row r="305" customFormat="false" ht="15" hidden="false" customHeight="false" outlineLevel="0" collapsed="false">
      <c r="A305" s="68" t="s">
        <v>843</v>
      </c>
      <c r="B305" s="69" t="s">
        <v>844</v>
      </c>
      <c r="C305" s="69" t="s">
        <v>845</v>
      </c>
      <c r="D305" s="69" t="s">
        <v>836</v>
      </c>
    </row>
  </sheetData>
  <mergeCells count="4">
    <mergeCell ref="A3:D3"/>
    <mergeCell ref="A4:D4"/>
    <mergeCell ref="A5:D5"/>
    <mergeCell ref="A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2023-04-12T21:19:53Z</dcterms:created>
  <dc:creator>Filipe Menezes</dc:creator>
  <dc:description/>
  <dc:language>en-US</dc:language>
  <cp:lastModifiedBy/>
  <dcterms:modified xsi:type="dcterms:W3CDTF">2026-10-09T17:51:12Z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