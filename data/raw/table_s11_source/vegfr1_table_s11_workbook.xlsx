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rius/MolPhys/Activities/Paper/data/Dataset2/Data Processing/"/>
    </mc:Choice>
  </mc:AlternateContent>
  <xr:revisionPtr revIDLastSave="0" documentId="13_ncr:1_{3B02B21D-7F78-D64F-A66A-79497594DE56}" xr6:coauthVersionLast="47" xr6:coauthVersionMax="47" xr10:uidLastSave="{00000000-0000-0000-0000-000000000000}"/>
  <bookViews>
    <workbookView xWindow="9100" yWindow="660" windowWidth="25460" windowHeight="20380" xr2:uid="{B1BAE7D6-B860-A64B-B777-5A99C04880BF}"/>
  </bookViews>
  <sheets>
    <sheet name="Sheet1" sheetId="1" r:id="rId1"/>
  </sheets>
  <definedNames>
    <definedName name="_xlchart.v1.0" hidden="1">Sheet1!$U$11:$U$34</definedName>
    <definedName name="_xlchart.v1.1" hidden="1">Sheet1!$U$11:$U$34</definedName>
    <definedName name="_xlchart.v1.2" hidden="1">Sheet1!$U$11:$U$34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T11" i="1" l="1"/>
  <c r="S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O11" i="1"/>
  <c r="P11" i="1" s="1"/>
  <c r="R11" i="1"/>
  <c r="Q11" i="1"/>
  <c r="T13" i="1"/>
  <c r="S12" i="1"/>
  <c r="J19" i="1"/>
  <c r="J23" i="1"/>
  <c r="J25" i="1"/>
  <c r="J33" i="1"/>
  <c r="J34" i="1"/>
  <c r="J38" i="1"/>
  <c r="J47" i="1"/>
  <c r="J50" i="1"/>
  <c r="J53" i="1"/>
  <c r="J54" i="1"/>
  <c r="J56" i="1"/>
  <c r="J59" i="1"/>
  <c r="J61" i="1"/>
  <c r="J62" i="1"/>
  <c r="J67" i="1"/>
  <c r="J68" i="1"/>
  <c r="J73" i="1"/>
  <c r="J74" i="1"/>
  <c r="J79" i="1"/>
  <c r="J80" i="1"/>
  <c r="J83" i="1"/>
  <c r="J84" i="1"/>
  <c r="J4" i="1"/>
  <c r="J9" i="1"/>
  <c r="J14" i="1"/>
  <c r="J15" i="1"/>
  <c r="J3" i="1"/>
  <c r="P17" i="1"/>
  <c r="P22" i="1"/>
  <c r="P23" i="1"/>
  <c r="P27" i="1"/>
  <c r="S17" i="1"/>
  <c r="S21" i="1"/>
  <c r="T22" i="1"/>
  <c r="S23" i="1"/>
  <c r="S25" i="1"/>
  <c r="S27" i="1"/>
  <c r="S29" i="1"/>
  <c r="Q21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I78" i="1"/>
  <c r="M31" i="1" s="1"/>
  <c r="S31" i="1" s="1"/>
  <c r="I65" i="1"/>
  <c r="M27" i="1" s="1"/>
  <c r="I63" i="1"/>
  <c r="M26" i="1" s="1"/>
  <c r="S26" i="1" s="1"/>
  <c r="I19" i="1"/>
  <c r="M12" i="1" s="1"/>
  <c r="I59" i="1"/>
  <c r="M24" i="1" s="1"/>
  <c r="S24" i="1" s="1"/>
  <c r="I75" i="1"/>
  <c r="M30" i="1" s="1"/>
  <c r="S30" i="1" s="1"/>
  <c r="I36" i="1"/>
  <c r="M18" i="1" s="1"/>
  <c r="Q18" i="1" s="1"/>
  <c r="I26" i="1"/>
  <c r="M14" i="1" s="1"/>
  <c r="Q14" i="1" s="1"/>
  <c r="I85" i="1"/>
  <c r="M34" i="1" s="1"/>
  <c r="S34" i="1" s="1"/>
  <c r="I32" i="1"/>
  <c r="M16" i="1" s="1"/>
  <c r="S16" i="1" s="1"/>
  <c r="I53" i="1"/>
  <c r="M21" i="1" s="1"/>
  <c r="I34" i="1"/>
  <c r="M17" i="1" s="1"/>
  <c r="I30" i="1"/>
  <c r="M15" i="1" s="1"/>
  <c r="S15" i="1" s="1"/>
  <c r="I81" i="1"/>
  <c r="M32" i="1" s="1"/>
  <c r="I41" i="1"/>
  <c r="M19" i="1" s="1"/>
  <c r="S19" i="1" s="1"/>
  <c r="I83" i="1"/>
  <c r="M33" i="1" s="1"/>
  <c r="I73" i="1"/>
  <c r="M29" i="1" s="1"/>
  <c r="Q29" i="1" s="1"/>
  <c r="I51" i="1"/>
  <c r="M20" i="1" s="1"/>
  <c r="Q20" i="1" s="1"/>
  <c r="I70" i="1"/>
  <c r="M28" i="1" s="1"/>
  <c r="S28" i="1" s="1"/>
  <c r="I16" i="1"/>
  <c r="M11" i="1" s="1"/>
  <c r="I24" i="1"/>
  <c r="M13" i="1" s="1"/>
  <c r="S13" i="1" s="1"/>
  <c r="I55" i="1"/>
  <c r="M22" i="1" s="1"/>
  <c r="Q22" i="1" s="1"/>
  <c r="I61" i="1"/>
  <c r="M25" i="1" s="1"/>
  <c r="I84" i="1"/>
  <c r="N34" i="1" s="1"/>
  <c r="I57" i="1"/>
  <c r="M23" i="1" s="1"/>
  <c r="Q23" i="1" s="1"/>
  <c r="I74" i="1"/>
  <c r="N30" i="1" s="1"/>
  <c r="T30" i="1" s="1"/>
  <c r="I76" i="1"/>
  <c r="O31" i="1" s="1"/>
  <c r="I77" i="1"/>
  <c r="J77" i="1" s="1"/>
  <c r="I79" i="1"/>
  <c r="O32" i="1" s="1"/>
  <c r="I80" i="1"/>
  <c r="I82" i="1"/>
  <c r="N33" i="1" s="1"/>
  <c r="I71" i="1"/>
  <c r="N29" i="1" s="1"/>
  <c r="T29" i="1" s="1"/>
  <c r="I72" i="1"/>
  <c r="J72" i="1" s="1"/>
  <c r="I66" i="1"/>
  <c r="J66" i="1" s="1"/>
  <c r="I67" i="1"/>
  <c r="I68" i="1"/>
  <c r="O28" i="1" s="1"/>
  <c r="I69" i="1"/>
  <c r="J69" i="1" s="1"/>
  <c r="I58" i="1"/>
  <c r="N24" i="1" s="1"/>
  <c r="T24" i="1" s="1"/>
  <c r="I60" i="1"/>
  <c r="N25" i="1" s="1"/>
  <c r="T25" i="1" s="1"/>
  <c r="I62" i="1"/>
  <c r="N26" i="1" s="1"/>
  <c r="T26" i="1" s="1"/>
  <c r="I64" i="1"/>
  <c r="N27" i="1" s="1"/>
  <c r="T27" i="1" s="1"/>
  <c r="I42" i="1"/>
  <c r="O20" i="1" s="1"/>
  <c r="I43" i="1"/>
  <c r="J43" i="1" s="1"/>
  <c r="I44" i="1"/>
  <c r="J44" i="1" s="1"/>
  <c r="I45" i="1"/>
  <c r="J45" i="1" s="1"/>
  <c r="I46" i="1"/>
  <c r="J46" i="1" s="1"/>
  <c r="I47" i="1"/>
  <c r="I48" i="1"/>
  <c r="J48" i="1" s="1"/>
  <c r="I49" i="1"/>
  <c r="J49" i="1" s="1"/>
  <c r="I50" i="1"/>
  <c r="I52" i="1"/>
  <c r="N21" i="1" s="1"/>
  <c r="R21" i="1" s="1"/>
  <c r="I54" i="1"/>
  <c r="N22" i="1" s="1"/>
  <c r="R22" i="1" s="1"/>
  <c r="I56" i="1"/>
  <c r="N23" i="1" s="1"/>
  <c r="T23" i="1" s="1"/>
  <c r="I25" i="1"/>
  <c r="N14" i="1" s="1"/>
  <c r="R14" i="1" s="1"/>
  <c r="I27" i="1"/>
  <c r="O15" i="1" s="1"/>
  <c r="I28" i="1"/>
  <c r="J28" i="1" s="1"/>
  <c r="I29" i="1"/>
  <c r="J29" i="1" s="1"/>
  <c r="I31" i="1"/>
  <c r="N16" i="1" s="1"/>
  <c r="P16" i="1" s="1"/>
  <c r="I33" i="1"/>
  <c r="N17" i="1" s="1"/>
  <c r="T17" i="1" s="1"/>
  <c r="I35" i="1"/>
  <c r="N18" i="1" s="1"/>
  <c r="T18" i="1" s="1"/>
  <c r="I37" i="1"/>
  <c r="J37" i="1" s="1"/>
  <c r="I38" i="1"/>
  <c r="O19" i="1" s="1"/>
  <c r="I39" i="1"/>
  <c r="J39" i="1" s="1"/>
  <c r="I40" i="1"/>
  <c r="J40" i="1" s="1"/>
  <c r="I3" i="1"/>
  <c r="I4" i="1"/>
  <c r="I5" i="1"/>
  <c r="J5" i="1" s="1"/>
  <c r="I6" i="1"/>
  <c r="J6" i="1" s="1"/>
  <c r="I7" i="1"/>
  <c r="J7" i="1" s="1"/>
  <c r="I8" i="1"/>
  <c r="J8" i="1" s="1"/>
  <c r="I9" i="1"/>
  <c r="I10" i="1"/>
  <c r="J10" i="1" s="1"/>
  <c r="I11" i="1"/>
  <c r="J11" i="1" s="1"/>
  <c r="I12" i="1"/>
  <c r="J12" i="1" s="1"/>
  <c r="I13" i="1"/>
  <c r="J13" i="1" s="1"/>
  <c r="I14" i="1"/>
  <c r="I15" i="1"/>
  <c r="I17" i="1"/>
  <c r="O12" i="1" s="1"/>
  <c r="I18" i="1"/>
  <c r="J18" i="1" s="1"/>
  <c r="I20" i="1"/>
  <c r="O13" i="1" s="1"/>
  <c r="I21" i="1"/>
  <c r="J21" i="1" s="1"/>
  <c r="I22" i="1"/>
  <c r="J22" i="1" s="1"/>
  <c r="I23" i="1"/>
  <c r="U11" i="1" l="1"/>
  <c r="U41" i="1"/>
  <c r="U40" i="1"/>
  <c r="U38" i="1"/>
  <c r="U39" i="1"/>
  <c r="U37" i="1"/>
  <c r="R33" i="1"/>
  <c r="P33" i="1"/>
  <c r="P12" i="1"/>
  <c r="P32" i="1"/>
  <c r="T34" i="1"/>
  <c r="P34" i="1"/>
  <c r="J26" i="1"/>
  <c r="Q15" i="1"/>
  <c r="J85" i="1"/>
  <c r="Q13" i="1"/>
  <c r="P21" i="1"/>
  <c r="J60" i="1"/>
  <c r="J36" i="1"/>
  <c r="J24" i="1"/>
  <c r="J71" i="1"/>
  <c r="J35" i="1"/>
  <c r="R24" i="1"/>
  <c r="S22" i="1"/>
  <c r="J82" i="1"/>
  <c r="J70" i="1"/>
  <c r="J58" i="1"/>
  <c r="R18" i="1"/>
  <c r="Q24" i="1"/>
  <c r="P30" i="1"/>
  <c r="P18" i="1"/>
  <c r="J81" i="1"/>
  <c r="J57" i="1"/>
  <c r="J32" i="1"/>
  <c r="J20" i="1"/>
  <c r="R16" i="1"/>
  <c r="Q16" i="1"/>
  <c r="T16" i="1"/>
  <c r="J55" i="1"/>
  <c r="J31" i="1"/>
  <c r="J78" i="1"/>
  <c r="J42" i="1"/>
  <c r="J30" i="1"/>
  <c r="J17" i="1"/>
  <c r="Q19" i="1"/>
  <c r="P26" i="1"/>
  <c r="P14" i="1"/>
  <c r="J65" i="1"/>
  <c r="J41" i="1"/>
  <c r="Q31" i="1"/>
  <c r="P25" i="1"/>
  <c r="J76" i="1"/>
  <c r="J64" i="1"/>
  <c r="J52" i="1"/>
  <c r="J16" i="1"/>
  <c r="P24" i="1"/>
  <c r="J75" i="1"/>
  <c r="J63" i="1"/>
  <c r="J51" i="1"/>
  <c r="J27" i="1"/>
  <c r="S33" i="1"/>
  <c r="Q33" i="1"/>
  <c r="Q32" i="1"/>
  <c r="S32" i="1"/>
  <c r="Q28" i="1"/>
  <c r="T14" i="1"/>
  <c r="S14" i="1"/>
  <c r="R23" i="1"/>
  <c r="T33" i="1"/>
  <c r="T21" i="1"/>
  <c r="S20" i="1"/>
  <c r="R29" i="1"/>
  <c r="O29" i="1"/>
  <c r="P29" i="1" s="1"/>
  <c r="Q12" i="1"/>
  <c r="S18" i="1"/>
  <c r="N32" i="1"/>
  <c r="N31" i="1"/>
  <c r="P31" i="1" s="1"/>
  <c r="N28" i="1"/>
  <c r="P28" i="1" s="1"/>
  <c r="N20" i="1"/>
  <c r="P20" i="1" s="1"/>
  <c r="N13" i="1"/>
  <c r="P13" i="1" s="1"/>
  <c r="N19" i="1"/>
  <c r="P19" i="1" s="1"/>
  <c r="N15" i="1"/>
  <c r="P15" i="1" s="1"/>
  <c r="N12" i="1"/>
  <c r="N11" i="1"/>
  <c r="R28" i="1" l="1"/>
  <c r="T28" i="1"/>
  <c r="R15" i="1"/>
  <c r="T15" i="1"/>
  <c r="R19" i="1"/>
  <c r="T19" i="1"/>
  <c r="T20" i="1"/>
  <c r="R20" i="1"/>
  <c r="T31" i="1"/>
  <c r="R31" i="1"/>
  <c r="T32" i="1"/>
  <c r="R32" i="1"/>
  <c r="T12" i="1"/>
  <c r="R12" i="1"/>
  <c r="R13" i="1"/>
</calcChain>
</file>

<file path=xl/sharedStrings.xml><?xml version="1.0" encoding="utf-8"?>
<sst xmlns="http://schemas.openxmlformats.org/spreadsheetml/2006/main" count="431" uniqueCount="58">
  <si>
    <t>molecule_chembl_id</t>
  </si>
  <si>
    <t>molecule_pref_name</t>
  </si>
  <si>
    <t>target_chembl_id</t>
  </si>
  <si>
    <t>type</t>
  </si>
  <si>
    <t>units</t>
  </si>
  <si>
    <t>value</t>
  </si>
  <si>
    <t>None</t>
  </si>
  <si>
    <t>CHEMBL1868</t>
  </si>
  <si>
    <t>IC50</t>
  </si>
  <si>
    <t>uM</t>
  </si>
  <si>
    <t>CHEMBL24828</t>
  </si>
  <si>
    <t>VANDETANIB</t>
  </si>
  <si>
    <t>CHEMBL21156</t>
  </si>
  <si>
    <t>nM</t>
  </si>
  <si>
    <t>CHEMBL101253</t>
  </si>
  <si>
    <t>VATALANIB</t>
  </si>
  <si>
    <t>CHEMBL424672</t>
  </si>
  <si>
    <t>CHEMBL377300</t>
  </si>
  <si>
    <t>BRIVANIB</t>
  </si>
  <si>
    <t>CHEMBL223360</t>
  </si>
  <si>
    <t>LINIFANIB</t>
  </si>
  <si>
    <t>CHEMBL404367</t>
  </si>
  <si>
    <t>CHEMBL509032</t>
  </si>
  <si>
    <t>TAE-684</t>
  </si>
  <si>
    <t>CHEMBL522892</t>
  </si>
  <si>
    <t>DOVITINIB</t>
  </si>
  <si>
    <t>CHEMBL477772</t>
  </si>
  <si>
    <t>PAZOPANIB</t>
  </si>
  <si>
    <t>CHEMBL590109</t>
  </si>
  <si>
    <t>CHEMBL1336</t>
  </si>
  <si>
    <t>SORAFENIB</t>
  </si>
  <si>
    <t>CHEMBL30327</t>
  </si>
  <si>
    <t>2,3,7,8-TETRACHLORODIBENZO-P-DIOXIN</t>
  </si>
  <si>
    <t>CHEMBL404811</t>
  </si>
  <si>
    <t>DIGITONIN</t>
  </si>
  <si>
    <t>CHEMBL103667</t>
  </si>
  <si>
    <t>DORAMAPIMOD</t>
  </si>
  <si>
    <t>CHEMBL1980297</t>
  </si>
  <si>
    <t>ILORASERTIB</t>
  </si>
  <si>
    <t>CHEMBL535</t>
  </si>
  <si>
    <t>SUNITINIB</t>
  </si>
  <si>
    <t>CHEMBL491473</t>
  </si>
  <si>
    <t>CEDIRANIB</t>
  </si>
  <si>
    <t>CHEMBL553</t>
  </si>
  <si>
    <t>ERLOTINIB</t>
  </si>
  <si>
    <t>CHEMBL2004290</t>
  </si>
  <si>
    <t>CHEMBL1969102</t>
  </si>
  <si>
    <t>CHEMBL253969</t>
  </si>
  <si>
    <t>OSI-632</t>
  </si>
  <si>
    <t>CHEMBL2006765</t>
  </si>
  <si>
    <t>CHEMBL412142</t>
  </si>
  <si>
    <t>LADUVIGLUSIB</t>
  </si>
  <si>
    <t>pIC50</t>
  </si>
  <si>
    <t>Ki</t>
  </si>
  <si>
    <t>pKi</t>
  </si>
  <si>
    <t>CHEMBL424872</t>
  </si>
  <si>
    <t>corrected (nM)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</si>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</sst>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00000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16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DE"/>
                </a:p>
              </c:txPr>
            </c:trendlineLbl>
          </c:trendline>
          <c:xVal>
            <c:numRef>
              <c:f>Sheet1!$M$11:$M$34</c:f>
              <c:numCache>
                <c:formatCode>0.0</c:formatCode>
                <c:ptCount val="24"/>
                <c:pt idx="0">
                  <c:v>158.48931924611122</c:v>
                </c:pt>
                <c:pt idx="1">
                  <c:v>2511.8864315095807</c:v>
                </c:pt>
                <c:pt idx="2">
                  <c:v>316.22776601683734</c:v>
                </c:pt>
                <c:pt idx="3">
                  <c:v>0.25118864315095785</c:v>
                </c:pt>
                <c:pt idx="4">
                  <c:v>12.589254117941637</c:v>
                </c:pt>
                <c:pt idx="5">
                  <c:v>6.3095734448019334</c:v>
                </c:pt>
                <c:pt idx="6">
                  <c:v>2511.8864315095807</c:v>
                </c:pt>
                <c:pt idx="7">
                  <c:v>3981.0717055349655</c:v>
                </c:pt>
                <c:pt idx="8">
                  <c:v>630.95734448019255</c:v>
                </c:pt>
                <c:pt idx="9">
                  <c:v>63.095734448019179</c:v>
                </c:pt>
                <c:pt idx="10">
                  <c:v>25.118864315095752</c:v>
                </c:pt>
                <c:pt idx="11">
                  <c:v>0.69700000000000006</c:v>
                </c:pt>
                <c:pt idx="12">
                  <c:v>60</c:v>
                </c:pt>
                <c:pt idx="13">
                  <c:v>1.9952623149688824</c:v>
                </c:pt>
                <c:pt idx="14">
                  <c:v>1000.9999999999999</c:v>
                </c:pt>
                <c:pt idx="15">
                  <c:v>398.10717055349619</c:v>
                </c:pt>
                <c:pt idx="16">
                  <c:v>2511.8864315095807</c:v>
                </c:pt>
                <c:pt idx="17">
                  <c:v>15.848931924611133</c:v>
                </c:pt>
                <c:pt idx="18">
                  <c:v>7.9432823472428087</c:v>
                </c:pt>
                <c:pt idx="19">
                  <c:v>79.432823472428183</c:v>
                </c:pt>
                <c:pt idx="20">
                  <c:v>39.810717055349571</c:v>
                </c:pt>
                <c:pt idx="21">
                  <c:v>2</c:v>
                </c:pt>
                <c:pt idx="22">
                  <c:v>1584.8931924611111</c:v>
                </c:pt>
                <c:pt idx="23">
                  <c:v>398.10717055349619</c:v>
                </c:pt>
              </c:numCache>
            </c:numRef>
          </c:xVal>
          <c:yVal>
            <c:numRef>
              <c:f>Sheet1!$N$11:$N$34</c:f>
              <c:numCache>
                <c:formatCode>0.0</c:formatCode>
                <c:ptCount val="24"/>
                <c:pt idx="0">
                  <c:v>137</c:v>
                </c:pt>
                <c:pt idx="1">
                  <c:v>625</c:v>
                </c:pt>
                <c:pt idx="2">
                  <c:v>60</c:v>
                </c:pt>
                <c:pt idx="3">
                  <c:v>1.9</c:v>
                </c:pt>
                <c:pt idx="4">
                  <c:v>11.783333333333333</c:v>
                </c:pt>
                <c:pt idx="5">
                  <c:v>4.29</c:v>
                </c:pt>
                <c:pt idx="6">
                  <c:v>4220</c:v>
                </c:pt>
                <c:pt idx="7">
                  <c:v>1520</c:v>
                </c:pt>
                <c:pt idx="8">
                  <c:v>28.25</c:v>
                </c:pt>
                <c:pt idx="9">
                  <c:v>334.77777777777777</c:v>
                </c:pt>
                <c:pt idx="10">
                  <c:v>122</c:v>
                </c:pt>
                <c:pt idx="11">
                  <c:v>2.69</c:v>
                </c:pt>
                <c:pt idx="12">
                  <c:v>380</c:v>
                </c:pt>
                <c:pt idx="13">
                  <c:v>7</c:v>
                </c:pt>
                <c:pt idx="14">
                  <c:v>3859</c:v>
                </c:pt>
                <c:pt idx="15">
                  <c:v>5000</c:v>
                </c:pt>
                <c:pt idx="16">
                  <c:v>10000</c:v>
                </c:pt>
                <c:pt idx="17">
                  <c:v>32</c:v>
                </c:pt>
                <c:pt idx="18">
                  <c:v>5</c:v>
                </c:pt>
                <c:pt idx="19">
                  <c:v>872</c:v>
                </c:pt>
                <c:pt idx="20">
                  <c:v>6.5</c:v>
                </c:pt>
                <c:pt idx="21">
                  <c:v>45.75</c:v>
                </c:pt>
                <c:pt idx="22">
                  <c:v>1000</c:v>
                </c:pt>
                <c:pt idx="23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3E-E644-9964-0CCF9D104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35439"/>
        <c:axId val="1091956607"/>
      </c:scatterChart>
      <c:valAx>
        <c:axId val="109213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1956607"/>
        <c:crosses val="autoZero"/>
        <c:crossBetween val="midCat"/>
      </c:valAx>
      <c:valAx>
        <c:axId val="10919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09213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VEGFR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5743657042867"/>
                  <c:y val="7.6365558471857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DE"/>
                </a:p>
              </c:txPr>
            </c:trendlineLbl>
          </c:trendline>
          <c:xVal>
            <c:numRef>
              <c:f>Sheet1!$Q$11:$Q$34</c:f>
              <c:numCache>
                <c:formatCode>0.0</c:formatCode>
                <c:ptCount val="24"/>
                <c:pt idx="0">
                  <c:v>0.15848931924611123</c:v>
                </c:pt>
                <c:pt idx="1">
                  <c:v>2.5118864315095806</c:v>
                </c:pt>
                <c:pt idx="2">
                  <c:v>0.31622776601683733</c:v>
                </c:pt>
                <c:pt idx="3">
                  <c:v>2.5118864315095785E-4</c:v>
                </c:pt>
                <c:pt idx="4">
                  <c:v>1.2589254117941637E-2</c:v>
                </c:pt>
                <c:pt idx="5">
                  <c:v>6.3095734448019337E-3</c:v>
                </c:pt>
                <c:pt idx="7">
                  <c:v>3.9810717055349656</c:v>
                </c:pt>
                <c:pt idx="8">
                  <c:v>0.63095734448019258</c:v>
                </c:pt>
                <c:pt idx="9">
                  <c:v>6.3095734448019178E-2</c:v>
                </c:pt>
                <c:pt idx="10">
                  <c:v>2.5118864315095753E-2</c:v>
                </c:pt>
                <c:pt idx="11">
                  <c:v>6.9700000000000003E-4</c:v>
                </c:pt>
                <c:pt idx="12">
                  <c:v>0.06</c:v>
                </c:pt>
                <c:pt idx="13">
                  <c:v>1.9952623149688824E-3</c:v>
                </c:pt>
                <c:pt idx="17">
                  <c:v>1.5848931924611134E-2</c:v>
                </c:pt>
                <c:pt idx="18">
                  <c:v>7.9432823472428086E-3</c:v>
                </c:pt>
                <c:pt idx="20">
                  <c:v>3.9810717055349568E-2</c:v>
                </c:pt>
                <c:pt idx="21">
                  <c:v>2E-3</c:v>
                </c:pt>
                <c:pt idx="22">
                  <c:v>1.5848931924611112</c:v>
                </c:pt>
              </c:numCache>
            </c:numRef>
          </c:xVal>
          <c:yVal>
            <c:numRef>
              <c:f>Sheet1!$R$11:$R$34</c:f>
              <c:numCache>
                <c:formatCode>0.0</c:formatCode>
                <c:ptCount val="24"/>
                <c:pt idx="0">
                  <c:v>0.13700000000000001</c:v>
                </c:pt>
                <c:pt idx="1">
                  <c:v>0.625</c:v>
                </c:pt>
                <c:pt idx="2">
                  <c:v>0.06</c:v>
                </c:pt>
                <c:pt idx="3">
                  <c:v>1.9E-3</c:v>
                </c:pt>
                <c:pt idx="4">
                  <c:v>1.1783333333333333E-2</c:v>
                </c:pt>
                <c:pt idx="5">
                  <c:v>4.2900000000000004E-3</c:v>
                </c:pt>
                <c:pt idx="7">
                  <c:v>1.52</c:v>
                </c:pt>
                <c:pt idx="8">
                  <c:v>2.8250000000000001E-2</c:v>
                </c:pt>
                <c:pt idx="9">
                  <c:v>0.33477777777777779</c:v>
                </c:pt>
                <c:pt idx="10">
                  <c:v>0.122</c:v>
                </c:pt>
                <c:pt idx="11">
                  <c:v>2.6900000000000001E-3</c:v>
                </c:pt>
                <c:pt idx="12">
                  <c:v>0.38</c:v>
                </c:pt>
                <c:pt idx="13">
                  <c:v>7.0000000000000001E-3</c:v>
                </c:pt>
                <c:pt idx="17">
                  <c:v>3.2000000000000001E-2</c:v>
                </c:pt>
                <c:pt idx="18">
                  <c:v>5.0000000000000001E-3</c:v>
                </c:pt>
                <c:pt idx="20">
                  <c:v>6.4999999999999997E-3</c:v>
                </c:pt>
                <c:pt idx="21">
                  <c:v>4.5749999999999999E-2</c:v>
                </c:pt>
                <c:pt idx="22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3A-A94E-858C-C96E377F6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35439"/>
        <c:axId val="1091956607"/>
      </c:scatterChart>
      <c:valAx>
        <c:axId val="109213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Ki (</a:t>
                </a:r>
                <a:r>
                  <a:rPr lang="en-GB" sz="1000" b="0" i="0" u="none" strike="noStrike" baseline="0">
                    <a:effectLst/>
                  </a:rPr>
                  <a:t>µ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DE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DE"/>
          </a:p>
        </c:txPr>
        <c:crossAx val="1091956607"/>
        <c:crosses val="autoZero"/>
        <c:crossBetween val="midCat"/>
      </c:valAx>
      <c:valAx>
        <c:axId val="10919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IC50</a:t>
                </a:r>
                <a:r>
                  <a:rPr lang="en-GB" baseline="0"/>
                  <a:t> (</a:t>
                </a:r>
                <a:r>
                  <a:rPr lang="en-GB" sz="1000" b="0" i="0" u="none" strike="noStrike" baseline="0">
                    <a:effectLst/>
                  </a:rPr>
                  <a:t>µ</a:t>
                </a:r>
                <a:r>
                  <a:rPr lang="en-GB" baseline="0"/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DE"/>
          </a:p>
        </c:txPr>
        <c:crossAx val="109213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GB"/>
              <a:t>VEGFR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12700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825743657042867"/>
                  <c:y val="7.636555847185767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DE"/>
                </a:p>
              </c:txPr>
            </c:trendlineLbl>
          </c:trendline>
          <c:xVal>
            <c:numRef>
              <c:f>Sheet1!$S$11:$S$34</c:f>
              <c:numCache>
                <c:formatCode>0.00000000000000</c:formatCode>
                <c:ptCount val="24"/>
                <c:pt idx="0">
                  <c:v>-1.8420680743952369</c:v>
                </c:pt>
                <c:pt idx="1">
                  <c:v>0.92103403719761889</c:v>
                </c:pt>
                <c:pt idx="2">
                  <c:v>-1.1512925464970243</c:v>
                </c:pt>
                <c:pt idx="3">
                  <c:v>-8.2893063347785656</c:v>
                </c:pt>
                <c:pt idx="4">
                  <c:v>-4.37491167668869</c:v>
                </c:pt>
                <c:pt idx="5">
                  <c:v>-5.0656872045868999</c:v>
                </c:pt>
                <c:pt idx="6">
                  <c:v>0.92103403719761889</c:v>
                </c:pt>
                <c:pt idx="7">
                  <c:v>1.3815510557964252</c:v>
                </c:pt>
                <c:pt idx="8">
                  <c:v>-0.46051701859880989</c:v>
                </c:pt>
                <c:pt idx="9">
                  <c:v>-2.7631021115928567</c:v>
                </c:pt>
                <c:pt idx="10">
                  <c:v>-3.6841361487904747</c:v>
                </c:pt>
                <c:pt idx="11">
                  <c:v>-7.2687251472037495</c:v>
                </c:pt>
                <c:pt idx="12">
                  <c:v>-2.8134107167600364</c:v>
                </c:pt>
                <c:pt idx="13">
                  <c:v>-6.2169797510839215</c:v>
                </c:pt>
                <c:pt idx="14">
                  <c:v>9.9950033308360275E-4</c:v>
                </c:pt>
                <c:pt idx="15">
                  <c:v>-0.92103403719762067</c:v>
                </c:pt>
                <c:pt idx="16">
                  <c:v>0.92103403719761889</c:v>
                </c:pt>
                <c:pt idx="17">
                  <c:v>-4.1446531673892819</c:v>
                </c:pt>
                <c:pt idx="18">
                  <c:v>-4.8354286952874963</c:v>
                </c:pt>
                <c:pt idx="19">
                  <c:v>-2.5328436022934495</c:v>
                </c:pt>
                <c:pt idx="20">
                  <c:v>-3.2236191301916675</c:v>
                </c:pt>
                <c:pt idx="21">
                  <c:v>-6.2146080984221914</c:v>
                </c:pt>
                <c:pt idx="22">
                  <c:v>0.46051701859880811</c:v>
                </c:pt>
                <c:pt idx="23">
                  <c:v>-0.92103403719762067</c:v>
                </c:pt>
              </c:numCache>
            </c:numRef>
          </c:xVal>
          <c:yVal>
            <c:numRef>
              <c:f>Sheet1!$T$11:$T$34</c:f>
              <c:numCache>
                <c:formatCode>0.00000000000000</c:formatCode>
                <c:ptCount val="24"/>
                <c:pt idx="0">
                  <c:v>-1.9877743531540117</c:v>
                </c:pt>
                <c:pt idx="1">
                  <c:v>-0.47000362924573569</c:v>
                </c:pt>
                <c:pt idx="2">
                  <c:v>-2.8134107167600364</c:v>
                </c:pt>
                <c:pt idx="3">
                  <c:v>-6.2659013928097425</c:v>
                </c:pt>
                <c:pt idx="4">
                  <c:v>-4.4410691753076641</c:v>
                </c:pt>
                <c:pt idx="5">
                  <c:v>-5.4514685460422108</c:v>
                </c:pt>
                <c:pt idx="6">
                  <c:v>1.4398351280479211</c:v>
                </c:pt>
                <c:pt idx="7">
                  <c:v>0.41871033485818554</c:v>
                </c:pt>
                <c:pt idx="8">
                  <c:v>-3.5666618213896868</c:v>
                </c:pt>
                <c:pt idx="9">
                  <c:v>-1.0942883171880551</c:v>
                </c:pt>
                <c:pt idx="10">
                  <c:v>-2.1037342342488801</c:v>
                </c:pt>
                <c:pt idx="11">
                  <c:v>-5.9182140853683887</c:v>
                </c:pt>
                <c:pt idx="12">
                  <c:v>-0.96758402626170525</c:v>
                </c:pt>
                <c:pt idx="13">
                  <c:v>-4.9618451299268234</c:v>
                </c:pt>
                <c:pt idx="14">
                  <c:v>1.3504080825554823</c:v>
                </c:pt>
                <c:pt idx="15">
                  <c:v>1.6094379124341014</c:v>
                </c:pt>
                <c:pt idx="16">
                  <c:v>2.3025850929940468</c:v>
                </c:pt>
                <c:pt idx="17">
                  <c:v>-3.4420193761824103</c:v>
                </c:pt>
                <c:pt idx="18">
                  <c:v>-5.2983173665480363</c:v>
                </c:pt>
                <c:pt idx="19">
                  <c:v>-0.13696585507315717</c:v>
                </c:pt>
                <c:pt idx="20">
                  <c:v>-5.0359531020805459</c:v>
                </c:pt>
                <c:pt idx="21">
                  <c:v>-3.0845634872606067</c:v>
                </c:pt>
                <c:pt idx="22">
                  <c:v>0</c:v>
                </c:pt>
                <c:pt idx="23">
                  <c:v>2.19722457733622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F7-C24B-96FA-CF2E72DBF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2135439"/>
        <c:axId val="1091956607"/>
      </c:scatterChart>
      <c:valAx>
        <c:axId val="10921354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Ki (</a:t>
                </a:r>
                <a:r>
                  <a:rPr lang="en-GB" sz="1000" b="0" i="0" u="none" strike="noStrike" baseline="0">
                    <a:effectLst/>
                  </a:rPr>
                  <a:t>µ</a:t>
                </a:r>
                <a:r>
                  <a:rPr lang="en-GB"/>
                  <a:t>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D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DE"/>
          </a:p>
        </c:txPr>
        <c:crossAx val="1091956607"/>
        <c:crosses val="autoZero"/>
        <c:crossBetween val="midCat"/>
      </c:valAx>
      <c:valAx>
        <c:axId val="109195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/>
                  <a:t>IC50</a:t>
                </a:r>
                <a:r>
                  <a:rPr lang="en-GB" baseline="0"/>
                  <a:t> (</a:t>
                </a:r>
                <a:r>
                  <a:rPr lang="en-GB" sz="1000" b="0" i="0" u="none" strike="noStrike" baseline="0">
                    <a:effectLst/>
                  </a:rPr>
                  <a:t>µ</a:t>
                </a:r>
                <a:r>
                  <a:rPr lang="en-GB" baseline="0"/>
                  <a:t>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GB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DE"/>
          </a:p>
        </c:txPr>
        <c:crossAx val="109213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>
      <cx:tx>
        <cx:rich>
          <a:bodyPr vertOverflow="overflow" horzOverflow="overflow" wrap="square" lIns="0" tIns="0" rIns="0" bIns="0"/>
          <a:lstStyle/>
          <a:p>
            <a:pPr algn="ctr" rtl="0">
              <a:defRPr sz="120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r>
              <a:rPr lang="en-DE" sz="1200" b="0" i="0" u="none" strike="noStrike" baseline="0">
                <a:solidFill>
                  <a:schemeClr val="tx1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log (1+[ATP]/KM) </a:t>
            </a:r>
            <a:endParaRPr lang="en-GB" sz="1200" b="0" i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rich>
      </cx:tx>
    </cx:title>
    <cx:plotArea>
      <cx:plotAreaRegion>
        <cx:series layoutId="clusteredColumn" uniqueId="{F80B8676-9C96-EE48-AE34-D9CC3243B9DF}">
          <cx:spPr>
            <a:solidFill>
              <a:srgbClr val="0070C0"/>
            </a:solidFill>
            <a:ln w="12700">
              <a:solidFill>
                <a:schemeClr val="tx1"/>
              </a:solidFill>
            </a:ln>
          </cx:spPr>
          <cx:dataId val="0"/>
          <cx:layoutPr>
            <cx:binning intervalClosed="r">
              <cx:binSize val="0.5"/>
            </cx:binning>
          </cx:layoutPr>
        </cx:series>
      </cx:plotAreaRegion>
      <cx:axis id="0">
        <cx:catScaling gapWidth="0"/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  <cx:axis id="1">
        <cx:valScaling/>
        <cx:title>
          <cx:tx>
            <cx:txData>
              <cx:v>Frequency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 sz="1100">
                  <a:solidFill>
                    <a:schemeClr val="tx1"/>
                  </a:solidFill>
                  <a:latin typeface="Times New Roman" panose="02020603050405020304" pitchFamily="18" charset="0"/>
                  <a:ea typeface="Times New Roman" panose="02020603050405020304" pitchFamily="18" charset="0"/>
                  <a:cs typeface="Times New Roman" panose="02020603050405020304" pitchFamily="18" charset="0"/>
                </a:defRPr>
              </a:pPr>
              <a:r>
                <a:rPr lang="en-GB" sz="1100" b="0" i="0" u="none" strike="noStrike" baseline="0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rPr>
                <a:t>Frequency</a:t>
              </a:r>
            </a:p>
          </cx:txPr>
        </cx:title>
        <cx:majorGridlines>
          <cx:spPr>
            <a:ln>
              <a:solidFill>
                <a:schemeClr val="bg1">
                  <a:lumMod val="75000"/>
                </a:schemeClr>
              </a:solidFill>
              <a:prstDash val="sysDash"/>
            </a:ln>
          </cx:spPr>
        </cx:majorGridlines>
        <cx:tickLabels/>
        <cx:spPr>
          <a:ln>
            <a:solidFill>
              <a:schemeClr val="tx1"/>
            </a:solidFill>
          </a:ln>
        </cx:spPr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chemeClr val="tx1"/>
                </a:solidFill>
                <a:latin typeface="Times New Roman" panose="02020603050405020304" pitchFamily="18" charset="0"/>
                <a:ea typeface="Times New Roman" panose="02020603050405020304" pitchFamily="18" charset="0"/>
                <a:cs typeface="Times New Roman" panose="02020603050405020304" pitchFamily="18" charset="0"/>
              </a:defRPr>
            </a:pPr>
            <a:endParaRPr lang="en-GB" sz="10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107950</xdr:colOff>
      <xdr:row>3</xdr:row>
      <xdr:rowOff>101600</xdr:rowOff>
    </xdr:from>
    <xdr:to>
      <xdr:col>26</xdr:col>
      <xdr:colOff>552450</xdr:colOff>
      <xdr:row>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8D1364-FC23-3F4A-BB11-24747A1FBC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38100</xdr:colOff>
      <xdr:row>17</xdr:row>
      <xdr:rowOff>190500</xdr:rowOff>
    </xdr:from>
    <xdr:to>
      <xdr:col>26</xdr:col>
      <xdr:colOff>482600</xdr:colOff>
      <xdr:row>31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81CB8B5-5CC9-1B48-8CD3-ACECAC58F2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12700</xdr:colOff>
      <xdr:row>29</xdr:row>
      <xdr:rowOff>101600</xdr:rowOff>
    </xdr:from>
    <xdr:to>
      <xdr:col>28</xdr:col>
      <xdr:colOff>660400</xdr:colOff>
      <xdr:row>53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760BD5-37EB-6746-8D53-43CD9C699C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502920</xdr:colOff>
      <xdr:row>35</xdr:row>
      <xdr:rowOff>196850</xdr:rowOff>
    </xdr:from>
    <xdr:to>
      <xdr:col>19</xdr:col>
      <xdr:colOff>1264920</xdr:colOff>
      <xdr:row>49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31AF6F66-40BE-7640-6493-7DAF77BE72E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127220" y="7308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F5ED7-E0D7-C84D-B685-038A94E80203}">
  <dimension ref="B2:U85"/>
  <sheetViews>
    <sheetView tabSelected="1" topLeftCell="L2" zoomScaleNormal="100" workbookViewId="0">
      <selection activeCell="T12" sqref="T12"/>
    </sheetView>
  </sheetViews>
  <sheetFormatPr baseColWidth="10" defaultRowHeight="16" x14ac:dyDescent="0.2"/>
  <cols>
    <col min="2" max="2" width="5.1640625" bestFit="1" customWidth="1"/>
    <col min="3" max="3" width="18.33203125" bestFit="1" customWidth="1"/>
    <col min="4" max="4" width="35.83203125" bestFit="1" customWidth="1"/>
    <col min="5" max="5" width="15.6640625" bestFit="1" customWidth="1"/>
    <col min="6" max="6" width="5.6640625" bestFit="1" customWidth="1"/>
    <col min="7" max="7" width="7.5" bestFit="1" customWidth="1"/>
    <col min="8" max="8" width="9.1640625" bestFit="1" customWidth="1"/>
    <col min="9" max="9" width="13.33203125" bestFit="1" customWidth="1"/>
    <col min="10" max="10" width="17.5" bestFit="1" customWidth="1"/>
    <col min="12" max="12" width="35.83203125" bestFit="1" customWidth="1"/>
    <col min="19" max="20" width="17.5" bestFit="1" customWidth="1"/>
    <col min="21" max="21" width="16.83203125" bestFit="1" customWidth="1"/>
  </cols>
  <sheetData>
    <row r="2" spans="2:21" x14ac:dyDescent="0.2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56</v>
      </c>
    </row>
    <row r="3" spans="2:21" x14ac:dyDescent="0.2">
      <c r="B3" s="2">
        <v>80</v>
      </c>
      <c r="C3" s="3" t="s">
        <v>14</v>
      </c>
      <c r="D3" s="3" t="s">
        <v>15</v>
      </c>
      <c r="E3" s="3" t="s">
        <v>7</v>
      </c>
      <c r="F3" s="3" t="s">
        <v>8</v>
      </c>
      <c r="G3" s="3" t="s">
        <v>9</v>
      </c>
      <c r="H3" s="3">
        <v>7.6999999999999999E-2</v>
      </c>
      <c r="I3" s="4">
        <f t="shared" ref="I3:I15" si="0">1000*H3*IF(G3 = $M$3, 1, 0) + H3*IF(G3 = $M$4, 1, 0) + POWER(10,-H3)*IF(F3 = $M$5, 1, 0)*1000000000</f>
        <v>77</v>
      </c>
      <c r="J3" s="10">
        <f>LN(I3)-LN(1000)</f>
        <v>-2.5639498571284527</v>
      </c>
      <c r="M3" t="s">
        <v>9</v>
      </c>
    </row>
    <row r="4" spans="2:21" x14ac:dyDescent="0.2">
      <c r="B4" s="5">
        <v>195</v>
      </c>
      <c r="C4" t="s">
        <v>14</v>
      </c>
      <c r="D4" t="s">
        <v>15</v>
      </c>
      <c r="E4" t="s">
        <v>7</v>
      </c>
      <c r="F4" t="s">
        <v>8</v>
      </c>
      <c r="G4" t="s">
        <v>9</v>
      </c>
      <c r="H4">
        <v>0.14000000000000001</v>
      </c>
      <c r="I4" s="6">
        <f t="shared" si="0"/>
        <v>140</v>
      </c>
      <c r="J4" s="10">
        <f t="shared" ref="J4:J67" si="1">LN(I4)-LN(1000)</f>
        <v>-1.966112856372833</v>
      </c>
      <c r="M4" t="s">
        <v>13</v>
      </c>
    </row>
    <row r="5" spans="2:21" x14ac:dyDescent="0.2">
      <c r="B5" s="5">
        <v>196</v>
      </c>
      <c r="C5" t="s">
        <v>14</v>
      </c>
      <c r="D5" t="s">
        <v>15</v>
      </c>
      <c r="E5" t="s">
        <v>7</v>
      </c>
      <c r="F5" t="s">
        <v>8</v>
      </c>
      <c r="G5" t="s">
        <v>9</v>
      </c>
      <c r="H5">
        <v>0.14000000000000001</v>
      </c>
      <c r="I5" s="6">
        <f t="shared" si="0"/>
        <v>140</v>
      </c>
      <c r="J5" s="10">
        <f t="shared" si="1"/>
        <v>-1.966112856372833</v>
      </c>
      <c r="M5" t="s">
        <v>52</v>
      </c>
    </row>
    <row r="6" spans="2:21" x14ac:dyDescent="0.2">
      <c r="B6" s="5">
        <v>227</v>
      </c>
      <c r="C6" t="s">
        <v>14</v>
      </c>
      <c r="D6" t="s">
        <v>15</v>
      </c>
      <c r="E6" t="s">
        <v>7</v>
      </c>
      <c r="F6" t="s">
        <v>8</v>
      </c>
      <c r="G6" t="s">
        <v>9</v>
      </c>
      <c r="H6">
        <v>0.14000000000000001</v>
      </c>
      <c r="I6" s="6">
        <f t="shared" si="0"/>
        <v>140</v>
      </c>
      <c r="J6" s="10">
        <f t="shared" si="1"/>
        <v>-1.966112856372833</v>
      </c>
      <c r="M6" t="s">
        <v>54</v>
      </c>
    </row>
    <row r="7" spans="2:21" x14ac:dyDescent="0.2">
      <c r="B7" s="5">
        <v>271</v>
      </c>
      <c r="C7" t="s">
        <v>14</v>
      </c>
      <c r="D7" t="s">
        <v>15</v>
      </c>
      <c r="E7" t="s">
        <v>7</v>
      </c>
      <c r="F7" t="s">
        <v>8</v>
      </c>
      <c r="G7" t="s">
        <v>9</v>
      </c>
      <c r="H7">
        <v>0.14000000000000001</v>
      </c>
      <c r="I7" s="6">
        <f t="shared" si="0"/>
        <v>140</v>
      </c>
      <c r="J7" s="10">
        <f t="shared" si="1"/>
        <v>-1.966112856372833</v>
      </c>
    </row>
    <row r="8" spans="2:21" x14ac:dyDescent="0.2">
      <c r="B8" s="5">
        <v>467</v>
      </c>
      <c r="C8" t="s">
        <v>14</v>
      </c>
      <c r="D8" t="s">
        <v>15</v>
      </c>
      <c r="E8" t="s">
        <v>7</v>
      </c>
      <c r="F8" t="s">
        <v>8</v>
      </c>
      <c r="G8" t="s">
        <v>9</v>
      </c>
      <c r="H8">
        <v>5.3999999999999999E-2</v>
      </c>
      <c r="I8" s="6">
        <f t="shared" si="0"/>
        <v>54</v>
      </c>
      <c r="J8" s="10">
        <f t="shared" si="1"/>
        <v>-2.9187712324178623</v>
      </c>
    </row>
    <row r="9" spans="2:21" x14ac:dyDescent="0.2">
      <c r="B9" s="5">
        <v>640</v>
      </c>
      <c r="C9" t="s">
        <v>14</v>
      </c>
      <c r="D9" t="s">
        <v>15</v>
      </c>
      <c r="E9" t="s">
        <v>7</v>
      </c>
      <c r="F9" t="s">
        <v>8</v>
      </c>
      <c r="G9" t="s">
        <v>9</v>
      </c>
      <c r="H9">
        <v>0.14000000000000001</v>
      </c>
      <c r="I9" s="6">
        <f t="shared" si="0"/>
        <v>140</v>
      </c>
      <c r="J9" s="10">
        <f t="shared" si="1"/>
        <v>-1.966112856372833</v>
      </c>
    </row>
    <row r="10" spans="2:21" x14ac:dyDescent="0.2">
      <c r="B10" s="5">
        <v>668</v>
      </c>
      <c r="C10" t="s">
        <v>14</v>
      </c>
      <c r="D10" t="s">
        <v>15</v>
      </c>
      <c r="E10" t="s">
        <v>7</v>
      </c>
      <c r="F10" t="s">
        <v>8</v>
      </c>
      <c r="G10" t="s">
        <v>9</v>
      </c>
      <c r="H10">
        <v>0.11</v>
      </c>
      <c r="I10" s="6">
        <f t="shared" si="0"/>
        <v>110</v>
      </c>
      <c r="J10" s="10">
        <f t="shared" si="1"/>
        <v>-2.2072749131897202</v>
      </c>
      <c r="M10" t="s">
        <v>53</v>
      </c>
      <c r="N10" t="s">
        <v>8</v>
      </c>
      <c r="O10" t="s">
        <v>57</v>
      </c>
      <c r="Q10" t="s">
        <v>53</v>
      </c>
      <c r="R10" t="s">
        <v>8</v>
      </c>
    </row>
    <row r="11" spans="2:21" x14ac:dyDescent="0.2">
      <c r="B11" s="5">
        <v>726</v>
      </c>
      <c r="C11" t="s">
        <v>14</v>
      </c>
      <c r="D11" t="s">
        <v>15</v>
      </c>
      <c r="E11" t="s">
        <v>7</v>
      </c>
      <c r="F11" t="s">
        <v>8</v>
      </c>
      <c r="G11" t="s">
        <v>9</v>
      </c>
      <c r="H11">
        <v>0.14000000000000001</v>
      </c>
      <c r="I11" s="6">
        <f t="shared" si="0"/>
        <v>140</v>
      </c>
      <c r="J11" s="10">
        <f t="shared" si="1"/>
        <v>-1.966112856372833</v>
      </c>
      <c r="L11" t="str">
        <f>D6</f>
        <v>VATALANIB</v>
      </c>
      <c r="M11" s="1">
        <f>I16</f>
        <v>158.48931924611122</v>
      </c>
      <c r="N11" s="1">
        <f>AVERAGE(I3:I15)</f>
        <v>137</v>
      </c>
      <c r="O11" s="1">
        <f>STDEV(I3:I15)</f>
        <v>78.074750506592508</v>
      </c>
      <c r="P11" s="1">
        <f>100*O11/N11</f>
        <v>56.988868982914241</v>
      </c>
      <c r="Q11" s="1">
        <f>M11/1000</f>
        <v>0.15848931924611123</v>
      </c>
      <c r="R11" s="1">
        <f>N11/1000</f>
        <v>0.13700000000000001</v>
      </c>
      <c r="S11" s="10">
        <f>LN(M11)-LN(1000)</f>
        <v>-1.8420680743952369</v>
      </c>
      <c r="T11" s="10">
        <f>LN(N11)-LN(1000)</f>
        <v>-1.9877743531540117</v>
      </c>
      <c r="U11" s="11">
        <f>-(S11-T11)</f>
        <v>-0.14570627875877484</v>
      </c>
    </row>
    <row r="12" spans="2:21" x14ac:dyDescent="0.2">
      <c r="B12" s="5">
        <v>757</v>
      </c>
      <c r="C12" t="s">
        <v>14</v>
      </c>
      <c r="D12" t="s">
        <v>15</v>
      </c>
      <c r="E12" t="s">
        <v>7</v>
      </c>
      <c r="F12" t="s">
        <v>8</v>
      </c>
      <c r="G12" t="s">
        <v>9</v>
      </c>
      <c r="H12">
        <v>0.11</v>
      </c>
      <c r="I12" s="6">
        <f t="shared" si="0"/>
        <v>110</v>
      </c>
      <c r="J12" s="10">
        <f t="shared" si="1"/>
        <v>-2.2072749131897202</v>
      </c>
      <c r="L12" t="str">
        <f>D17</f>
        <v>DORAMAPIMOD</v>
      </c>
      <c r="M12" s="1">
        <f>I19</f>
        <v>2511.8864315095807</v>
      </c>
      <c r="N12" s="1">
        <f>AVERAGE(I17:I18)</f>
        <v>625</v>
      </c>
      <c r="O12" s="1">
        <f>STDEV(I17:I18)</f>
        <v>530.33008588991061</v>
      </c>
      <c r="P12" s="1">
        <f t="shared" ref="P12:P34" si="2">100*O12/N12</f>
        <v>84.852813742385706</v>
      </c>
      <c r="Q12" s="1">
        <f t="shared" ref="Q12:Q16" si="3">M12/1000</f>
        <v>2.5118864315095806</v>
      </c>
      <c r="R12" s="1">
        <f t="shared" ref="R12:R16" si="4">N12/1000</f>
        <v>0.625</v>
      </c>
      <c r="S12" s="10">
        <f>LN(M12)-LN(1000)</f>
        <v>0.92103403719761889</v>
      </c>
      <c r="T12" s="10">
        <f t="shared" ref="T12:T34" si="5">LN(N12)-LN(1000)</f>
        <v>-0.47000362924573569</v>
      </c>
      <c r="U12" s="11">
        <f t="shared" ref="U12:U34" si="6">-(S12-T12)</f>
        <v>-1.3910376664433546</v>
      </c>
    </row>
    <row r="13" spans="2:21" x14ac:dyDescent="0.2">
      <c r="B13" s="5">
        <v>1933</v>
      </c>
      <c r="C13" t="s">
        <v>14</v>
      </c>
      <c r="D13" t="s">
        <v>15</v>
      </c>
      <c r="E13" t="s">
        <v>7</v>
      </c>
      <c r="F13" t="s">
        <v>8</v>
      </c>
      <c r="G13" t="s">
        <v>13</v>
      </c>
      <c r="H13">
        <v>110</v>
      </c>
      <c r="I13" s="6">
        <f t="shared" si="0"/>
        <v>110</v>
      </c>
      <c r="J13" s="10">
        <f t="shared" si="1"/>
        <v>-2.2072749131897202</v>
      </c>
      <c r="L13" t="str">
        <f>D20</f>
        <v>SORAFENIB</v>
      </c>
      <c r="M13" s="1">
        <f>I24</f>
        <v>316.22776601683734</v>
      </c>
      <c r="N13" s="1">
        <f>AVERAGE(I20:I23)</f>
        <v>60</v>
      </c>
      <c r="O13" s="1">
        <f>STDEV(I20:I23)</f>
        <v>70.204463295909235</v>
      </c>
      <c r="P13" s="1">
        <f t="shared" si="2"/>
        <v>117.0074388265154</v>
      </c>
      <c r="Q13" s="1">
        <f t="shared" si="3"/>
        <v>0.31622776601683733</v>
      </c>
      <c r="R13" s="1">
        <f t="shared" si="4"/>
        <v>0.06</v>
      </c>
      <c r="S13" s="10">
        <f t="shared" ref="S13:S34" si="7">LN(M13)-LN(1000)</f>
        <v>-1.1512925464970243</v>
      </c>
      <c r="T13" s="10">
        <f>LN(N13)-LN(1000)</f>
        <v>-2.8134107167600364</v>
      </c>
      <c r="U13" s="11">
        <f t="shared" si="6"/>
        <v>-1.6621181702630121</v>
      </c>
    </row>
    <row r="14" spans="2:21" x14ac:dyDescent="0.2">
      <c r="B14" s="5">
        <v>1991</v>
      </c>
      <c r="C14" t="s">
        <v>14</v>
      </c>
      <c r="D14" t="s">
        <v>15</v>
      </c>
      <c r="E14" t="s">
        <v>7</v>
      </c>
      <c r="F14" t="s">
        <v>8</v>
      </c>
      <c r="G14" t="s">
        <v>13</v>
      </c>
      <c r="H14">
        <v>380</v>
      </c>
      <c r="I14" s="6">
        <f t="shared" si="0"/>
        <v>380</v>
      </c>
      <c r="J14" s="10">
        <f t="shared" si="1"/>
        <v>-0.96758402626170525</v>
      </c>
      <c r="L14" t="str">
        <f>C25</f>
        <v>CHEMBL1969102</v>
      </c>
      <c r="M14" s="1">
        <f>I26</f>
        <v>0.25118864315095785</v>
      </c>
      <c r="N14" s="1">
        <f>I25</f>
        <v>1.9</v>
      </c>
      <c r="O14" s="1">
        <v>0</v>
      </c>
      <c r="P14" s="1">
        <f t="shared" si="2"/>
        <v>0</v>
      </c>
      <c r="Q14" s="1">
        <f t="shared" si="3"/>
        <v>2.5118864315095785E-4</v>
      </c>
      <c r="R14" s="1">
        <f t="shared" si="4"/>
        <v>1.9E-3</v>
      </c>
      <c r="S14" s="10">
        <f t="shared" si="7"/>
        <v>-8.2893063347785656</v>
      </c>
      <c r="T14" s="10">
        <f t="shared" si="5"/>
        <v>-6.2659013928097425</v>
      </c>
      <c r="U14" s="11">
        <f t="shared" si="6"/>
        <v>2.0234049419688231</v>
      </c>
    </row>
    <row r="15" spans="2:21" x14ac:dyDescent="0.2">
      <c r="B15" s="5">
        <v>2269</v>
      </c>
      <c r="C15" t="s">
        <v>14</v>
      </c>
      <c r="D15" t="s">
        <v>15</v>
      </c>
      <c r="E15" t="s">
        <v>7</v>
      </c>
      <c r="F15" t="s">
        <v>8</v>
      </c>
      <c r="G15" t="s">
        <v>9</v>
      </c>
      <c r="H15">
        <v>0.1</v>
      </c>
      <c r="I15" s="6">
        <f t="shared" si="0"/>
        <v>100</v>
      </c>
      <c r="J15" s="10">
        <f t="shared" si="1"/>
        <v>-2.302585092994045</v>
      </c>
      <c r="L15" t="str">
        <f>D27</f>
        <v>ILORASERTIB</v>
      </c>
      <c r="M15" s="1">
        <f>I30</f>
        <v>12.589254117941637</v>
      </c>
      <c r="N15" s="1">
        <f>AVERAGE(I27:I29)</f>
        <v>11.783333333333333</v>
      </c>
      <c r="O15" s="1">
        <f>STDEV(I27:I29)</f>
        <v>17.513304466414478</v>
      </c>
      <c r="P15" s="1">
        <f t="shared" si="2"/>
        <v>148.62776067678482</v>
      </c>
      <c r="Q15" s="1">
        <f t="shared" si="3"/>
        <v>1.2589254117941637E-2</v>
      </c>
      <c r="R15" s="1">
        <f t="shared" si="4"/>
        <v>1.1783333333333333E-2</v>
      </c>
      <c r="S15" s="10">
        <f t="shared" si="7"/>
        <v>-4.37491167668869</v>
      </c>
      <c r="T15" s="10">
        <f t="shared" si="5"/>
        <v>-4.4410691753076641</v>
      </c>
      <c r="U15" s="11">
        <f t="shared" si="6"/>
        <v>-6.6157498618974131E-2</v>
      </c>
    </row>
    <row r="16" spans="2:21" x14ac:dyDescent="0.2">
      <c r="B16" s="7">
        <v>1032</v>
      </c>
      <c r="C16" s="8" t="s">
        <v>14</v>
      </c>
      <c r="D16" s="8" t="s">
        <v>15</v>
      </c>
      <c r="E16" s="8" t="s">
        <v>7</v>
      </c>
      <c r="F16" s="8" t="s">
        <v>54</v>
      </c>
      <c r="G16" s="8" t="s">
        <v>6</v>
      </c>
      <c r="H16" s="8">
        <v>6.8</v>
      </c>
      <c r="I16" s="9">
        <f>1000*H16*IF(G16 = $M$3, 1, 0) + H16*IF(G16 = $M$4, 1, 0) + POWER(10,-H16)*IF(F16 = $M$5, 1, 0)*1000000000+ POWER(10,-H16)*IF(F16 = $M$6, 1, 0)*1000000000</f>
        <v>158.48931924611122</v>
      </c>
      <c r="J16" s="10">
        <f t="shared" si="1"/>
        <v>-1.8420680743952369</v>
      </c>
      <c r="L16" t="str">
        <f>C31</f>
        <v>CHEMBL2004290</v>
      </c>
      <c r="M16" s="1">
        <f>I32</f>
        <v>6.3095734448019334</v>
      </c>
      <c r="N16" s="1">
        <f>I31</f>
        <v>4.29</v>
      </c>
      <c r="O16" s="1">
        <v>0</v>
      </c>
      <c r="P16" s="1">
        <f t="shared" si="2"/>
        <v>0</v>
      </c>
      <c r="Q16" s="1">
        <f t="shared" si="3"/>
        <v>6.3095734448019337E-3</v>
      </c>
      <c r="R16" s="1">
        <f t="shared" si="4"/>
        <v>4.2900000000000004E-3</v>
      </c>
      <c r="S16" s="10">
        <f t="shared" si="7"/>
        <v>-5.0656872045868999</v>
      </c>
      <c r="T16" s="10">
        <f t="shared" si="5"/>
        <v>-5.4514685460422108</v>
      </c>
      <c r="U16" s="11">
        <f t="shared" si="6"/>
        <v>-0.38578134145531084</v>
      </c>
    </row>
    <row r="17" spans="2:21" x14ac:dyDescent="0.2">
      <c r="B17" s="2">
        <v>1807</v>
      </c>
      <c r="C17" s="3" t="s">
        <v>35</v>
      </c>
      <c r="D17" s="3" t="s">
        <v>36</v>
      </c>
      <c r="E17" s="3" t="s">
        <v>7</v>
      </c>
      <c r="F17" s="3" t="s">
        <v>8</v>
      </c>
      <c r="G17" s="3" t="s">
        <v>9</v>
      </c>
      <c r="H17" s="3">
        <v>0.25</v>
      </c>
      <c r="I17" s="4">
        <f>1000*H17*IF(G17 = $M$3, 1, 0) + H17*IF(G17 = $M$4, 1, 0) + POWER(10,-H17)*IF(F17 = $M$5, 1, 0)*1000000000</f>
        <v>250</v>
      </c>
      <c r="J17" s="10">
        <f t="shared" si="1"/>
        <v>-1.3862943611198908</v>
      </c>
      <c r="L17" t="str">
        <f>C33</f>
        <v>CHEMBL2006765</v>
      </c>
      <c r="M17" s="1">
        <f>I34</f>
        <v>2511.8864315095807</v>
      </c>
      <c r="N17" s="1">
        <f>I33</f>
        <v>4220</v>
      </c>
      <c r="O17" s="1">
        <v>0</v>
      </c>
      <c r="P17" s="1">
        <f t="shared" si="2"/>
        <v>0</v>
      </c>
      <c r="Q17" s="1"/>
      <c r="R17" s="1"/>
      <c r="S17" s="10">
        <f t="shared" si="7"/>
        <v>0.92103403719761889</v>
      </c>
      <c r="T17" s="10">
        <f t="shared" si="5"/>
        <v>1.4398351280479211</v>
      </c>
      <c r="U17" s="11">
        <f t="shared" si="6"/>
        <v>0.51880109085030224</v>
      </c>
    </row>
    <row r="18" spans="2:21" x14ac:dyDescent="0.2">
      <c r="B18" s="5">
        <v>2279</v>
      </c>
      <c r="C18" t="s">
        <v>35</v>
      </c>
      <c r="D18" t="s">
        <v>36</v>
      </c>
      <c r="E18" t="s">
        <v>7</v>
      </c>
      <c r="F18" t="s">
        <v>8</v>
      </c>
      <c r="G18" t="s">
        <v>9</v>
      </c>
      <c r="H18">
        <v>1</v>
      </c>
      <c r="I18" s="6">
        <f>1000*H18*IF(G18 = $M$3, 1, 0) + H18*IF(G18 = $M$4, 1, 0) + POWER(10,-H18)*IF(F18 = $M$5, 1, 0)*1000000000</f>
        <v>1000</v>
      </c>
      <c r="J18" s="10">
        <f t="shared" si="1"/>
        <v>0</v>
      </c>
      <c r="L18" t="str">
        <f>C35</f>
        <v>CHEMBL21156</v>
      </c>
      <c r="M18" s="1">
        <f>I36</f>
        <v>3981.0717055349655</v>
      </c>
      <c r="N18" s="1">
        <f>I35</f>
        <v>1520</v>
      </c>
      <c r="O18" s="1">
        <v>0</v>
      </c>
      <c r="P18" s="1">
        <f t="shared" si="2"/>
        <v>0</v>
      </c>
      <c r="Q18" s="1">
        <f>M18/1000</f>
        <v>3.9810717055349656</v>
      </c>
      <c r="R18" s="1">
        <f>N18/1000</f>
        <v>1.52</v>
      </c>
      <c r="S18" s="10">
        <f t="shared" si="7"/>
        <v>1.3815510557964252</v>
      </c>
      <c r="T18" s="10">
        <f t="shared" si="5"/>
        <v>0.41871033485818554</v>
      </c>
      <c r="U18" s="11">
        <f t="shared" si="6"/>
        <v>-0.96284072093823969</v>
      </c>
    </row>
    <row r="19" spans="2:21" x14ac:dyDescent="0.2">
      <c r="B19" s="7">
        <v>1185</v>
      </c>
      <c r="C19" s="8" t="s">
        <v>35</v>
      </c>
      <c r="D19" s="8" t="s">
        <v>36</v>
      </c>
      <c r="E19" s="8" t="s">
        <v>7</v>
      </c>
      <c r="F19" s="8" t="s">
        <v>54</v>
      </c>
      <c r="G19" s="8" t="s">
        <v>6</v>
      </c>
      <c r="H19" s="8">
        <v>5.6</v>
      </c>
      <c r="I19" s="9">
        <f>1000*H19*IF(G19 = $M$3, 1, 0) + H19*IF(G19 = $M$4, 1, 0) + POWER(10,-H19)*IF(F19 = $M$5, 1, 0)*1000000000+ POWER(10,-H19)*IF(F19 = $M$6, 1, 0)*1000000000</f>
        <v>2511.8864315095807</v>
      </c>
      <c r="J19" s="10">
        <f t="shared" si="1"/>
        <v>0.92103403719761889</v>
      </c>
      <c r="L19" t="str">
        <f>D37</f>
        <v>LINIFANIB</v>
      </c>
      <c r="M19" s="1">
        <f>I41</f>
        <v>630.95734448019255</v>
      </c>
      <c r="N19" s="1">
        <f>AVERAGE(I37:I40)</f>
        <v>28.25</v>
      </c>
      <c r="O19" s="1">
        <f>STDEV(I37:I40)</f>
        <v>32.118271020298295</v>
      </c>
      <c r="P19" s="1">
        <f t="shared" si="2"/>
        <v>113.69299476211785</v>
      </c>
      <c r="Q19" s="1">
        <f t="shared" ref="Q19:Q24" si="8">M19/1000</f>
        <v>0.63095734448019258</v>
      </c>
      <c r="R19" s="1">
        <f t="shared" ref="R19:R24" si="9">N19/1000</f>
        <v>2.8250000000000001E-2</v>
      </c>
      <c r="S19" s="10">
        <f t="shared" si="7"/>
        <v>-0.46051701859880989</v>
      </c>
      <c r="T19" s="10">
        <f t="shared" si="5"/>
        <v>-3.5666618213896868</v>
      </c>
      <c r="U19" s="11">
        <f t="shared" si="6"/>
        <v>-3.1061448027908769</v>
      </c>
    </row>
    <row r="20" spans="2:21" x14ac:dyDescent="0.2">
      <c r="B20" s="2">
        <v>907</v>
      </c>
      <c r="C20" s="3" t="s">
        <v>29</v>
      </c>
      <c r="D20" s="3" t="s">
        <v>30</v>
      </c>
      <c r="E20" s="3" t="s">
        <v>7</v>
      </c>
      <c r="F20" s="3" t="s">
        <v>8</v>
      </c>
      <c r="G20" s="3" t="s">
        <v>9</v>
      </c>
      <c r="H20" s="3">
        <v>1.7999999999999999E-2</v>
      </c>
      <c r="I20" s="4">
        <f t="shared" ref="I20:I23" si="10">1000*H20*IF(G20 = $M$3, 1, 0) + H20*IF(G20 = $M$4, 1, 0) + POWER(10,-H20)*IF(F20 = $M$5, 1, 0)*1000000000</f>
        <v>18</v>
      </c>
      <c r="J20" s="10">
        <f t="shared" si="1"/>
        <v>-4.0173835210859723</v>
      </c>
      <c r="L20" t="str">
        <f>D45</f>
        <v>VANDETANIB</v>
      </c>
      <c r="M20" s="1">
        <f>I51</f>
        <v>63.095734448019179</v>
      </c>
      <c r="N20" s="1">
        <f>AVERAGE(I42:I50)</f>
        <v>334.77777777777777</v>
      </c>
      <c r="O20" s="1">
        <f>STDEV(I42:I50)</f>
        <v>548.85102208563342</v>
      </c>
      <c r="P20" s="1">
        <f t="shared" si="2"/>
        <v>163.94487881748094</v>
      </c>
      <c r="Q20" s="1">
        <f t="shared" si="8"/>
        <v>6.3095734448019178E-2</v>
      </c>
      <c r="R20" s="1">
        <f t="shared" si="9"/>
        <v>0.33477777777777779</v>
      </c>
      <c r="S20" s="10">
        <f t="shared" si="7"/>
        <v>-2.7631021115928567</v>
      </c>
      <c r="T20" s="10">
        <f t="shared" si="5"/>
        <v>-1.0942883171880551</v>
      </c>
      <c r="U20" s="11">
        <f t="shared" si="6"/>
        <v>1.6688137944048016</v>
      </c>
    </row>
    <row r="21" spans="2:21" x14ac:dyDescent="0.2">
      <c r="B21" s="5">
        <v>1878</v>
      </c>
      <c r="C21" t="s">
        <v>29</v>
      </c>
      <c r="D21" t="s">
        <v>30</v>
      </c>
      <c r="E21" t="s">
        <v>7</v>
      </c>
      <c r="F21" t="s">
        <v>8</v>
      </c>
      <c r="G21" t="s">
        <v>13</v>
      </c>
      <c r="H21">
        <v>165</v>
      </c>
      <c r="I21" s="6">
        <f t="shared" si="10"/>
        <v>165</v>
      </c>
      <c r="J21" s="10">
        <f t="shared" si="1"/>
        <v>-1.8018098050815565</v>
      </c>
      <c r="L21" t="str">
        <f>D52</f>
        <v>OSI-632</v>
      </c>
      <c r="M21" s="1">
        <f>I53</f>
        <v>25.118864315095752</v>
      </c>
      <c r="N21" s="1">
        <f>I52</f>
        <v>122</v>
      </c>
      <c r="O21" s="1">
        <v>0</v>
      </c>
      <c r="P21" s="1">
        <f t="shared" si="2"/>
        <v>0</v>
      </c>
      <c r="Q21" s="1">
        <f t="shared" si="8"/>
        <v>2.5118864315095753E-2</v>
      </c>
      <c r="R21" s="1">
        <f t="shared" si="9"/>
        <v>0.122</v>
      </c>
      <c r="S21" s="10">
        <f t="shared" si="7"/>
        <v>-3.6841361487904747</v>
      </c>
      <c r="T21" s="10">
        <f t="shared" si="5"/>
        <v>-2.1037342342488801</v>
      </c>
      <c r="U21" s="11">
        <f t="shared" si="6"/>
        <v>1.5804019145415946</v>
      </c>
    </row>
    <row r="22" spans="2:21" x14ac:dyDescent="0.2">
      <c r="B22" s="5">
        <v>1929</v>
      </c>
      <c r="C22" t="s">
        <v>29</v>
      </c>
      <c r="D22" t="s">
        <v>30</v>
      </c>
      <c r="E22" t="s">
        <v>7</v>
      </c>
      <c r="F22" t="s">
        <v>8</v>
      </c>
      <c r="G22" t="s">
        <v>13</v>
      </c>
      <c r="H22">
        <v>31</v>
      </c>
      <c r="I22" s="6">
        <f t="shared" si="10"/>
        <v>31</v>
      </c>
      <c r="J22" s="10">
        <f t="shared" si="1"/>
        <v>-3.4737680744969905</v>
      </c>
      <c r="L22" t="str">
        <f>D54</f>
        <v>2,3,7,8-TETRACHLORODIBENZO-P-DIOXIN</v>
      </c>
      <c r="M22" s="1">
        <f>I55</f>
        <v>0.69700000000000006</v>
      </c>
      <c r="N22" s="1">
        <f>I54</f>
        <v>2.69</v>
      </c>
      <c r="O22" s="1">
        <v>0</v>
      </c>
      <c r="P22" s="1">
        <f t="shared" si="2"/>
        <v>0</v>
      </c>
      <c r="Q22" s="1">
        <f t="shared" si="8"/>
        <v>6.9700000000000003E-4</v>
      </c>
      <c r="R22" s="1">
        <f t="shared" si="9"/>
        <v>2.6900000000000001E-3</v>
      </c>
      <c r="S22" s="10">
        <f t="shared" si="7"/>
        <v>-7.2687251472037495</v>
      </c>
      <c r="T22" s="10">
        <f t="shared" si="5"/>
        <v>-5.9182140853683887</v>
      </c>
      <c r="U22" s="11">
        <f t="shared" si="6"/>
        <v>1.3505110618353608</v>
      </c>
    </row>
    <row r="23" spans="2:21" x14ac:dyDescent="0.2">
      <c r="B23" s="5">
        <v>2314</v>
      </c>
      <c r="C23" t="s">
        <v>29</v>
      </c>
      <c r="D23" t="s">
        <v>30</v>
      </c>
      <c r="E23" t="s">
        <v>7</v>
      </c>
      <c r="F23" t="s">
        <v>8</v>
      </c>
      <c r="G23" t="s">
        <v>13</v>
      </c>
      <c r="H23">
        <v>26</v>
      </c>
      <c r="I23" s="6">
        <f t="shared" si="10"/>
        <v>26</v>
      </c>
      <c r="J23" s="10">
        <f t="shared" si="1"/>
        <v>-3.6496587409606547</v>
      </c>
      <c r="L23" t="str">
        <f>D56</f>
        <v>BRIVANIB</v>
      </c>
      <c r="M23" s="1">
        <f>I57</f>
        <v>60</v>
      </c>
      <c r="N23" s="1">
        <f>I56</f>
        <v>380</v>
      </c>
      <c r="O23" s="1">
        <v>0</v>
      </c>
      <c r="P23" s="1">
        <f t="shared" si="2"/>
        <v>0</v>
      </c>
      <c r="Q23" s="1">
        <f t="shared" si="8"/>
        <v>0.06</v>
      </c>
      <c r="R23" s="1">
        <f t="shared" si="9"/>
        <v>0.38</v>
      </c>
      <c r="S23" s="10">
        <f t="shared" si="7"/>
        <v>-2.8134107167600364</v>
      </c>
      <c r="T23" s="10">
        <f t="shared" si="5"/>
        <v>-0.96758402626170525</v>
      </c>
      <c r="U23" s="11">
        <f t="shared" si="6"/>
        <v>1.8458266904983311</v>
      </c>
    </row>
    <row r="24" spans="2:21" x14ac:dyDescent="0.2">
      <c r="B24" s="7">
        <v>1068</v>
      </c>
      <c r="C24" s="8" t="s">
        <v>29</v>
      </c>
      <c r="D24" s="8" t="s">
        <v>30</v>
      </c>
      <c r="E24" s="8" t="s">
        <v>7</v>
      </c>
      <c r="F24" s="8" t="s">
        <v>54</v>
      </c>
      <c r="G24" s="8" t="s">
        <v>6</v>
      </c>
      <c r="H24" s="8">
        <v>6.5</v>
      </c>
      <c r="I24" s="9">
        <f>1000*H24*IF(G24 = $M$3, 1, 0) + H24*IF(G24 = $M$4, 1, 0) + POWER(10,-H24)*IF(F24 = $M$5, 1, 0)*1000000000+ POWER(10,-H24)*IF(F24 = $M$6, 1, 0)*1000000000</f>
        <v>316.22776601683734</v>
      </c>
      <c r="J24" s="10">
        <f t="shared" si="1"/>
        <v>-1.1512925464970243</v>
      </c>
      <c r="L24" t="str">
        <f>C58</f>
        <v>CHEMBL404367</v>
      </c>
      <c r="M24" s="1">
        <f>I59</f>
        <v>1.9952623149688824</v>
      </c>
      <c r="N24" s="1">
        <f>I58</f>
        <v>7</v>
      </c>
      <c r="O24" s="1">
        <v>0</v>
      </c>
      <c r="P24" s="1">
        <f t="shared" si="2"/>
        <v>0</v>
      </c>
      <c r="Q24" s="1">
        <f t="shared" si="8"/>
        <v>1.9952623149688824E-3</v>
      </c>
      <c r="R24" s="1">
        <f t="shared" si="9"/>
        <v>7.0000000000000001E-3</v>
      </c>
      <c r="S24" s="10">
        <f t="shared" si="7"/>
        <v>-6.2169797510839215</v>
      </c>
      <c r="T24" s="10">
        <f t="shared" si="5"/>
        <v>-4.9618451299268234</v>
      </c>
      <c r="U24" s="11">
        <f t="shared" si="6"/>
        <v>1.2551346211570982</v>
      </c>
    </row>
    <row r="25" spans="2:21" x14ac:dyDescent="0.2">
      <c r="B25" s="2">
        <v>2053</v>
      </c>
      <c r="C25" s="3" t="s">
        <v>46</v>
      </c>
      <c r="D25" s="3" t="s">
        <v>6</v>
      </c>
      <c r="E25" s="3" t="s">
        <v>7</v>
      </c>
      <c r="F25" s="3" t="s">
        <v>8</v>
      </c>
      <c r="G25" s="3" t="s">
        <v>13</v>
      </c>
      <c r="H25" s="3">
        <v>1.9</v>
      </c>
      <c r="I25" s="4">
        <f>1000*H25*IF(G25 = $M$3, 1, 0) + H25*IF(G25 = $M$4, 1, 0) + POWER(10,-H25)*IF(F25 = $M$5, 1, 0)*1000000000</f>
        <v>1.9</v>
      </c>
      <c r="J25" s="10">
        <f t="shared" si="1"/>
        <v>-6.2659013928097425</v>
      </c>
      <c r="L25" t="str">
        <f>D60</f>
        <v>DIGITONIN</v>
      </c>
      <c r="M25" s="1">
        <f>I61</f>
        <v>1000.9999999999999</v>
      </c>
      <c r="N25" s="1">
        <f>I60</f>
        <v>3859</v>
      </c>
      <c r="O25" s="1">
        <v>0</v>
      </c>
      <c r="P25" s="1">
        <f t="shared" si="2"/>
        <v>0</v>
      </c>
      <c r="Q25" s="1"/>
      <c r="R25" s="1"/>
      <c r="S25" s="10">
        <f t="shared" si="7"/>
        <v>9.9950033308360275E-4</v>
      </c>
      <c r="T25" s="10">
        <f t="shared" si="5"/>
        <v>1.3504080825554823</v>
      </c>
      <c r="U25" s="11">
        <f t="shared" si="6"/>
        <v>1.3494085822223987</v>
      </c>
    </row>
    <row r="26" spans="2:21" x14ac:dyDescent="0.2">
      <c r="B26" s="7">
        <v>1373</v>
      </c>
      <c r="C26" s="8" t="s">
        <v>46</v>
      </c>
      <c r="D26" s="8" t="s">
        <v>6</v>
      </c>
      <c r="E26" s="8" t="s">
        <v>7</v>
      </c>
      <c r="F26" s="8" t="s">
        <v>54</v>
      </c>
      <c r="G26" s="8" t="s">
        <v>6</v>
      </c>
      <c r="H26" s="8">
        <v>9.6</v>
      </c>
      <c r="I26" s="9">
        <f t="shared" ref="I26" si="11">1000*H26*IF(G26 = $M$3, 1, 0) + H26*IF(G26 = $M$4, 1, 0) + POWER(10,-H26)*IF(F26 = $M$5, 1, 0)*1000000000+ POWER(10,-H26)*IF(F26 = $M$6, 1, 0)*1000000000</f>
        <v>0.25118864315095785</v>
      </c>
      <c r="J26" s="10">
        <f t="shared" si="1"/>
        <v>-8.2893063347785656</v>
      </c>
      <c r="L26" t="str">
        <f>D62</f>
        <v>LADUVIGLUSIB</v>
      </c>
      <c r="M26" s="1">
        <f>I63</f>
        <v>398.10717055349619</v>
      </c>
      <c r="N26" s="1">
        <f>I62</f>
        <v>5000</v>
      </c>
      <c r="O26" s="1">
        <v>0</v>
      </c>
      <c r="P26" s="1">
        <f t="shared" si="2"/>
        <v>0</v>
      </c>
      <c r="Q26" s="1"/>
      <c r="R26" s="1"/>
      <c r="S26" s="10">
        <f t="shared" si="7"/>
        <v>-0.92103403719762067</v>
      </c>
      <c r="T26" s="10">
        <f t="shared" si="5"/>
        <v>1.6094379124341014</v>
      </c>
      <c r="U26" s="11">
        <f t="shared" si="6"/>
        <v>2.5304719496317221</v>
      </c>
    </row>
    <row r="27" spans="2:21" x14ac:dyDescent="0.2">
      <c r="B27" s="2">
        <v>1848</v>
      </c>
      <c r="C27" s="3" t="s">
        <v>37</v>
      </c>
      <c r="D27" s="3" t="s">
        <v>38</v>
      </c>
      <c r="E27" s="3" t="s">
        <v>7</v>
      </c>
      <c r="F27" s="3" t="s">
        <v>8</v>
      </c>
      <c r="G27" s="3" t="s">
        <v>13</v>
      </c>
      <c r="H27" s="3">
        <v>32</v>
      </c>
      <c r="I27" s="4">
        <f>1000*H27*IF(G27 = $M$3, 1, 0) + H27*IF(G27 = $M$4, 1, 0) + POWER(10,-H27)*IF(F27 = $M$5, 1, 0)*1000000000</f>
        <v>32</v>
      </c>
      <c r="J27" s="10">
        <f t="shared" si="1"/>
        <v>-3.4420193761824103</v>
      </c>
      <c r="L27" t="str">
        <f>C64</f>
        <v>CHEMBL424672</v>
      </c>
      <c r="M27" s="1">
        <f>I65</f>
        <v>2511.8864315095807</v>
      </c>
      <c r="N27" s="1">
        <f>I64</f>
        <v>10000</v>
      </c>
      <c r="O27" s="1">
        <v>0</v>
      </c>
      <c r="P27" s="1">
        <f t="shared" si="2"/>
        <v>0</v>
      </c>
      <c r="Q27" s="1"/>
      <c r="R27" s="1"/>
      <c r="S27" s="10">
        <f t="shared" si="7"/>
        <v>0.92103403719761889</v>
      </c>
      <c r="T27" s="10">
        <f t="shared" si="5"/>
        <v>2.3025850929940468</v>
      </c>
      <c r="U27" s="11">
        <f t="shared" si="6"/>
        <v>1.3815510557964279</v>
      </c>
    </row>
    <row r="28" spans="2:21" x14ac:dyDescent="0.2">
      <c r="B28" s="5">
        <v>2035</v>
      </c>
      <c r="C28" t="s">
        <v>37</v>
      </c>
      <c r="D28" t="s">
        <v>38</v>
      </c>
      <c r="E28" t="s">
        <v>7</v>
      </c>
      <c r="F28" t="s">
        <v>8</v>
      </c>
      <c r="G28" t="s">
        <v>13</v>
      </c>
      <c r="H28">
        <v>2.1</v>
      </c>
      <c r="I28" s="6">
        <f>1000*H28*IF(G28 = $M$3, 1, 0) + H28*IF(G28 = $M$4, 1, 0) + POWER(10,-H28)*IF(F28 = $M$5, 1, 0)*1000000000</f>
        <v>2.1</v>
      </c>
      <c r="J28" s="10">
        <f t="shared" si="1"/>
        <v>-6.1658179342527593</v>
      </c>
      <c r="L28" t="str">
        <f>D66</f>
        <v>PAZOPANIB</v>
      </c>
      <c r="M28" s="1">
        <f>I70</f>
        <v>15.848931924611133</v>
      </c>
      <c r="N28" s="1">
        <f>AVERAGE(I66:I69)</f>
        <v>32</v>
      </c>
      <c r="O28" s="1">
        <f>STDEV(I66:I69)</f>
        <v>44</v>
      </c>
      <c r="P28" s="1">
        <f t="shared" si="2"/>
        <v>137.5</v>
      </c>
      <c r="Q28" s="1">
        <f>M28/1000</f>
        <v>1.5848931924611134E-2</v>
      </c>
      <c r="R28" s="1">
        <f>N28/1000</f>
        <v>3.2000000000000001E-2</v>
      </c>
      <c r="S28" s="10">
        <f t="shared" si="7"/>
        <v>-4.1446531673892819</v>
      </c>
      <c r="T28" s="10">
        <f t="shared" si="5"/>
        <v>-3.4420193761824103</v>
      </c>
      <c r="U28" s="11">
        <f t="shared" si="6"/>
        <v>0.70263379120687164</v>
      </c>
    </row>
    <row r="29" spans="2:21" x14ac:dyDescent="0.2">
      <c r="B29" s="5">
        <v>2045</v>
      </c>
      <c r="C29" t="s">
        <v>37</v>
      </c>
      <c r="D29" t="s">
        <v>38</v>
      </c>
      <c r="E29" t="s">
        <v>7</v>
      </c>
      <c r="F29" t="s">
        <v>8</v>
      </c>
      <c r="G29" t="s">
        <v>13</v>
      </c>
      <c r="H29">
        <v>1.25</v>
      </c>
      <c r="I29" s="6">
        <f>1000*H29*IF(G29 = $M$3, 1, 0) + H29*IF(G29 = $M$4, 1, 0) + POWER(10,-H29)*IF(F29 = $M$5, 1, 0)*1000000000</f>
        <v>1.25</v>
      </c>
      <c r="J29" s="10">
        <f t="shared" si="1"/>
        <v>-6.6846117276679271</v>
      </c>
      <c r="L29" t="str">
        <f>D71</f>
        <v>CEDIRANIB</v>
      </c>
      <c r="M29" s="1">
        <f>I73</f>
        <v>7.9432823472428087</v>
      </c>
      <c r="N29" s="1">
        <f>I71</f>
        <v>5</v>
      </c>
      <c r="O29" s="1">
        <f>STDEV(I71:I72)</f>
        <v>0</v>
      </c>
      <c r="P29" s="1">
        <f t="shared" si="2"/>
        <v>0</v>
      </c>
      <c r="Q29" s="1">
        <f>M29/1000</f>
        <v>7.9432823472428086E-3</v>
      </c>
      <c r="R29" s="1">
        <f>N29/1000</f>
        <v>5.0000000000000001E-3</v>
      </c>
      <c r="S29" s="10">
        <f t="shared" si="7"/>
        <v>-4.8354286952874963</v>
      </c>
      <c r="T29" s="10">
        <f t="shared" si="5"/>
        <v>-5.2983173665480363</v>
      </c>
      <c r="U29" s="11">
        <f t="shared" si="6"/>
        <v>-0.46288867126054001</v>
      </c>
    </row>
    <row r="30" spans="2:21" x14ac:dyDescent="0.2">
      <c r="B30" s="7">
        <v>1683</v>
      </c>
      <c r="C30" s="8" t="s">
        <v>37</v>
      </c>
      <c r="D30" s="8" t="s">
        <v>38</v>
      </c>
      <c r="E30" s="8" t="s">
        <v>7</v>
      </c>
      <c r="F30" s="8" t="s">
        <v>54</v>
      </c>
      <c r="G30" s="8" t="s">
        <v>6</v>
      </c>
      <c r="H30" s="8">
        <v>7.9</v>
      </c>
      <c r="I30" s="9">
        <f t="shared" ref="I30" si="12">1000*H30*IF(G30 = $M$3, 1, 0) + H30*IF(G30 = $M$4, 1, 0) + POWER(10,-H30)*IF(F30 = $M$5, 1, 0)*1000000000+ POWER(10,-H30)*IF(F30 = $M$6, 1, 0)*1000000000</f>
        <v>12.589254117941637</v>
      </c>
      <c r="J30" s="10">
        <f t="shared" si="1"/>
        <v>-4.37491167668869</v>
      </c>
      <c r="L30" t="str">
        <f>D74</f>
        <v>TAE-684</v>
      </c>
      <c r="M30" s="1">
        <f>I75</f>
        <v>79.432823472428183</v>
      </c>
      <c r="N30" s="1">
        <f>I74</f>
        <v>872</v>
      </c>
      <c r="O30" s="1">
        <v>0</v>
      </c>
      <c r="P30" s="1">
        <f t="shared" si="2"/>
        <v>0</v>
      </c>
      <c r="Q30" s="1"/>
      <c r="R30" s="1"/>
      <c r="S30" s="10">
        <f t="shared" si="7"/>
        <v>-2.5328436022934495</v>
      </c>
      <c r="T30" s="10">
        <f t="shared" si="5"/>
        <v>-0.13696585507315717</v>
      </c>
      <c r="U30" s="11">
        <f t="shared" si="6"/>
        <v>2.3958777472202923</v>
      </c>
    </row>
    <row r="31" spans="2:21" x14ac:dyDescent="0.2">
      <c r="B31" s="2">
        <v>2043</v>
      </c>
      <c r="C31" s="3" t="s">
        <v>45</v>
      </c>
      <c r="D31" s="3" t="s">
        <v>6</v>
      </c>
      <c r="E31" s="3" t="s">
        <v>7</v>
      </c>
      <c r="F31" s="3" t="s">
        <v>8</v>
      </c>
      <c r="G31" s="3" t="s">
        <v>13</v>
      </c>
      <c r="H31" s="3">
        <v>4.29</v>
      </c>
      <c r="I31" s="4">
        <f>1000*H31*IF(G31 = $M$3, 1, 0) + H31*IF(G31 = $M$4, 1, 0) + POWER(10,-H31)*IF(F31 = $M$5, 1, 0)*1000000000</f>
        <v>4.29</v>
      </c>
      <c r="J31" s="10">
        <f t="shared" si="1"/>
        <v>-5.4514685460422108</v>
      </c>
      <c r="L31" t="str">
        <f>D76</f>
        <v>DOVITINIB</v>
      </c>
      <c r="M31" s="1">
        <f>I78</f>
        <v>39.810717055349571</v>
      </c>
      <c r="N31" s="1">
        <f>AVERAGE(I76:I77)</f>
        <v>6.5</v>
      </c>
      <c r="O31" s="1">
        <f>STDEV(I76:I77)</f>
        <v>4.9497474683058327</v>
      </c>
      <c r="P31" s="1">
        <f t="shared" si="2"/>
        <v>76.149961050858963</v>
      </c>
      <c r="Q31" s="1">
        <f>M31/1000</f>
        <v>3.9810717055349568E-2</v>
      </c>
      <c r="R31" s="1">
        <f>N31/1000</f>
        <v>6.4999999999999997E-3</v>
      </c>
      <c r="S31" s="10">
        <f t="shared" si="7"/>
        <v>-3.2236191301916675</v>
      </c>
      <c r="T31" s="10">
        <f t="shared" si="5"/>
        <v>-5.0359531020805459</v>
      </c>
      <c r="U31" s="11">
        <f t="shared" si="6"/>
        <v>-1.8123339718888785</v>
      </c>
    </row>
    <row r="32" spans="2:21" x14ac:dyDescent="0.2">
      <c r="B32" s="7">
        <v>1484</v>
      </c>
      <c r="C32" s="8" t="s">
        <v>45</v>
      </c>
      <c r="D32" s="8" t="s">
        <v>6</v>
      </c>
      <c r="E32" s="8" t="s">
        <v>7</v>
      </c>
      <c r="F32" s="8" t="s">
        <v>54</v>
      </c>
      <c r="G32" s="8" t="s">
        <v>6</v>
      </c>
      <c r="H32" s="8">
        <v>8.1999999999999993</v>
      </c>
      <c r="I32" s="9">
        <f t="shared" ref="I32" si="13">1000*H32*IF(G32 = $M$3, 1, 0) + H32*IF(G32 = $M$4, 1, 0) + POWER(10,-H32)*IF(F32 = $M$5, 1, 0)*1000000000+ POWER(10,-H32)*IF(F32 = $M$6, 1, 0)*1000000000</f>
        <v>6.3095734448019334</v>
      </c>
      <c r="J32" s="10">
        <f t="shared" si="1"/>
        <v>-5.0656872045868999</v>
      </c>
      <c r="L32" t="str">
        <f>D79</f>
        <v>SUNITINIB</v>
      </c>
      <c r="M32" s="1">
        <f>I81</f>
        <v>2</v>
      </c>
      <c r="N32" s="1">
        <f>AVERAGE(I79:I80)</f>
        <v>45.75</v>
      </c>
      <c r="O32" s="1">
        <f>STDEV(I79:I80)</f>
        <v>63.286056916196003</v>
      </c>
      <c r="P32" s="1">
        <f t="shared" si="2"/>
        <v>138.33017905179454</v>
      </c>
      <c r="Q32" s="1">
        <f t="shared" ref="Q32:Q33" si="14">M32/1000</f>
        <v>2E-3</v>
      </c>
      <c r="R32" s="1">
        <f t="shared" ref="R32:R33" si="15">N32/1000</f>
        <v>4.5749999999999999E-2</v>
      </c>
      <c r="S32" s="10">
        <f t="shared" si="7"/>
        <v>-6.2146080984221914</v>
      </c>
      <c r="T32" s="10">
        <f t="shared" si="5"/>
        <v>-3.0845634872606067</v>
      </c>
      <c r="U32" s="11">
        <f t="shared" si="6"/>
        <v>3.1300446111615847</v>
      </c>
    </row>
    <row r="33" spans="2:21" x14ac:dyDescent="0.2">
      <c r="B33" s="2">
        <v>2211</v>
      </c>
      <c r="C33" s="3" t="s">
        <v>49</v>
      </c>
      <c r="D33" s="3" t="s">
        <v>6</v>
      </c>
      <c r="E33" s="3" t="s">
        <v>7</v>
      </c>
      <c r="F33" s="3" t="s">
        <v>8</v>
      </c>
      <c r="G33" s="3" t="s">
        <v>9</v>
      </c>
      <c r="H33" s="3">
        <v>4.22</v>
      </c>
      <c r="I33" s="4">
        <f>1000*H33*IF(G33 = $M$3, 1, 0) + H33*IF(G33 = $M$4, 1, 0) + POWER(10,-H33)*IF(F33 = $M$5, 1, 0)*1000000000</f>
        <v>4220</v>
      </c>
      <c r="J33" s="10">
        <f t="shared" si="1"/>
        <v>1.4398351280479211</v>
      </c>
      <c r="L33" t="str">
        <f>D82</f>
        <v>ERLOTINIB</v>
      </c>
      <c r="M33" s="1">
        <f>I83</f>
        <v>1584.8931924611111</v>
      </c>
      <c r="N33" s="1">
        <f>I82</f>
        <v>1000</v>
      </c>
      <c r="O33" s="1">
        <v>0</v>
      </c>
      <c r="P33" s="1">
        <f t="shared" si="2"/>
        <v>0</v>
      </c>
      <c r="Q33" s="1">
        <f t="shared" si="14"/>
        <v>1.5848931924611112</v>
      </c>
      <c r="R33" s="1">
        <f t="shared" si="15"/>
        <v>1</v>
      </c>
      <c r="S33" s="10">
        <f t="shared" si="7"/>
        <v>0.46051701859880811</v>
      </c>
      <c r="T33" s="10">
        <f t="shared" si="5"/>
        <v>0</v>
      </c>
      <c r="U33" s="11">
        <f t="shared" si="6"/>
        <v>-0.46051701859880811</v>
      </c>
    </row>
    <row r="34" spans="2:21" x14ac:dyDescent="0.2">
      <c r="B34" s="7">
        <v>1671</v>
      </c>
      <c r="C34" s="8" t="s">
        <v>49</v>
      </c>
      <c r="D34" s="8" t="s">
        <v>6</v>
      </c>
      <c r="E34" s="8" t="s">
        <v>7</v>
      </c>
      <c r="F34" s="8" t="s">
        <v>54</v>
      </c>
      <c r="G34" s="8" t="s">
        <v>6</v>
      </c>
      <c r="H34" s="8">
        <v>5.6</v>
      </c>
      <c r="I34" s="9">
        <f t="shared" ref="I34" si="16">1000*H34*IF(G34 = $M$3, 1, 0) + H34*IF(G34 = $M$4, 1, 0) + POWER(10,-H34)*IF(F34 = $M$5, 1, 0)*1000000000+ POWER(10,-H34)*IF(F34 = $M$6, 1, 0)*1000000000</f>
        <v>2511.8864315095807</v>
      </c>
      <c r="J34" s="10">
        <f t="shared" si="1"/>
        <v>0.92103403719761889</v>
      </c>
      <c r="L34" t="str">
        <f>C84</f>
        <v>CHEMBL590109</v>
      </c>
      <c r="M34" s="1">
        <f>I85</f>
        <v>398.10717055349619</v>
      </c>
      <c r="N34" s="1">
        <f>I84</f>
        <v>9000</v>
      </c>
      <c r="O34" s="1">
        <v>0</v>
      </c>
      <c r="P34" s="1">
        <f t="shared" si="2"/>
        <v>0</v>
      </c>
      <c r="Q34" s="1"/>
      <c r="R34" s="1"/>
      <c r="S34" s="10">
        <f t="shared" si="7"/>
        <v>-0.92103403719762067</v>
      </c>
      <c r="T34" s="10">
        <f t="shared" si="5"/>
        <v>2.19722457733622</v>
      </c>
      <c r="U34" s="11">
        <f t="shared" si="6"/>
        <v>3.1182586145338407</v>
      </c>
    </row>
    <row r="35" spans="2:21" x14ac:dyDescent="0.2">
      <c r="B35" s="2">
        <v>31</v>
      </c>
      <c r="C35" s="3" t="s">
        <v>12</v>
      </c>
      <c r="D35" s="3" t="s">
        <v>6</v>
      </c>
      <c r="E35" s="3" t="s">
        <v>7</v>
      </c>
      <c r="F35" s="3" t="s">
        <v>8</v>
      </c>
      <c r="G35" s="3" t="s">
        <v>9</v>
      </c>
      <c r="H35" s="3">
        <v>1.52</v>
      </c>
      <c r="I35" s="4">
        <f>1000*H35*IF(G35 = $M$3, 1, 0) + H35*IF(G35 = $M$4, 1, 0) + POWER(10,-H35)*IF(F35 = $M$5, 1, 0)*1000000000</f>
        <v>1520</v>
      </c>
      <c r="J35" s="10">
        <f t="shared" si="1"/>
        <v>0.41871033485818554</v>
      </c>
    </row>
    <row r="36" spans="2:21" x14ac:dyDescent="0.2">
      <c r="B36" s="7">
        <v>1317</v>
      </c>
      <c r="C36" s="8" t="s">
        <v>12</v>
      </c>
      <c r="D36" s="8" t="s">
        <v>6</v>
      </c>
      <c r="E36" s="8" t="s">
        <v>7</v>
      </c>
      <c r="F36" s="8" t="s">
        <v>54</v>
      </c>
      <c r="G36" s="8" t="s">
        <v>6</v>
      </c>
      <c r="H36" s="8">
        <v>5.4</v>
      </c>
      <c r="I36" s="9">
        <f>1000*H36*IF(G36 = $M$3, 1, 0) + H36*IF(G36 = $M$4, 1, 0) + POWER(10,-H36)*IF(F36 = $M$5, 1, 0)*1000000000+ POWER(10,-H36)*IF(F36 = $M$6, 1, 0)*1000000000</f>
        <v>3981.0717055349655</v>
      </c>
      <c r="J36" s="10">
        <f t="shared" si="1"/>
        <v>1.3815510557964252</v>
      </c>
    </row>
    <row r="37" spans="2:21" x14ac:dyDescent="0.2">
      <c r="B37" s="2">
        <v>403</v>
      </c>
      <c r="C37" s="3" t="s">
        <v>19</v>
      </c>
      <c r="D37" s="3" t="s">
        <v>20</v>
      </c>
      <c r="E37" s="3" t="s">
        <v>7</v>
      </c>
      <c r="F37" s="3" t="s">
        <v>8</v>
      </c>
      <c r="G37" s="3" t="s">
        <v>13</v>
      </c>
      <c r="H37" s="3">
        <v>3</v>
      </c>
      <c r="I37" s="4">
        <f>1000*H37*IF(G37 = $M$3, 1, 0) + H37*IF(G37 = $M$4, 1, 0) + POWER(10,-H37)*IF(F37 = $M$5, 1, 0)*1000000000</f>
        <v>3</v>
      </c>
      <c r="J37" s="10">
        <f t="shared" si="1"/>
        <v>-5.8091429903140268</v>
      </c>
      <c r="U37" s="11">
        <f>AVERAGE(U11:U34)</f>
        <v>0.59981726358386156</v>
      </c>
    </row>
    <row r="38" spans="2:21" x14ac:dyDescent="0.2">
      <c r="B38" s="5">
        <v>908</v>
      </c>
      <c r="C38" t="s">
        <v>19</v>
      </c>
      <c r="D38" t="s">
        <v>20</v>
      </c>
      <c r="E38" t="s">
        <v>7</v>
      </c>
      <c r="F38" t="s">
        <v>8</v>
      </c>
      <c r="G38" t="s">
        <v>9</v>
      </c>
      <c r="H38">
        <v>3.6999999999999998E-2</v>
      </c>
      <c r="I38" s="6">
        <f>1000*H38*IF(G38 = $M$3, 1, 0) + H38*IF(G38 = $M$4, 1, 0) + POWER(10,-H38)*IF(F38 = $M$5, 1, 0)*1000000000</f>
        <v>37</v>
      </c>
      <c r="J38" s="10">
        <f t="shared" si="1"/>
        <v>-3.2968373663379125</v>
      </c>
      <c r="U38" s="11">
        <f>STDEV(U11:U34)</f>
        <v>1.6532337178803962</v>
      </c>
    </row>
    <row r="39" spans="2:21" x14ac:dyDescent="0.2">
      <c r="B39" s="5">
        <v>1879</v>
      </c>
      <c r="C39" t="s">
        <v>19</v>
      </c>
      <c r="D39" t="s">
        <v>20</v>
      </c>
      <c r="E39" t="s">
        <v>7</v>
      </c>
      <c r="F39" t="s">
        <v>8</v>
      </c>
      <c r="G39" t="s">
        <v>13</v>
      </c>
      <c r="H39">
        <v>70</v>
      </c>
      <c r="I39" s="6">
        <f>1000*H39*IF(G39 = $M$3, 1, 0) + H39*IF(G39 = $M$4, 1, 0) + POWER(10,-H39)*IF(F39 = $M$5, 1, 0)*1000000000</f>
        <v>70</v>
      </c>
      <c r="J39" s="10">
        <f t="shared" si="1"/>
        <v>-2.6592600369327775</v>
      </c>
      <c r="U39" s="11">
        <f>MIN(U11:U34)</f>
        <v>-3.1061448027908769</v>
      </c>
    </row>
    <row r="40" spans="2:21" x14ac:dyDescent="0.2">
      <c r="B40" s="5">
        <v>2243</v>
      </c>
      <c r="C40" t="s">
        <v>19</v>
      </c>
      <c r="D40" t="s">
        <v>20</v>
      </c>
      <c r="E40" t="s">
        <v>7</v>
      </c>
      <c r="F40" t="s">
        <v>8</v>
      </c>
      <c r="G40" t="s">
        <v>13</v>
      </c>
      <c r="H40">
        <v>3</v>
      </c>
      <c r="I40" s="6">
        <f>1000*H40*IF(G40 = $M$3, 1, 0) + H40*IF(G40 = $M$4, 1, 0) + POWER(10,-H40)*IF(F40 = $M$5, 1, 0)*1000000000</f>
        <v>3</v>
      </c>
      <c r="J40" s="10">
        <f t="shared" si="1"/>
        <v>-5.8091429903140268</v>
      </c>
      <c r="U40" s="11">
        <f>MAX(U11:U34)</f>
        <v>3.1300446111615847</v>
      </c>
    </row>
    <row r="41" spans="2:21" x14ac:dyDescent="0.2">
      <c r="B41" s="7">
        <v>947</v>
      </c>
      <c r="C41" s="8" t="s">
        <v>19</v>
      </c>
      <c r="D41" s="8" t="s">
        <v>20</v>
      </c>
      <c r="E41" s="8" t="s">
        <v>7</v>
      </c>
      <c r="F41" s="8" t="s">
        <v>54</v>
      </c>
      <c r="G41" s="8" t="s">
        <v>6</v>
      </c>
      <c r="H41" s="8">
        <v>6.2</v>
      </c>
      <c r="I41" s="9">
        <f>1000*H41*IF(G41 = $M$3, 1, 0) + H41*IF(G41 = $M$4, 1, 0) + POWER(10,-H41)*IF(F41 = $M$5, 1, 0)*1000000000+ POWER(10,-H41)*IF(F41 = $M$6, 1, 0)*1000000000</f>
        <v>630.95734448019255</v>
      </c>
      <c r="J41" s="10">
        <f t="shared" si="1"/>
        <v>-0.46051701859880989</v>
      </c>
      <c r="U41" s="11">
        <f>MEDIAN(U11:U34)</f>
        <v>0.97888420618198491</v>
      </c>
    </row>
    <row r="42" spans="2:21" x14ac:dyDescent="0.2">
      <c r="B42" s="2">
        <v>11</v>
      </c>
      <c r="C42" s="3" t="s">
        <v>10</v>
      </c>
      <c r="D42" s="3" t="s">
        <v>11</v>
      </c>
      <c r="E42" s="3" t="s">
        <v>7</v>
      </c>
      <c r="F42" s="3" t="s">
        <v>8</v>
      </c>
      <c r="G42" s="3" t="s">
        <v>9</v>
      </c>
      <c r="H42" s="3">
        <v>0.9</v>
      </c>
      <c r="I42" s="4">
        <f t="shared" ref="I42:I50" si="17">1000*H42*IF(G42 = $M$3, 1, 0) + H42*IF(G42 = $M$4, 1, 0) + POWER(10,-H42)*IF(F42 = $M$5, 1, 0)*1000000000</f>
        <v>900</v>
      </c>
      <c r="J42" s="10">
        <f t="shared" si="1"/>
        <v>-0.10536051565782589</v>
      </c>
    </row>
    <row r="43" spans="2:21" x14ac:dyDescent="0.2">
      <c r="B43" s="5">
        <v>147</v>
      </c>
      <c r="C43" t="s">
        <v>10</v>
      </c>
      <c r="D43" t="s">
        <v>11</v>
      </c>
      <c r="E43" t="s">
        <v>7</v>
      </c>
      <c r="F43" t="s">
        <v>8</v>
      </c>
      <c r="G43" t="s">
        <v>13</v>
      </c>
      <c r="H43">
        <v>90</v>
      </c>
      <c r="I43" s="6">
        <f t="shared" si="17"/>
        <v>90</v>
      </c>
      <c r="J43" s="10">
        <f t="shared" si="1"/>
        <v>-2.4079456086518718</v>
      </c>
    </row>
    <row r="44" spans="2:21" x14ac:dyDescent="0.2">
      <c r="B44" s="5">
        <v>148</v>
      </c>
      <c r="C44" t="s">
        <v>10</v>
      </c>
      <c r="D44" t="s">
        <v>11</v>
      </c>
      <c r="E44" t="s">
        <v>7</v>
      </c>
      <c r="F44" t="s">
        <v>8</v>
      </c>
      <c r="G44" t="s">
        <v>13</v>
      </c>
      <c r="H44">
        <v>1600</v>
      </c>
      <c r="I44" s="6">
        <f t="shared" si="17"/>
        <v>1600</v>
      </c>
      <c r="J44" s="10">
        <f t="shared" si="1"/>
        <v>0.47000362924573569</v>
      </c>
    </row>
    <row r="45" spans="2:21" x14ac:dyDescent="0.2">
      <c r="B45" s="5">
        <v>194</v>
      </c>
      <c r="C45" t="s">
        <v>10</v>
      </c>
      <c r="D45" t="s">
        <v>11</v>
      </c>
      <c r="E45" t="s">
        <v>7</v>
      </c>
      <c r="F45" t="s">
        <v>8</v>
      </c>
      <c r="G45" t="s">
        <v>9</v>
      </c>
      <c r="H45">
        <v>0.1</v>
      </c>
      <c r="I45" s="6">
        <f t="shared" si="17"/>
        <v>100</v>
      </c>
      <c r="J45" s="10">
        <f t="shared" si="1"/>
        <v>-2.302585092994045</v>
      </c>
    </row>
    <row r="46" spans="2:21" x14ac:dyDescent="0.2">
      <c r="B46" s="5">
        <v>200</v>
      </c>
      <c r="C46" t="s">
        <v>10</v>
      </c>
      <c r="D46" t="s">
        <v>11</v>
      </c>
      <c r="E46" t="s">
        <v>7</v>
      </c>
      <c r="F46" t="s">
        <v>8</v>
      </c>
      <c r="G46" t="s">
        <v>9</v>
      </c>
      <c r="H46">
        <v>0.1</v>
      </c>
      <c r="I46" s="6">
        <f t="shared" si="17"/>
        <v>100</v>
      </c>
      <c r="J46" s="10">
        <f t="shared" si="1"/>
        <v>-2.302585092994045</v>
      </c>
    </row>
    <row r="47" spans="2:21" x14ac:dyDescent="0.2">
      <c r="B47" s="5">
        <v>265</v>
      </c>
      <c r="C47" t="s">
        <v>10</v>
      </c>
      <c r="D47" t="s">
        <v>11</v>
      </c>
      <c r="E47" t="s">
        <v>7</v>
      </c>
      <c r="F47" t="s">
        <v>8</v>
      </c>
      <c r="G47" t="s">
        <v>9</v>
      </c>
      <c r="H47">
        <v>0.1</v>
      </c>
      <c r="I47" s="6">
        <f t="shared" si="17"/>
        <v>100</v>
      </c>
      <c r="J47" s="10">
        <f t="shared" si="1"/>
        <v>-2.302585092994045</v>
      </c>
    </row>
    <row r="48" spans="2:21" x14ac:dyDescent="0.2">
      <c r="B48" s="5">
        <v>292</v>
      </c>
      <c r="C48" t="s">
        <v>10</v>
      </c>
      <c r="D48" t="s">
        <v>11</v>
      </c>
      <c r="E48" t="s">
        <v>7</v>
      </c>
      <c r="F48" t="s">
        <v>8</v>
      </c>
      <c r="G48" t="s">
        <v>9</v>
      </c>
      <c r="H48">
        <v>0.1</v>
      </c>
      <c r="I48" s="6">
        <f t="shared" si="17"/>
        <v>100</v>
      </c>
      <c r="J48" s="10">
        <f t="shared" si="1"/>
        <v>-2.302585092994045</v>
      </c>
    </row>
    <row r="49" spans="2:10" x14ac:dyDescent="0.2">
      <c r="B49" s="5">
        <v>529</v>
      </c>
      <c r="C49" t="s">
        <v>10</v>
      </c>
      <c r="D49" t="s">
        <v>11</v>
      </c>
      <c r="E49" t="s">
        <v>7</v>
      </c>
      <c r="F49" t="s">
        <v>8</v>
      </c>
      <c r="G49" t="s">
        <v>9</v>
      </c>
      <c r="H49">
        <v>2.1999999999999999E-2</v>
      </c>
      <c r="I49" s="6">
        <f t="shared" si="17"/>
        <v>22</v>
      </c>
      <c r="J49" s="10">
        <f t="shared" si="1"/>
        <v>-3.8167128256238207</v>
      </c>
    </row>
    <row r="50" spans="2:10" x14ac:dyDescent="0.2">
      <c r="B50" s="5">
        <v>2315</v>
      </c>
      <c r="C50" t="s">
        <v>10</v>
      </c>
      <c r="D50" t="s">
        <v>11</v>
      </c>
      <c r="E50" t="s">
        <v>7</v>
      </c>
      <c r="F50" t="s">
        <v>8</v>
      </c>
      <c r="G50" t="s">
        <v>13</v>
      </c>
      <c r="H50">
        <v>1</v>
      </c>
      <c r="I50" s="6">
        <f t="shared" si="17"/>
        <v>1</v>
      </c>
      <c r="J50" s="10">
        <f t="shared" si="1"/>
        <v>-6.9077552789821368</v>
      </c>
    </row>
    <row r="51" spans="2:10" x14ac:dyDescent="0.2">
      <c r="B51" s="7">
        <v>1016</v>
      </c>
      <c r="C51" s="8" t="s">
        <v>10</v>
      </c>
      <c r="D51" s="8" t="s">
        <v>11</v>
      </c>
      <c r="E51" s="8" t="s">
        <v>7</v>
      </c>
      <c r="F51" s="8" t="s">
        <v>54</v>
      </c>
      <c r="G51" s="8" t="s">
        <v>6</v>
      </c>
      <c r="H51" s="8">
        <v>7.2</v>
      </c>
      <c r="I51" s="9">
        <f>1000*H51*IF(G51 = $M$3, 1, 0) + H51*IF(G51 = $M$4, 1, 0) + POWER(10,-H51)*IF(F51 = $M$5, 1, 0)*1000000000+ POWER(10,-H51)*IF(F51 = $M$6, 1, 0)*1000000000</f>
        <v>63.095734448019179</v>
      </c>
      <c r="J51" s="10">
        <f t="shared" si="1"/>
        <v>-2.7631021115928567</v>
      </c>
    </row>
    <row r="52" spans="2:10" x14ac:dyDescent="0.2">
      <c r="B52" s="2">
        <v>2204</v>
      </c>
      <c r="C52" s="3" t="s">
        <v>47</v>
      </c>
      <c r="D52" s="3" t="s">
        <v>48</v>
      </c>
      <c r="E52" s="3" t="s">
        <v>7</v>
      </c>
      <c r="F52" s="3" t="s">
        <v>8</v>
      </c>
      <c r="G52" s="3" t="s">
        <v>13</v>
      </c>
      <c r="H52" s="3">
        <v>122</v>
      </c>
      <c r="I52" s="4">
        <f>1000*H52*IF(G52 = $M$3, 1, 0) + H52*IF(G52 = $M$4, 1, 0) + POWER(10,-H52)*IF(F52 = $M$5, 1, 0)*1000000000</f>
        <v>122</v>
      </c>
      <c r="J52" s="10">
        <f t="shared" si="1"/>
        <v>-2.1037342342488801</v>
      </c>
    </row>
    <row r="53" spans="2:10" x14ac:dyDescent="0.2">
      <c r="B53" s="7">
        <v>1502</v>
      </c>
      <c r="C53" s="8" t="s">
        <v>47</v>
      </c>
      <c r="D53" s="8" t="s">
        <v>48</v>
      </c>
      <c r="E53" s="8" t="s">
        <v>7</v>
      </c>
      <c r="F53" s="8" t="s">
        <v>54</v>
      </c>
      <c r="G53" s="8" t="s">
        <v>6</v>
      </c>
      <c r="H53" s="8">
        <v>7.6</v>
      </c>
      <c r="I53" s="9">
        <f>1000*H53*IF(G53 = $M$3, 1, 0) + H53*IF(G53 = $M$4, 1, 0) + POWER(10,-H53)*IF(F53 = $M$5, 1, 0)*1000000000+ POWER(10,-H53)*IF(F53 = $M$6, 1, 0)*1000000000</f>
        <v>25.118864315095752</v>
      </c>
      <c r="J53" s="10">
        <f t="shared" si="1"/>
        <v>-3.6841361487904747</v>
      </c>
    </row>
    <row r="54" spans="2:10" x14ac:dyDescent="0.2">
      <c r="B54" s="2">
        <v>1030</v>
      </c>
      <c r="C54" s="3" t="s">
        <v>31</v>
      </c>
      <c r="D54" s="3" t="s">
        <v>32</v>
      </c>
      <c r="E54" s="3" t="s">
        <v>7</v>
      </c>
      <c r="F54" s="3" t="s">
        <v>8</v>
      </c>
      <c r="G54" s="3" t="s">
        <v>9</v>
      </c>
      <c r="H54" s="3">
        <v>2.6900000000000001E-3</v>
      </c>
      <c r="I54" s="4">
        <f>1000*H54*IF(G54 = $M$3, 1, 0) + H54*IF(G54 = $M$4, 1, 0) + POWER(10,-H54)*IF(F54 = $M$5, 1, 0)*1000000000</f>
        <v>2.69</v>
      </c>
      <c r="J54" s="10">
        <f t="shared" si="1"/>
        <v>-5.9182140853683887</v>
      </c>
    </row>
    <row r="55" spans="2:10" x14ac:dyDescent="0.2">
      <c r="B55" s="7">
        <v>127</v>
      </c>
      <c r="C55" s="8" t="s">
        <v>31</v>
      </c>
      <c r="D55" s="8" t="s">
        <v>32</v>
      </c>
      <c r="E55" s="8" t="s">
        <v>7</v>
      </c>
      <c r="F55" s="8" t="s">
        <v>53</v>
      </c>
      <c r="G55" s="8" t="s">
        <v>9</v>
      </c>
      <c r="H55" s="8">
        <v>6.9700000000000003E-4</v>
      </c>
      <c r="I55" s="9">
        <f>1000*H55*IF(G55 = $M$3, 1, 0) + H55*IF(G55 = $M$4, 1, 0) + POWER(10,-H55)*IF(F55 = $M$5, 1, 0)*1000000000</f>
        <v>0.69700000000000006</v>
      </c>
      <c r="J55" s="10">
        <f t="shared" si="1"/>
        <v>-7.2687251472037495</v>
      </c>
    </row>
    <row r="56" spans="2:10" x14ac:dyDescent="0.2">
      <c r="B56" s="2">
        <v>266</v>
      </c>
      <c r="C56" s="3" t="s">
        <v>17</v>
      </c>
      <c r="D56" s="3" t="s">
        <v>18</v>
      </c>
      <c r="E56" s="3" t="s">
        <v>7</v>
      </c>
      <c r="F56" s="3" t="s">
        <v>8</v>
      </c>
      <c r="G56" s="3" t="s">
        <v>13</v>
      </c>
      <c r="H56" s="3">
        <v>380</v>
      </c>
      <c r="I56" s="4">
        <f t="shared" ref="I56:I57" si="18">1000*H56*IF(G56 = $M$3, 1, 0) + H56*IF(G56 = $M$4, 1, 0) + POWER(10,-H56)*IF(F56 = $M$5, 1, 0)*1000000000</f>
        <v>380</v>
      </c>
      <c r="J56" s="10">
        <f t="shared" si="1"/>
        <v>-0.96758402626170525</v>
      </c>
    </row>
    <row r="57" spans="2:10" x14ac:dyDescent="0.2">
      <c r="B57" s="5">
        <v>0</v>
      </c>
      <c r="C57" t="s">
        <v>17</v>
      </c>
      <c r="D57" t="s">
        <v>18</v>
      </c>
      <c r="E57" t="s">
        <v>7</v>
      </c>
      <c r="F57" t="s">
        <v>53</v>
      </c>
      <c r="G57" t="s">
        <v>13</v>
      </c>
      <c r="H57">
        <v>60</v>
      </c>
      <c r="I57" s="6">
        <f t="shared" si="18"/>
        <v>60</v>
      </c>
      <c r="J57" s="10">
        <f t="shared" si="1"/>
        <v>-2.8134107167600364</v>
      </c>
    </row>
    <row r="58" spans="2:10" x14ac:dyDescent="0.2">
      <c r="B58" s="2">
        <v>591</v>
      </c>
      <c r="C58" s="3" t="s">
        <v>21</v>
      </c>
      <c r="D58" s="3" t="s">
        <v>6</v>
      </c>
      <c r="E58" s="3" t="s">
        <v>7</v>
      </c>
      <c r="F58" s="3" t="s">
        <v>8</v>
      </c>
      <c r="G58" s="3" t="s">
        <v>13</v>
      </c>
      <c r="H58" s="3">
        <v>7</v>
      </c>
      <c r="I58" s="4">
        <f>1000*H58*IF(G58 = $M$3, 1, 0) + H58*IF(G58 = $M$4, 1, 0) + POWER(10,-H58)*IF(F58 = $M$5, 1, 0)*1000000000</f>
        <v>7</v>
      </c>
      <c r="J58" s="10">
        <f t="shared" si="1"/>
        <v>-4.9618451299268234</v>
      </c>
    </row>
    <row r="59" spans="2:10" x14ac:dyDescent="0.2">
      <c r="B59" s="7">
        <v>1280</v>
      </c>
      <c r="C59" s="8" t="s">
        <v>21</v>
      </c>
      <c r="D59" s="8" t="s">
        <v>6</v>
      </c>
      <c r="E59" s="8" t="s">
        <v>7</v>
      </c>
      <c r="F59" s="8" t="s">
        <v>54</v>
      </c>
      <c r="G59" s="8" t="s">
        <v>6</v>
      </c>
      <c r="H59" s="8">
        <v>8.6999999999999993</v>
      </c>
      <c r="I59" s="9">
        <f>1000*H59*IF(G59 = $M$3, 1, 0) + H59*IF(G59 = $M$4, 1, 0) + POWER(10,-H59)*IF(F59 = $M$5, 1, 0)*1000000000+ POWER(10,-H59)*IF(F59 = $M$6, 1, 0)*1000000000</f>
        <v>1.9952623149688824</v>
      </c>
      <c r="J59" s="10">
        <f t="shared" si="1"/>
        <v>-6.2169797510839215</v>
      </c>
    </row>
    <row r="60" spans="2:10" x14ac:dyDescent="0.2">
      <c r="B60" s="2">
        <v>1251</v>
      </c>
      <c r="C60" s="3" t="s">
        <v>33</v>
      </c>
      <c r="D60" s="3" t="s">
        <v>34</v>
      </c>
      <c r="E60" s="3" t="s">
        <v>7</v>
      </c>
      <c r="F60" s="3" t="s">
        <v>8</v>
      </c>
      <c r="G60" s="3" t="s">
        <v>9</v>
      </c>
      <c r="H60" s="3">
        <v>3.859</v>
      </c>
      <c r="I60" s="4">
        <f t="shared" ref="I60:I61" si="19">1000*H60*IF(G60 = $M$3, 1, 0) + H60*IF(G60 = $M$4, 1, 0) + POWER(10,-H60)*IF(F60 = $M$5, 1, 0)*1000000000</f>
        <v>3859</v>
      </c>
      <c r="J60" s="10">
        <f t="shared" si="1"/>
        <v>1.3504080825554823</v>
      </c>
    </row>
    <row r="61" spans="2:10" x14ac:dyDescent="0.2">
      <c r="B61" s="7">
        <v>348</v>
      </c>
      <c r="C61" s="8" t="s">
        <v>33</v>
      </c>
      <c r="D61" s="8" t="s">
        <v>34</v>
      </c>
      <c r="E61" s="8" t="s">
        <v>7</v>
      </c>
      <c r="F61" s="8" t="s">
        <v>53</v>
      </c>
      <c r="G61" s="8" t="s">
        <v>9</v>
      </c>
      <c r="H61" s="8">
        <v>1.0009999999999999</v>
      </c>
      <c r="I61" s="9">
        <f t="shared" si="19"/>
        <v>1000.9999999999999</v>
      </c>
      <c r="J61" s="10">
        <f t="shared" si="1"/>
        <v>9.9950033308360275E-4</v>
      </c>
    </row>
    <row r="62" spans="2:10" x14ac:dyDescent="0.2">
      <c r="B62" s="2">
        <v>2225</v>
      </c>
      <c r="C62" s="3" t="s">
        <v>50</v>
      </c>
      <c r="D62" s="3" t="s">
        <v>51</v>
      </c>
      <c r="E62" s="3" t="s">
        <v>7</v>
      </c>
      <c r="F62" s="3" t="s">
        <v>8</v>
      </c>
      <c r="G62" s="3" t="s">
        <v>9</v>
      </c>
      <c r="H62" s="3">
        <v>5</v>
      </c>
      <c r="I62" s="4">
        <f>1000*H62*IF(G62 = $M$3, 1, 0) + H62*IF(G62 = $M$4, 1, 0) + POWER(10,-H62)*IF(F62 = $M$5, 1, 0)*1000000000</f>
        <v>5000</v>
      </c>
      <c r="J62" s="10">
        <f t="shared" si="1"/>
        <v>1.6094379124341014</v>
      </c>
    </row>
    <row r="63" spans="2:10" x14ac:dyDescent="0.2">
      <c r="B63" s="7">
        <v>1184</v>
      </c>
      <c r="C63" s="8" t="s">
        <v>50</v>
      </c>
      <c r="D63" s="8" t="s">
        <v>51</v>
      </c>
      <c r="E63" s="8" t="s">
        <v>7</v>
      </c>
      <c r="F63" s="8" t="s">
        <v>54</v>
      </c>
      <c r="G63" s="8" t="s">
        <v>6</v>
      </c>
      <c r="H63" s="8">
        <v>6.4</v>
      </c>
      <c r="I63" s="9">
        <f>1000*H63*IF(G63 = $M$3, 1, 0) + H63*IF(G63 = $M$4, 1, 0) + POWER(10,-H63)*IF(F63 = $M$5, 1, 0)*1000000000+ POWER(10,-H63)*IF(F63 = $M$6, 1, 0)*1000000000</f>
        <v>398.10717055349619</v>
      </c>
      <c r="J63" s="10">
        <f t="shared" si="1"/>
        <v>-0.92103403719762067</v>
      </c>
    </row>
    <row r="64" spans="2:10" x14ac:dyDescent="0.2">
      <c r="B64" s="2">
        <v>180</v>
      </c>
      <c r="C64" s="3" t="s">
        <v>16</v>
      </c>
      <c r="D64" s="3" t="s">
        <v>6</v>
      </c>
      <c r="E64" s="3" t="s">
        <v>7</v>
      </c>
      <c r="F64" s="3" t="s">
        <v>8</v>
      </c>
      <c r="G64" s="3" t="s">
        <v>9</v>
      </c>
      <c r="H64" s="3">
        <v>10</v>
      </c>
      <c r="I64" s="4">
        <f>1000*H64*IF(G64 = $M$3, 1, 0) + H64*IF(G64 = $M$4, 1, 0) + POWER(10,-H64)*IF(F64 = $M$5, 1, 0)*1000000000</f>
        <v>10000</v>
      </c>
      <c r="J64" s="10">
        <f t="shared" si="1"/>
        <v>2.3025850929940468</v>
      </c>
    </row>
    <row r="65" spans="2:10" x14ac:dyDescent="0.2">
      <c r="B65" s="7">
        <v>1182</v>
      </c>
      <c r="C65" s="8" t="s">
        <v>55</v>
      </c>
      <c r="D65" s="8" t="s">
        <v>6</v>
      </c>
      <c r="E65" s="8" t="s">
        <v>7</v>
      </c>
      <c r="F65" s="8" t="s">
        <v>54</v>
      </c>
      <c r="G65" s="8" t="s">
        <v>6</v>
      </c>
      <c r="H65" s="8">
        <v>5.6</v>
      </c>
      <c r="I65" s="9">
        <f>1000*H65*IF(G65 = $M$3, 1, 0) + H65*IF(G65 = $M$4, 1, 0) + POWER(10,-H65)*IF(F65 = $M$5, 1, 0)*1000000000+ POWER(10,-H65)*IF(F65 = $M$6, 1, 0)*1000000000</f>
        <v>2511.8864315095807</v>
      </c>
      <c r="J65" s="10">
        <f t="shared" si="1"/>
        <v>0.92103403719761889</v>
      </c>
    </row>
    <row r="66" spans="2:10" x14ac:dyDescent="0.2">
      <c r="B66" s="2">
        <v>721</v>
      </c>
      <c r="C66" s="3" t="s">
        <v>26</v>
      </c>
      <c r="D66" s="3" t="s">
        <v>27</v>
      </c>
      <c r="E66" s="3" t="s">
        <v>7</v>
      </c>
      <c r="F66" s="3" t="s">
        <v>8</v>
      </c>
      <c r="G66" s="3" t="s">
        <v>13</v>
      </c>
      <c r="H66" s="3">
        <v>10</v>
      </c>
      <c r="I66" s="4">
        <f t="shared" ref="I66:I69" si="20">1000*H66*IF(G66 = $M$3, 1, 0) + H66*IF(G66 = $M$4, 1, 0) + POWER(10,-H66)*IF(F66 = $M$5, 1, 0)*1000000000</f>
        <v>10</v>
      </c>
      <c r="J66" s="10">
        <f t="shared" si="1"/>
        <v>-4.6051701859880909</v>
      </c>
    </row>
    <row r="67" spans="2:10" x14ac:dyDescent="0.2">
      <c r="B67" s="5">
        <v>2242</v>
      </c>
      <c r="C67" t="s">
        <v>26</v>
      </c>
      <c r="D67" t="s">
        <v>27</v>
      </c>
      <c r="E67" t="s">
        <v>7</v>
      </c>
      <c r="F67" t="s">
        <v>8</v>
      </c>
      <c r="G67" t="s">
        <v>9</v>
      </c>
      <c r="H67">
        <v>9.8000000000000004E-2</v>
      </c>
      <c r="I67" s="6">
        <f t="shared" si="20"/>
        <v>98</v>
      </c>
      <c r="J67" s="10">
        <f t="shared" si="1"/>
        <v>-2.3227878003115645</v>
      </c>
    </row>
    <row r="68" spans="2:10" x14ac:dyDescent="0.2">
      <c r="B68" s="5">
        <v>2253</v>
      </c>
      <c r="C68" t="s">
        <v>26</v>
      </c>
      <c r="D68" t="s">
        <v>27</v>
      </c>
      <c r="E68" t="s">
        <v>7</v>
      </c>
      <c r="F68" t="s">
        <v>8</v>
      </c>
      <c r="G68" t="s">
        <v>13</v>
      </c>
      <c r="H68">
        <v>10</v>
      </c>
      <c r="I68" s="6">
        <f t="shared" si="20"/>
        <v>10</v>
      </c>
      <c r="J68" s="10">
        <f t="shared" ref="J68:J85" si="21">LN(I68)-LN(1000)</f>
        <v>-4.6051701859880909</v>
      </c>
    </row>
    <row r="69" spans="2:10" x14ac:dyDescent="0.2">
      <c r="B69" s="5">
        <v>2303</v>
      </c>
      <c r="C69" t="s">
        <v>26</v>
      </c>
      <c r="D69" t="s">
        <v>27</v>
      </c>
      <c r="E69" t="s">
        <v>7</v>
      </c>
      <c r="F69" t="s">
        <v>8</v>
      </c>
      <c r="G69" t="s">
        <v>13</v>
      </c>
      <c r="H69">
        <v>10</v>
      </c>
      <c r="I69" s="6">
        <f t="shared" si="20"/>
        <v>10</v>
      </c>
      <c r="J69" s="10">
        <f t="shared" si="21"/>
        <v>-4.6051701859880909</v>
      </c>
    </row>
    <row r="70" spans="2:10" x14ac:dyDescent="0.2">
      <c r="B70" s="7">
        <v>1020</v>
      </c>
      <c r="C70" s="8" t="s">
        <v>26</v>
      </c>
      <c r="D70" s="8" t="s">
        <v>27</v>
      </c>
      <c r="E70" s="8" t="s">
        <v>7</v>
      </c>
      <c r="F70" s="8" t="s">
        <v>54</v>
      </c>
      <c r="G70" s="8" t="s">
        <v>6</v>
      </c>
      <c r="H70" s="8">
        <v>7.8</v>
      </c>
      <c r="I70" s="9">
        <f>1000*H70*IF(G70 = $M$3, 1, 0) + H70*IF(G70 = $M$4, 1, 0) + POWER(10,-H70)*IF(F70 = $M$5, 1, 0)*1000000000+ POWER(10,-H70)*IF(F70 = $M$6, 1, 0)*1000000000</f>
        <v>15.848931924611133</v>
      </c>
      <c r="J70" s="10">
        <f t="shared" si="21"/>
        <v>-4.1446531673892819</v>
      </c>
    </row>
    <row r="71" spans="2:10" x14ac:dyDescent="0.2">
      <c r="B71" s="2">
        <v>1937</v>
      </c>
      <c r="C71" s="3" t="s">
        <v>41</v>
      </c>
      <c r="D71" s="3" t="s">
        <v>42</v>
      </c>
      <c r="E71" s="3" t="s">
        <v>7</v>
      </c>
      <c r="F71" s="3" t="s">
        <v>8</v>
      </c>
      <c r="G71" s="3" t="s">
        <v>13</v>
      </c>
      <c r="H71" s="3">
        <v>5</v>
      </c>
      <c r="I71" s="4">
        <f>1000*H71*IF(G71 = $M$3, 1, 0) + H71*IF(G71 = $M$4, 1, 0) + POWER(10,-H71)*IF(F71 = $M$5, 1, 0)*1000000000</f>
        <v>5</v>
      </c>
      <c r="J71" s="10">
        <f t="shared" si="21"/>
        <v>-5.2983173665480363</v>
      </c>
    </row>
    <row r="72" spans="2:10" x14ac:dyDescent="0.2">
      <c r="B72" s="5">
        <v>2302</v>
      </c>
      <c r="C72" t="s">
        <v>41</v>
      </c>
      <c r="D72" t="s">
        <v>42</v>
      </c>
      <c r="E72" t="s">
        <v>7</v>
      </c>
      <c r="F72" t="s">
        <v>8</v>
      </c>
      <c r="G72" t="s">
        <v>13</v>
      </c>
      <c r="H72">
        <v>5</v>
      </c>
      <c r="I72" s="6">
        <f>1000*H72*IF(G72 = $M$3, 1, 0) + H72*IF(G72 = $M$4, 1, 0) + POWER(10,-H72)*IF(F72 = $M$5, 1, 0)*1000000000</f>
        <v>5</v>
      </c>
      <c r="J72" s="10">
        <f t="shared" si="21"/>
        <v>-5.2983173665480363</v>
      </c>
    </row>
    <row r="73" spans="2:10" x14ac:dyDescent="0.2">
      <c r="B73" s="7">
        <v>994</v>
      </c>
      <c r="C73" s="8" t="s">
        <v>41</v>
      </c>
      <c r="D73" s="8" t="s">
        <v>42</v>
      </c>
      <c r="E73" s="8" t="s">
        <v>7</v>
      </c>
      <c r="F73" s="8" t="s">
        <v>54</v>
      </c>
      <c r="G73" s="8" t="s">
        <v>6</v>
      </c>
      <c r="H73" s="8">
        <v>8.1</v>
      </c>
      <c r="I73" s="9">
        <f>1000*H73*IF(G73 = $M$3, 1, 0) + H73*IF(G73 = $M$4, 1, 0) + POWER(10,-H73)*IF(F73 = $M$5, 1, 0)*1000000000+ POWER(10,-H73)*IF(F73 = $M$6, 1, 0)*1000000000</f>
        <v>7.9432823472428087</v>
      </c>
      <c r="J73" s="10">
        <f t="shared" si="21"/>
        <v>-4.8354286952874963</v>
      </c>
    </row>
    <row r="74" spans="2:10" x14ac:dyDescent="0.2">
      <c r="B74" s="2">
        <v>602</v>
      </c>
      <c r="C74" s="3" t="s">
        <v>22</v>
      </c>
      <c r="D74" s="3" t="s">
        <v>23</v>
      </c>
      <c r="E74" s="3" t="s">
        <v>7</v>
      </c>
      <c r="F74" s="3" t="s">
        <v>8</v>
      </c>
      <c r="G74" s="3" t="s">
        <v>9</v>
      </c>
      <c r="H74" s="3">
        <v>0.872</v>
      </c>
      <c r="I74" s="4">
        <f>1000*H74*IF(G74 = $M$3, 1, 0) + H74*IF(G74 = $M$4, 1, 0) + POWER(10,-H74)*IF(F74 = $M$5, 1, 0)*1000000000</f>
        <v>872</v>
      </c>
      <c r="J74" s="10">
        <f t="shared" si="21"/>
        <v>-0.13696585507315717</v>
      </c>
    </row>
    <row r="75" spans="2:10" x14ac:dyDescent="0.2">
      <c r="B75" s="7">
        <v>1292</v>
      </c>
      <c r="C75" s="8" t="s">
        <v>22</v>
      </c>
      <c r="D75" s="8" t="s">
        <v>23</v>
      </c>
      <c r="E75" s="8" t="s">
        <v>7</v>
      </c>
      <c r="F75" s="8" t="s">
        <v>54</v>
      </c>
      <c r="G75" s="8" t="s">
        <v>6</v>
      </c>
      <c r="H75" s="8">
        <v>7.1</v>
      </c>
      <c r="I75" s="9">
        <f>1000*H75*IF(G75 = $M$3, 1, 0) + H75*IF(G75 = $M$4, 1, 0) + POWER(10,-H75)*IF(F75 = $M$5, 1, 0)*1000000000+ POWER(10,-H75)*IF(F75 = $M$6, 1, 0)*1000000000</f>
        <v>79.432823472428183</v>
      </c>
      <c r="J75" s="10">
        <f t="shared" si="21"/>
        <v>-2.5328436022934495</v>
      </c>
    </row>
    <row r="76" spans="2:10" x14ac:dyDescent="0.2">
      <c r="B76" s="2">
        <v>636</v>
      </c>
      <c r="C76" s="3" t="s">
        <v>24</v>
      </c>
      <c r="D76" s="3" t="s">
        <v>25</v>
      </c>
      <c r="E76" s="3" t="s">
        <v>7</v>
      </c>
      <c r="F76" s="3" t="s">
        <v>8</v>
      </c>
      <c r="G76" s="3" t="s">
        <v>13</v>
      </c>
      <c r="H76" s="3">
        <v>3</v>
      </c>
      <c r="I76" s="4">
        <f t="shared" ref="I76:I77" si="22">1000*H76*IF(G76 = $M$3, 1, 0) + H76*IF(G76 = $M$4, 1, 0) + POWER(10,-H76)*IF(F76 = $M$5, 1, 0)*1000000000</f>
        <v>3</v>
      </c>
      <c r="J76" s="10">
        <f t="shared" si="21"/>
        <v>-5.8091429903140268</v>
      </c>
    </row>
    <row r="77" spans="2:10" x14ac:dyDescent="0.2">
      <c r="B77" s="5">
        <v>2208</v>
      </c>
      <c r="C77" t="s">
        <v>24</v>
      </c>
      <c r="D77" t="s">
        <v>25</v>
      </c>
      <c r="E77" t="s">
        <v>7</v>
      </c>
      <c r="F77" t="s">
        <v>8</v>
      </c>
      <c r="G77" t="s">
        <v>13</v>
      </c>
      <c r="H77">
        <v>10</v>
      </c>
      <c r="I77" s="6">
        <f t="shared" si="22"/>
        <v>10</v>
      </c>
      <c r="J77" s="10">
        <f t="shared" si="21"/>
        <v>-4.6051701859880909</v>
      </c>
    </row>
    <row r="78" spans="2:10" x14ac:dyDescent="0.2">
      <c r="B78" s="7">
        <v>1156</v>
      </c>
      <c r="C78" s="8" t="s">
        <v>24</v>
      </c>
      <c r="D78" s="8" t="s">
        <v>25</v>
      </c>
      <c r="E78" s="8" t="s">
        <v>7</v>
      </c>
      <c r="F78" s="8" t="s">
        <v>54</v>
      </c>
      <c r="G78" s="8" t="s">
        <v>6</v>
      </c>
      <c r="H78" s="8">
        <v>7.4</v>
      </c>
      <c r="I78" s="9">
        <f>1000*H78*IF(G78 = $M$3, 1, 0) + H78*IF(G78 = $M$4, 1, 0) + POWER(10,-H78)*IF(F78 = $M$5, 1, 0)*1000000000+ POWER(10,-H78)*IF(F78 = $M$6, 1, 0)*1000000000</f>
        <v>39.810717055349571</v>
      </c>
      <c r="J78" s="10">
        <f t="shared" si="21"/>
        <v>-3.2236191301916675</v>
      </c>
    </row>
    <row r="79" spans="2:10" x14ac:dyDescent="0.2">
      <c r="B79" s="2">
        <v>1881</v>
      </c>
      <c r="C79" s="3" t="s">
        <v>39</v>
      </c>
      <c r="D79" s="3" t="s">
        <v>40</v>
      </c>
      <c r="E79" s="3" t="s">
        <v>7</v>
      </c>
      <c r="F79" s="3" t="s">
        <v>8</v>
      </c>
      <c r="G79" s="3" t="s">
        <v>13</v>
      </c>
      <c r="H79" s="3">
        <v>1</v>
      </c>
      <c r="I79" s="4">
        <f t="shared" ref="I79:I80" si="23">1000*H79*IF(G79 = $M$3, 1, 0) + H79*IF(G79 = $M$4, 1, 0) + POWER(10,-H79)*IF(F79 = $M$5, 1, 0)*1000000000</f>
        <v>1</v>
      </c>
      <c r="J79" s="10">
        <f t="shared" si="21"/>
        <v>-6.9077552789821368</v>
      </c>
    </row>
    <row r="80" spans="2:10" x14ac:dyDescent="0.2">
      <c r="B80" s="5">
        <v>2296</v>
      </c>
      <c r="C80" t="s">
        <v>39</v>
      </c>
      <c r="D80" t="s">
        <v>40</v>
      </c>
      <c r="E80" t="s">
        <v>7</v>
      </c>
      <c r="F80" t="s">
        <v>8</v>
      </c>
      <c r="G80" t="s">
        <v>13</v>
      </c>
      <c r="H80">
        <v>90.5</v>
      </c>
      <c r="I80" s="6">
        <f t="shared" si="23"/>
        <v>90.5</v>
      </c>
      <c r="J80" s="10">
        <f t="shared" si="21"/>
        <v>-2.4024054282762561</v>
      </c>
    </row>
    <row r="81" spans="2:10" x14ac:dyDescent="0.2">
      <c r="B81" s="7">
        <v>1694</v>
      </c>
      <c r="C81" s="8" t="s">
        <v>39</v>
      </c>
      <c r="D81" s="8" t="s">
        <v>40</v>
      </c>
      <c r="E81" s="8" t="s">
        <v>7</v>
      </c>
      <c r="F81" s="8" t="s">
        <v>53</v>
      </c>
      <c r="G81" s="8" t="s">
        <v>9</v>
      </c>
      <c r="H81" s="8">
        <v>2E-3</v>
      </c>
      <c r="I81" s="9">
        <f>1000*H81*IF(G81 = $M$3, 1, 0) + H81*IF(G81 = $M$4, 1, 0) + POWER(10,-H81)*IF(F81 = $M$5, 1, 0)*1000000000+ POWER(10,-H81)*IF(F81 = $M$6, 1, 0)*1000000000</f>
        <v>2</v>
      </c>
      <c r="J81" s="10">
        <f t="shared" si="21"/>
        <v>-6.2146080984221914</v>
      </c>
    </row>
    <row r="82" spans="2:10" x14ac:dyDescent="0.2">
      <c r="B82" s="2">
        <v>1986</v>
      </c>
      <c r="C82" s="3" t="s">
        <v>43</v>
      </c>
      <c r="D82" s="3" t="s">
        <v>44</v>
      </c>
      <c r="E82" s="3" t="s">
        <v>7</v>
      </c>
      <c r="F82" s="3" t="s">
        <v>8</v>
      </c>
      <c r="G82" s="3" t="s">
        <v>9</v>
      </c>
      <c r="H82" s="3">
        <v>1</v>
      </c>
      <c r="I82" s="4">
        <f>1000*H82*IF(G82 = $M$3, 1, 0) + H82*IF(G82 = $M$4, 1, 0) + POWER(10,-H82)*IF(F82 = $M$5, 1, 0)*1000000000</f>
        <v>1000</v>
      </c>
      <c r="J82" s="10">
        <f t="shared" si="21"/>
        <v>0</v>
      </c>
    </row>
    <row r="83" spans="2:10" x14ac:dyDescent="0.2">
      <c r="B83" s="7">
        <v>976</v>
      </c>
      <c r="C83" s="8" t="s">
        <v>43</v>
      </c>
      <c r="D83" s="8" t="s">
        <v>44</v>
      </c>
      <c r="E83" s="8" t="s">
        <v>7</v>
      </c>
      <c r="F83" s="8" t="s">
        <v>54</v>
      </c>
      <c r="G83" s="8" t="s">
        <v>6</v>
      </c>
      <c r="H83" s="8">
        <v>5.8</v>
      </c>
      <c r="I83" s="9">
        <f>1000*H83*IF(G83 = $M$3, 1, 0) + H83*IF(G83 = $M$4, 1, 0) + POWER(10,-H83)*IF(F83 = $M$5, 1, 0)*1000000000+ POWER(10,-H83)*IF(F83 = $M$6, 1, 0)*1000000000</f>
        <v>1584.8931924611111</v>
      </c>
      <c r="J83" s="10">
        <f t="shared" si="21"/>
        <v>0.46051701859880811</v>
      </c>
    </row>
    <row r="84" spans="2:10" x14ac:dyDescent="0.2">
      <c r="B84" s="2">
        <v>766</v>
      </c>
      <c r="C84" s="3" t="s">
        <v>28</v>
      </c>
      <c r="D84" s="3" t="s">
        <v>6</v>
      </c>
      <c r="E84" s="3" t="s">
        <v>7</v>
      </c>
      <c r="F84" s="3" t="s">
        <v>8</v>
      </c>
      <c r="G84" s="3" t="s">
        <v>9</v>
      </c>
      <c r="H84" s="3">
        <v>9</v>
      </c>
      <c r="I84" s="4">
        <f>1000*H84*IF(G84 = $M$3, 1, 0) + H84*IF(G84 = $M$4, 1, 0) + POWER(10,-H84)*IF(F84 = $M$5, 1, 0)*1000000000</f>
        <v>9000</v>
      </c>
      <c r="J84" s="10">
        <f t="shared" si="21"/>
        <v>2.19722457733622</v>
      </c>
    </row>
    <row r="85" spans="2:10" x14ac:dyDescent="0.2">
      <c r="B85" s="7">
        <v>1420</v>
      </c>
      <c r="C85" s="8" t="s">
        <v>28</v>
      </c>
      <c r="D85" s="8" t="s">
        <v>6</v>
      </c>
      <c r="E85" s="8" t="s">
        <v>7</v>
      </c>
      <c r="F85" s="8" t="s">
        <v>54</v>
      </c>
      <c r="G85" s="8" t="s">
        <v>6</v>
      </c>
      <c r="H85" s="8">
        <v>6.4</v>
      </c>
      <c r="I85" s="9">
        <f>1000*H85*IF(G85 = $M$3, 1, 0) + H85*IF(G85 = $M$4, 1, 0) + POWER(10,-H85)*IF(F85 = $M$5, 1, 0)*1000000000+ POWER(10,-H85)*IF(F85 = $M$6, 1, 0)*1000000000</f>
        <v>398.10717055349619</v>
      </c>
      <c r="J85" s="10">
        <f t="shared" si="21"/>
        <v>-0.92103403719762067</v>
      </c>
    </row>
  </sheetData>
  <sortState xmlns:xlrd2="http://schemas.microsoft.com/office/spreadsheetml/2017/richdata2" ref="B3:I85">
    <sortCondition ref="C3:C85"/>
  </sortState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Filipe Menezes</dc:creator>
  <cp:lastModifiedBy>Dr Filipe Menezes</cp:lastModifiedBy>
  <dcterms:created xsi:type="dcterms:W3CDTF">2024-03-24T23:34:53Z</dcterms:created>
  <dcterms:modified xsi:type="dcterms:W3CDTF">2026-10-04T21:29:35Z</dcterms:modified>
</cp:coreProperties>
</file>